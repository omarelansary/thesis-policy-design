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'Ledger'!$A$1:$AL$197</definedName>
    <definedName name="_xlnm._FilterDatabase" localSheetId="4" hidden="1">'Archive'!$A$1:$AL$58</definedName>
    <definedName name="_xlnm._FilterDatabase" localSheetId="5" hidden="1">'Change log'!$A$1:$H$367</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253 unique rows (196 in Ledger, 57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n"/>
      <c r="L54" s="7" t="n"/>
      <c r="M54" s="7" t="n"/>
      <c r="N54" s="7" t="n"/>
      <c r="O54" s="7" t="n"/>
      <c r="P54" s="7" t="n"/>
      <c r="Q54" s="7" t="n"/>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165.5" customHeight="1">
      <c r="A9" s="5" t="inlineStr">
        <is>
          <t>C-D13</t>
        </is>
      </c>
      <c r="B9" s="6" t="inlineStr">
        <is>
          <t>Workspace safeguards (hooks, deny rules, no sandbox) have known limits; the remote, web tools and fetch hel...</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the second part of Q-U11; decide on C-D13/WEBTOOLS</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2026-10-20</t>
        </is>
      </c>
      <c r="AF9" s="6" t="inlineStr">
        <is>
          <t>Questions Q-U11; chat message of 2026-10-20</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C-D13/WEBTOOLS</t>
        </is>
      </c>
      <c r="B10" s="6" t="inlineStr">
        <is>
          <t>WebSearch/WebFetch and the fetch helper are now allow-listed; scope rests on the AUTH text only</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17</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AUTH-014 moved WebSearch/WebFetch to allow; AUTH-015 added a pinned fetch helper rule. Scope limits are instructions, not mechanisms.</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AUTH-014, AUTH-015; commits bde0cdd, d791135</t>
        </is>
      </c>
      <c r="AG10" s="6" t="inlineStr"/>
      <c r="AH10" s="6" t="inlineStr">
        <is>
          <t>No</t>
        </is>
      </c>
      <c r="AI10" s="6" t="inlineStr"/>
      <c r="AJ10" s="6" t="inlineStr">
        <is>
          <t>repo: AUTHORIZATIONS</t>
        </is>
      </c>
      <c r="AK10" s="6" t="inlineStr"/>
      <c r="AL10" s="6" t="inlineStr">
        <is>
          <t>S03</t>
        </is>
      </c>
    </row>
    <row r="11" ht="40.5" customHeight="1">
      <c r="A11" s="5" t="inlineStr">
        <is>
          <t>C-P03/P12</t>
        </is>
      </c>
      <c r="B11" s="6" t="inlineStr">
        <is>
          <t>Safeguards untested</t>
        </is>
      </c>
      <c r="C11" s="6" t="inlineStr">
        <is>
          <t>PARTLY ANSWERED</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G5 Housekeeping / no block</t>
        </is>
      </c>
      <c r="J11" s="6" t="inlineStr">
        <is>
          <t>Low</t>
        </is>
      </c>
      <c r="K11" s="6" t="n">
        <v>18</v>
      </c>
      <c r="L11" s="6" t="inlineStr">
        <is>
          <t>W0 Orient (no AUTH)</t>
        </is>
      </c>
      <c r="M11" s="6" t="inlineStr">
        <is>
          <t>S03</t>
        </is>
      </c>
      <c r="N11" s="6" t="inlineStr">
        <is>
          <t>You</t>
        </is>
      </c>
      <c r="O11" s="6" t="inlineStr">
        <is>
          <t>You decide</t>
        </is>
      </c>
      <c r="P11" s="6" t="inlineStr">
        <is>
          <t>Partly</t>
        </is>
      </c>
      <c r="Q11" s="6" t="inlineStr">
        <is>
          <t>Record fix</t>
        </is>
      </c>
      <c r="R11" s="6" t="inlineStr">
        <is>
          <t>Sub-item</t>
        </is>
      </c>
      <c r="S11" s="6" t="inlineStr">
        <is>
          <t>C-P03</t>
        </is>
      </c>
      <c r="T11" s="6" t="inlineStr">
        <is>
          <t>SRC-06 P12: safeguards were untested.</t>
        </is>
      </c>
      <c r="U11" s="6" t="inlineStr">
        <is>
          <t>Deterministic tests exist; interactive/VS Code and adversarial behaviour are untested (see C-D13 children).</t>
        </is>
      </c>
      <c r="V11" s="6" t="inlineStr">
        <is>
          <t>Repaired or disclosed.</t>
        </is>
      </c>
      <c r="W11" s="6" t="inlineStr"/>
      <c r="X11" s="6" t="inlineStr"/>
      <c r="Y11" s="6" t="inlineStr"/>
      <c r="Z11" s="6" t="inlineStr"/>
      <c r="AA11" s="6" t="inlineStr"/>
      <c r="AB11" s="6" t="inlineStr">
        <is>
          <t>RECORD+DEC</t>
        </is>
      </c>
      <c r="AC11" s="6" t="inlineStr">
        <is>
          <t>n/a (sub-item)</t>
        </is>
      </c>
      <c r="AD11" s="6" t="inlineStr">
        <is>
          <t>NEW (SRC-11 sub-row)</t>
        </is>
      </c>
      <c r="AE11" s="6" t="inlineStr">
        <is>
          <t>2026-10-19</t>
        </is>
      </c>
      <c r="AF11" s="6" t="inlineStr">
        <is>
          <t>ops/SAFEGUARDS.md test index (A1..C8, guard_cases.py 57 cases, R2); known bypasses list</t>
        </is>
      </c>
      <c r="AG11" s="6" t="inlineStr"/>
      <c r="AH11" s="6" t="inlineStr">
        <is>
          <t>Yes (reconciliation)</t>
        </is>
      </c>
      <c r="AI11" s="6" t="inlineStr"/>
      <c r="AJ11" s="6" t="inlineStr">
        <is>
          <t>SRC-11 section D5</t>
        </is>
      </c>
      <c r="AK11" s="6" t="inlineStr">
        <is>
          <t>SRC-06 P12</t>
        </is>
      </c>
      <c r="AL11" s="6" t="inlineStr">
        <is>
          <t>S03</t>
        </is>
      </c>
    </row>
    <row r="12" ht="40.5" customHeight="1">
      <c r="A12" s="5" t="inlineStr">
        <is>
          <t>N-15</t>
        </is>
      </c>
      <c r="B12" s="6" t="inlineStr">
        <is>
          <t>Untracked 19 Oct draft and EXT-0067..0073: keep or remove (author unknown)</t>
        </is>
      </c>
      <c r="C12" s="6" t="inlineStr">
        <is>
          <t>OPEN</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G5 Housekeeping / no block</t>
        </is>
      </c>
      <c r="J12" s="6" t="inlineStr">
        <is>
          <t>Low</t>
        </is>
      </c>
      <c r="K12" s="6" t="n">
        <v>19</v>
      </c>
      <c r="L12" s="6" t="inlineStr">
        <is>
          <t>W0 Orient (no AUTH)</t>
        </is>
      </c>
      <c r="M12" s="6" t="inlineStr">
        <is>
          <t>S03</t>
        </is>
      </c>
      <c r="N12" s="6" t="inlineStr">
        <is>
          <t>You</t>
        </is>
      </c>
      <c r="O12" s="6" t="inlineStr">
        <is>
          <t>Answer Q-U12</t>
        </is>
      </c>
      <c r="P12" s="6" t="inlineStr">
        <is>
          <t>n/a</t>
        </is>
      </c>
      <c r="Q12" s="6" t="inlineStr">
        <is>
          <t>Decision</t>
        </is>
      </c>
      <c r="R12" s="6" t="inlineStr">
        <is>
          <t>Item</t>
        </is>
      </c>
      <c r="S12" s="6" t="inlineStr"/>
      <c r="T12" s="6" t="inlineStr">
        <is>
          <t>design/tool-exposure-policy-proposal.md and EXT-0067..0073 were committed with a provenance banner; author and authorization unrecorded.</t>
        </is>
      </c>
      <c r="U12" s="6" t="inlineStr">
        <is>
          <t>Not adopted as a record; flagged.</t>
        </is>
      </c>
      <c r="V12" s="6" t="inlineStr">
        <is>
          <t>Kept (with provenance) or removed.</t>
        </is>
      </c>
      <c r="W12" s="6" t="inlineStr"/>
      <c r="X12" s="6" t="inlineStr"/>
      <c r="Y12" s="6" t="inlineStr">
        <is>
          <t>Q-U12</t>
        </is>
      </c>
      <c r="Z12" s="6" t="inlineStr"/>
      <c r="AA12" s="6" t="inlineStr"/>
      <c r="AB12" s="6" t="inlineStr">
        <is>
          <t>RECORD+DEC</t>
        </is>
      </c>
      <c r="AC12" s="6" t="inlineStr">
        <is>
          <t>n/a (new)</t>
        </is>
      </c>
      <c r="AD12" s="6" t="inlineStr">
        <is>
          <t>NEW (repo sweep)</t>
        </is>
      </c>
      <c r="AE12" s="6" t="inlineStr">
        <is>
          <t>2026-10-19</t>
        </is>
      </c>
      <c r="AF12" s="6" t="inlineStr">
        <is>
          <t>v4-03 section 4</t>
        </is>
      </c>
      <c r="AG12" s="6" t="inlineStr"/>
      <c r="AH12" s="6" t="inlineStr">
        <is>
          <t>No</t>
        </is>
      </c>
      <c r="AI12" s="6" t="inlineStr"/>
      <c r="AJ12" s="6" t="inlineStr">
        <is>
          <t>repo: STATE open item 6; v4-03 section 4</t>
        </is>
      </c>
      <c r="AK12" s="6" t="inlineStr">
        <is>
          <t>STATE open item 6</t>
        </is>
      </c>
      <c r="AL12" s="6" t="inlineStr">
        <is>
          <t>S03</t>
        </is>
      </c>
    </row>
    <row r="13" ht="65.5" customHeight="1">
      <c r="A13" s="5" t="inlineStr">
        <is>
          <t>N-10</t>
        </is>
      </c>
      <c r="B13" s="6" t="inlineStr">
        <is>
          <t>The v4 brief is tokens-only and lacks both pending scope questions, while STATE says it keeps them open.</t>
        </is>
      </c>
      <c r="C13" s="6" t="inlineStr">
        <is>
          <t>OPEN</t>
        </is>
      </c>
      <c r="D13" s="6">
        <f>IFERROR(INDEX(Lists!$B$2:$B$14,MATCH(C13,Lists!$A$2:$A$14,0)),"?")</f>
        <v/>
      </c>
      <c r="E13" s="6">
        <f>IF(COUNTIFS(Links!$B$2:$B$600,A13,Links!$E$2:$E$600,"Yes")&gt;0,"REVISE","")</f>
        <v/>
      </c>
      <c r="F13" s="6">
        <f>COUNTIFS(Links!$B$2:$B$600,A13,Links!$D$2:$D$600,"No",Links!$C$2:$C$600,"&lt;&gt;INFORMS")</f>
        <v/>
      </c>
      <c r="G13" s="8" t="inlineStr">
        <is>
          <t>RECORDS-AT-HAND</t>
        </is>
      </c>
      <c r="H13" s="6" t="inlineStr">
        <is>
          <t>K2 Objective &amp; accounting</t>
        </is>
      </c>
      <c r="I13" s="6" t="inlineStr">
        <is>
          <t>G2 Before the affected pilot/arm</t>
        </is>
      </c>
      <c r="J13" s="6" t="inlineStr">
        <is>
          <t>High</t>
        </is>
      </c>
      <c r="K13" s="6" t="n">
        <v>20</v>
      </c>
      <c r="L13" s="6" t="inlineStr">
        <is>
          <t>W0 Orient (no AUTH)</t>
        </is>
      </c>
      <c r="M13" s="6" t="inlineStr">
        <is>
          <t>S04</t>
        </is>
      </c>
      <c r="N13" s="6" t="inlineStr">
        <is>
          <t>Lead drafts, you approve</t>
        </is>
      </c>
      <c r="O13" s="6" t="inlineStr">
        <is>
          <t>Lead drafts the fix; you approve</t>
        </is>
      </c>
      <c r="P13" s="6" t="inlineStr">
        <is>
          <t>Answered (see basis)</t>
        </is>
      </c>
      <c r="Q13" s="6" t="inlineStr">
        <is>
          <t>Record fix</t>
        </is>
      </c>
      <c r="R13" s="6" t="inlineStr">
        <is>
          <t>Item</t>
        </is>
      </c>
      <c r="S13" s="6" t="inlineStr"/>
      <c r="T13" s="6" t="inlineStr">
        <is>
          <t>Joaa wrote 'You are missing two key points' (billing token types with caching; memory). The v4 brief is tokens-only and lacks both pending scope questions, while STATE says it keeps them open; the prepared revision (v4-04 section 8) has not been applied.</t>
        </is>
      </c>
      <c r="U13" s="6" t="inlineStr">
        <is>
          <t>Brief has zero mentions of memory; revision prepared in v4-04 section 8, not applied.</t>
        </is>
      </c>
      <c r="V13" s="6" t="inlineStr">
        <is>
          <t>Brief carries both questions; STATE and brief agree.</t>
        </is>
      </c>
      <c r="W13" s="6" t="inlineStr"/>
      <c r="X13" s="6" t="inlineStr">
        <is>
          <t>C-D02</t>
        </is>
      </c>
      <c r="Y13" s="6" t="inlineStr">
        <is>
          <t>Q-J03</t>
        </is>
      </c>
      <c r="Z13" s="6" t="inlineStr"/>
      <c r="AA13" s="6" t="inlineStr">
        <is>
          <t>K4 Memory &amp; sessions</t>
        </is>
      </c>
      <c r="AB13" s="6" t="inlineStr"/>
      <c r="AC13" s="6" t="inlineStr">
        <is>
          <t>n/a (new)</t>
        </is>
      </c>
      <c r="AD13" s="6" t="inlineStr">
        <is>
          <t>NEW</t>
        </is>
      </c>
      <c r="AE13" s="6" t="inlineStr">
        <is>
          <t>2026-10-19</t>
        </is>
      </c>
      <c r="AF13" s="6" t="inlineStr">
        <is>
          <t>v4-01 lines 12, 109-115; v4-04 section 8; STATE</t>
        </is>
      </c>
      <c r="AG13" s="6" t="inlineStr"/>
      <c r="AH13" s="6" t="inlineStr">
        <is>
          <t>No</t>
        </is>
      </c>
      <c r="AI13" s="6" t="inlineStr"/>
      <c r="AJ13" s="6" t="inlineStr">
        <is>
          <t>Review 19 Oct (section 5)</t>
        </is>
      </c>
      <c r="AK13" s="6" t="inlineStr">
        <is>
          <t>Joaa 19 Oct 12:15 (two key points missing)</t>
        </is>
      </c>
      <c r="AL13" s="6" t="inlineStr">
        <is>
          <t>S04</t>
        </is>
      </c>
    </row>
    <row r="14" ht="28" customHeight="1">
      <c r="A14" s="5" t="inlineStr">
        <is>
          <t>C-D01/REFERENT</t>
        </is>
      </c>
      <c r="B14" s="6" t="inlineStr">
        <is>
          <t>Referent of 'What you have found and narrowed down is some methodologies'</t>
        </is>
      </c>
      <c r="C14" s="6" t="inlineStr">
        <is>
          <t>OPEN</t>
        </is>
      </c>
      <c r="D14" s="6">
        <f>IFERROR(INDEX(Lists!$B$2:$B$14,MATCH(C14,Lists!$A$2:$A$14,0)),"?")</f>
        <v/>
      </c>
      <c r="E14" s="6">
        <f>IF(COUNTIFS(Links!$B$2:$B$600,A14,Links!$E$2:$E$600,"Yes")&gt;0,"REVISE","")</f>
        <v/>
      </c>
      <c r="F14" s="6">
        <f>COUNTIFS(Links!$B$2:$B$600,A14,Links!$D$2:$D$600,"No",Links!$C$2:$C$600,"&lt;&gt;INFORMS")</f>
        <v/>
      </c>
      <c r="G14" s="10" t="inlineStr">
        <is>
          <t>JOAA-DECISION</t>
        </is>
      </c>
      <c r="H14" s="6" t="inlineStr">
        <is>
          <t>K1 Scope: what Project A is</t>
        </is>
      </c>
      <c r="I14" s="6" t="inlineStr">
        <is>
          <t>G1 Before any implementation</t>
        </is>
      </c>
      <c r="J14" s="6" t="inlineStr">
        <is>
          <t>High</t>
        </is>
      </c>
      <c r="K14" s="6" t="n">
        <v>21</v>
      </c>
      <c r="L14" s="6" t="inlineStr">
        <is>
          <t>W1 Decide</t>
        </is>
      </c>
      <c r="M14" s="6" t="inlineStr">
        <is>
          <t>S05</t>
        </is>
      </c>
      <c r="N14" s="6" t="inlineStr">
        <is>
          <t>Joaa</t>
        </is>
      </c>
      <c r="O14" s="6" t="inlineStr">
        <is>
          <t>Ask Joaa (Q-J23)</t>
        </is>
      </c>
      <c r="P14" s="6" t="inlineStr">
        <is>
          <t>No</t>
        </is>
      </c>
      <c r="Q14" s="6" t="inlineStr">
        <is>
          <t>Source check</t>
        </is>
      </c>
      <c r="R14" s="6" t="inlineStr">
        <is>
          <t>Sub-item</t>
        </is>
      </c>
      <c r="S14" s="6" t="inlineStr">
        <is>
          <t>C-D01</t>
        </is>
      </c>
      <c r="T14" s="6" t="inlineStr">
        <is>
          <t>REQ-O14-02: who 'you' is and which findings are meant are not stated; no inference about previous-thesis work is permitted.</t>
        </is>
      </c>
      <c r="U14" s="6" t="inlineStr">
        <is>
          <t>Open.</t>
        </is>
      </c>
      <c r="V14" s="6" t="inlineStr">
        <is>
          <t>Joaa clarifies, or the clause stays unused.</t>
        </is>
      </c>
      <c r="W14" s="6" t="inlineStr"/>
      <c r="X14" s="6" t="inlineStr"/>
      <c r="Y14" s="6" t="inlineStr">
        <is>
          <t>Q-J23</t>
        </is>
      </c>
      <c r="Z14" s="6" t="inlineStr"/>
      <c r="AA14" s="6" t="inlineStr"/>
      <c r="AB14" s="6" t="inlineStr">
        <is>
          <t>DEC</t>
        </is>
      </c>
      <c r="AC14" s="6" t="inlineStr">
        <is>
          <t>n/a (sub-item)</t>
        </is>
      </c>
      <c r="AD14" s="6" t="inlineStr">
        <is>
          <t>NEW (repo sweep)</t>
        </is>
      </c>
      <c r="AE14" s="6" t="inlineStr">
        <is>
          <t>2026-10-19</t>
        </is>
      </c>
      <c r="AF14" s="6" t="inlineStr">
        <is>
          <t>REGISTER REQ-O14-02</t>
        </is>
      </c>
      <c r="AG14" s="6" t="inlineStr"/>
      <c r="AH14" s="6" t="inlineStr">
        <is>
          <t>No</t>
        </is>
      </c>
      <c r="AI14" s="6" t="inlineStr"/>
      <c r="AJ14" s="6" t="inlineStr">
        <is>
          <t>repo: REGISTER / COMPARISON</t>
        </is>
      </c>
      <c r="AK14" s="6" t="inlineStr">
        <is>
          <t>REQ-O14-02</t>
        </is>
      </c>
      <c r="AL14" s="6" t="inlineStr">
        <is>
          <t>S01</t>
        </is>
      </c>
    </row>
    <row r="15" ht="53" customHeight="1">
      <c r="A15" s="5" t="inlineStr">
        <is>
          <t>N-13</t>
        </is>
      </c>
      <c r="B15" s="6" t="inlineStr">
        <is>
          <t>Thesis question not supplied</t>
        </is>
      </c>
      <c r="C15" s="6" t="inlineStr">
        <is>
          <t>OPEN</t>
        </is>
      </c>
      <c r="D15" s="6">
        <f>IFERROR(INDEX(Lists!$B$2:$B$14,MATCH(C15,Lists!$A$2:$A$14,0)),"?")</f>
        <v/>
      </c>
      <c r="E15" s="6">
        <f>IF(COUNTIFS(Links!$B$2:$B$600,A15,Links!$E$2:$E$600,"Yes")&gt;0,"REVISE","")</f>
        <v/>
      </c>
      <c r="F15" s="6">
        <f>COUNTIFS(Links!$B$2:$B$600,A15,Links!$D$2:$D$600,"No",Links!$C$2:$C$600,"&lt;&gt;INFORMS")</f>
        <v/>
      </c>
      <c r="G15" s="9" t="inlineStr">
        <is>
          <t>USER-DECISION</t>
        </is>
      </c>
      <c r="H15" s="6" t="inlineStr">
        <is>
          <t>K1 Scope: what Project A is</t>
        </is>
      </c>
      <c r="I15" s="6" t="inlineStr">
        <is>
          <t>G3 Before confirmatory study</t>
        </is>
      </c>
      <c r="J15" s="6" t="inlineStr">
        <is>
          <t>Normal</t>
        </is>
      </c>
      <c r="K15" s="6" t="n">
        <v>22</v>
      </c>
      <c r="L15" s="6" t="inlineStr">
        <is>
          <t>W1 Decide</t>
        </is>
      </c>
      <c r="M15" s="6" t="inlineStr">
        <is>
          <t>S05</t>
        </is>
      </c>
      <c r="N15" s="6" t="inlineStr">
        <is>
          <t>You (verbatim text, who, when), Joaa if wording is contested</t>
        </is>
      </c>
      <c r="O15" s="6" t="inlineStr">
        <is>
          <t>Answer Q-U09</t>
        </is>
      </c>
      <c r="P15" s="6" t="inlineStr">
        <is>
          <t>No</t>
        </is>
      </c>
      <c r="Q15" s="6" t="inlineStr">
        <is>
          <t>Decision</t>
        </is>
      </c>
      <c r="R15" s="6" t="inlineStr">
        <is>
          <t>Item</t>
        </is>
      </c>
      <c r="S15" s="6" t="inlineStr"/>
      <c r="T15" s="6" t="inlineStr">
        <is>
          <t>requirements/THESIS_QUESTION.md is a placeholder (status awaiting-user); excerpt E1 is a mid-sentence fragment and was not entered; Q3 asks whether and in what exact wording E1 may be entered.</t>
        </is>
      </c>
      <c r="U15" s="6" t="inlineStr">
        <is>
          <t>Not supplied.</t>
        </is>
      </c>
      <c r="V15" s="6" t="inlineStr">
        <is>
          <t>The question is entered verbatim with provenance and hash.</t>
        </is>
      </c>
      <c r="W15" s="6" t="inlineStr"/>
      <c r="X15" s="6" t="inlineStr"/>
      <c r="Y15" s="6" t="inlineStr">
        <is>
          <t>Q-J01, Q-J02, Q-U01, Q-U09</t>
        </is>
      </c>
      <c r="Z15" s="6" t="inlineStr">
        <is>
          <t>JOAA-DECISION</t>
        </is>
      </c>
      <c r="AA15" s="6" t="inlineStr"/>
      <c r="AB15" s="6" t="inlineStr">
        <is>
          <t>DEC+ACCESS</t>
        </is>
      </c>
      <c r="AC15" s="6" t="inlineStr">
        <is>
          <t>n/a (new)</t>
        </is>
      </c>
      <c r="AD15" s="6" t="inlineStr">
        <is>
          <t>NEW (repo sweep)</t>
        </is>
      </c>
      <c r="AE15" s="6" t="inlineStr">
        <is>
          <t>2026-10-19</t>
        </is>
      </c>
      <c r="AF15" s="6" t="inlineStr">
        <is>
          <t>THESIS_QUESTION.md; CAVEATS 17</t>
        </is>
      </c>
      <c r="AG15" s="6" t="inlineStr"/>
      <c r="AH15" s="6" t="inlineStr">
        <is>
          <t>No</t>
        </is>
      </c>
      <c r="AI15" s="6" t="inlineStr"/>
      <c r="AJ15" s="6" t="inlineStr">
        <is>
          <t>repo: STATE; REGISTER F and G.3 Q3</t>
        </is>
      </c>
      <c r="AK15" s="6" t="inlineStr">
        <is>
          <t>REGISTER G.3 Q3, CAVEATS 17, STATE open item 3</t>
        </is>
      </c>
      <c r="AL15" s="6" t="inlineStr">
        <is>
          <t>S01</t>
        </is>
      </c>
    </row>
    <row r="16" ht="40.5" customHeight="1">
      <c r="A16" s="5" t="inlineStr">
        <is>
          <t>C-D01</t>
        </is>
      </c>
      <c r="B16" s="6" t="inlineStr">
        <is>
          <t>Which text governs Project A: the June expose, the October staged-policy wording, or V3?</t>
        </is>
      </c>
      <c r="C16" s="6" t="inlineStr">
        <is>
          <t>PARTLY ANSWERED</t>
        </is>
      </c>
      <c r="D16" s="6">
        <f>IFERROR(INDEX(Lists!$B$2:$B$14,MATCH(C16,Lists!$A$2:$A$14,0)),"?")</f>
        <v/>
      </c>
      <c r="E16" s="6">
        <f>IF(COUNTIFS(Links!$B$2:$B$600,A16,Links!$E$2:$E$600,"Yes")&gt;0,"REVISE","")</f>
        <v/>
      </c>
      <c r="F16" s="6">
        <f>COUNTIFS(Links!$B$2:$B$600,A16,Links!$D$2:$D$600,"No",Links!$C$2:$C$600,"&lt;&gt;INFORMS")</f>
        <v/>
      </c>
      <c r="G16" s="10" t="inlineStr">
        <is>
          <t>JOAA-DECISION</t>
        </is>
      </c>
      <c r="H16" s="6" t="inlineStr">
        <is>
          <t>K1 Scope: what Project A is</t>
        </is>
      </c>
      <c r="I16" s="6" t="inlineStr">
        <is>
          <t>G1 Before any implementation</t>
        </is>
      </c>
      <c r="J16" s="6" t="inlineStr">
        <is>
          <t>High</t>
        </is>
      </c>
      <c r="K16" s="6" t="n">
        <v>23</v>
      </c>
      <c r="L16" s="6" t="inlineStr">
        <is>
          <t>W1 Decide</t>
        </is>
      </c>
      <c r="M16" s="6" t="inlineStr">
        <is>
          <t>S05</t>
        </is>
      </c>
      <c r="N16" s="6" t="inlineStr">
        <is>
          <t>Joaa (you supply SRC-03 and the acceptance record)</t>
        </is>
      </c>
      <c r="O16" s="6" t="inlineStr">
        <is>
          <t>Gather SRC-03 and acceptance record (Q-U01), then ask Joaa (Q-J01)</t>
        </is>
      </c>
      <c r="P16" s="6" t="inlineStr">
        <is>
          <t>No</t>
        </is>
      </c>
      <c r="Q16" s="6" t="inlineStr">
        <is>
          <t>Decision</t>
        </is>
      </c>
      <c r="R16" s="6" t="inlineStr">
        <is>
          <t>Item</t>
        </is>
      </c>
      <c r="S16" s="6" t="inlineStr"/>
      <c r="T16" s="6" t="inlineStr">
        <is>
          <t>Which text governs Project A: the June expose, the October staged-policy wording, or V3? Joaa's acceptance of the June expose is only your account.</t>
        </is>
      </c>
      <c r="U16" s="6" t="inlineStr">
        <is>
          <t>Repo has Oct 14 E1 (a fragment) and a placeholder thesis question; June expose and acceptance record absent.</t>
        </is>
      </c>
      <c r="V16" s="6" t="inlineStr">
        <is>
          <t>A dated, recorded answer: June governs, and which clauses October/V3 amended.</t>
        </is>
      </c>
      <c r="W16" s="6" t="inlineStr">
        <is>
          <t>N-8, N-9</t>
        </is>
      </c>
      <c r="X16" s="6" t="inlineStr"/>
      <c r="Y16" s="6" t="inlineStr">
        <is>
          <t>Q-J01, Q-U01, Q-U09, Q-U24</t>
        </is>
      </c>
      <c r="Z16" s="6" t="inlineStr">
        <is>
          <t>USER-DECISION, RECORDS-AT-HAND</t>
        </is>
      </c>
      <c r="AA16" s="6" t="inlineStr">
        <is>
          <t>K3 Policy form</t>
        </is>
      </c>
      <c r="AB16" s="6" t="inlineStr">
        <is>
          <t>DEC+ACCESS</t>
        </is>
      </c>
      <c r="AC16" s="6" t="inlineStr">
        <is>
          <t>PARTLY ANSWERED - OPEN</t>
        </is>
      </c>
      <c r="AD16" s="6" t="inlineStr">
        <is>
          <t>NO EVIDENCE IN REPO</t>
        </is>
      </c>
      <c r="AE16" s="6" t="inlineStr">
        <is>
          <t>2026-10-19</t>
        </is>
      </c>
      <c r="AF16" s="6" t="inlineStr">
        <is>
          <t>REGISTER G.3 Q1,Q3; THESIS_QUESTION.md; intake E1</t>
        </is>
      </c>
      <c r="AG16" s="6" t="inlineStr"/>
      <c r="AH16" s="6" t="inlineStr">
        <is>
          <t>No</t>
        </is>
      </c>
      <c r="AI16" s="6" t="inlineStr"/>
      <c r="AJ16" s="6" t="inlineStr">
        <is>
          <t>SRC-11 canonical</t>
        </is>
      </c>
      <c r="AK16" s="6" t="inlineStr">
        <is>
          <t>REGISTER G.3 Q1, REGISTER G.3 Q3</t>
        </is>
      </c>
      <c r="AL16" s="6" t="inlineStr">
        <is>
          <t>S01</t>
        </is>
      </c>
    </row>
    <row r="17" ht="53" customHeight="1">
      <c r="A17" s="5" t="inlineStr">
        <is>
          <t>C-D05</t>
        </is>
      </c>
      <c r="B17" s="6" t="inlineStr">
        <is>
          <t>What is due next, and does 'implement' include writing the evaluation script?</t>
        </is>
      </c>
      <c r="C17" s="6" t="inlineStr">
        <is>
          <t>PARTLY ANSWERED</t>
        </is>
      </c>
      <c r="D17" s="6">
        <f>IFERROR(INDEX(Lists!$B$2:$B$14,MATCH(C17,Lists!$A$2:$A$14,0)),"?")</f>
        <v/>
      </c>
      <c r="E17" s="6">
        <f>IF(COUNTIFS(Links!$B$2:$B$600,A17,Links!$E$2:$E$600,"Yes")&gt;0,"REVISE","")</f>
        <v/>
      </c>
      <c r="F17" s="6">
        <f>COUNTIFS(Links!$B$2:$B$600,A17,Links!$D$2:$D$600,"No",Links!$C$2:$C$600,"&lt;&gt;INFORMS")</f>
        <v/>
      </c>
      <c r="G17" s="10" t="inlineStr">
        <is>
          <t>JOAA-DECISION</t>
        </is>
      </c>
      <c r="H17" s="6" t="inlineStr">
        <is>
          <t>K6 Deliverable &amp; authorization</t>
        </is>
      </c>
      <c r="I17" s="6" t="inlineStr">
        <is>
          <t>G1 Before any implementation</t>
        </is>
      </c>
      <c r="J17" s="6" t="inlineStr">
        <is>
          <t>High</t>
        </is>
      </c>
      <c r="K17" s="6" t="n">
        <v>24</v>
      </c>
      <c r="L17" s="6" t="inlineStr">
        <is>
          <t>W1 Decide</t>
        </is>
      </c>
      <c r="M17" s="6" t="inlineStr">
        <is>
          <t>S05</t>
        </is>
      </c>
      <c r="N17" s="6" t="inlineStr">
        <is>
          <t>Joaa</t>
        </is>
      </c>
      <c r="O17" s="6" t="inlineStr">
        <is>
          <t>Ask Joaa (Q-J17, Q-J18, Q-U05)</t>
        </is>
      </c>
      <c r="P17" s="6" t="inlineStr">
        <is>
          <t>No</t>
        </is>
      </c>
      <c r="Q17" s="6" t="inlineStr">
        <is>
          <t>Decision</t>
        </is>
      </c>
      <c r="R17" s="6" t="inlineStr">
        <is>
          <t>Item</t>
        </is>
      </c>
      <c r="S17" s="6" t="inlineStr"/>
      <c r="T17" s="6" t="inlineStr">
        <is>
          <t>What is due next, and does 'implement' include writing the evaluation script? Was the 2 Oct deliverable delivered?</t>
        </is>
      </c>
      <c r="U17" s="6" t="inlineStr">
        <is>
          <t>Oct 14 excerpt E9: 'I don't want you to implement anything'; Q5/Q6 open.</t>
        </is>
      </c>
      <c r="V17" s="6" t="inlineStr">
        <is>
          <t>Answers to REGISTER Q5 and Q6.</t>
        </is>
      </c>
      <c r="W17" s="6" t="inlineStr"/>
      <c r="X17" s="6" t="inlineStr"/>
      <c r="Y17" s="6" t="inlineStr">
        <is>
          <t>Q-J17, Q-J18, Q-U05</t>
        </is>
      </c>
      <c r="Z17" s="6" t="inlineStr">
        <is>
          <t>USER-DECISION</t>
        </is>
      </c>
      <c r="AA17" s="6" t="inlineStr"/>
      <c r="AB17" s="6" t="inlineStr">
        <is>
          <t>DEC+ACCESS</t>
        </is>
      </c>
      <c r="AC17" s="6" t="inlineStr">
        <is>
          <t>PARTLY ANSWERED - OPEN</t>
        </is>
      </c>
      <c r="AD17" s="6" t="inlineStr">
        <is>
          <t>UNCHANGED</t>
        </is>
      </c>
      <c r="AE17" s="6" t="inlineStr">
        <is>
          <t>2026-10-19</t>
        </is>
      </c>
      <c r="AF17" s="6" t="inlineStr">
        <is>
          <t>REGISTER G.3 Q5-Q6; v4-01 Q6</t>
        </is>
      </c>
      <c r="AG17" s="6" t="inlineStr"/>
      <c r="AH17" s="6" t="inlineStr">
        <is>
          <t>No</t>
        </is>
      </c>
      <c r="AI17" s="6" t="inlineStr"/>
      <c r="AJ17" s="6" t="inlineStr">
        <is>
          <t>SRC-11 canonical</t>
        </is>
      </c>
      <c r="AK17" s="6" t="inlineStr">
        <is>
          <t>REGISTER G.3 Q5, REGISTER G.3 Q6, COMPARISON C3, SRC-06 D05, SRC-06 D06, SRC-07 05, SRC-07 06, REQ-O14-10, REQ-O14-18</t>
        </is>
      </c>
      <c r="AL17" s="6" t="inlineStr">
        <is>
          <t>S04</t>
        </is>
      </c>
    </row>
    <row r="18" ht="40.5" customHeight="1">
      <c r="A18" s="5" t="inlineStr">
        <is>
          <t>C-D07/GRADED</t>
        </is>
      </c>
      <c r="B18" s="6" t="inlineStr">
        <is>
          <t>Is graded/partial exposure ('as a lens', June L0-L3) still required?</t>
        </is>
      </c>
      <c r="C18" s="6" t="inlineStr">
        <is>
          <t>OPEN</t>
        </is>
      </c>
      <c r="D18" s="6">
        <f>IFERROR(INDEX(Lists!$B$2:$B$14,MATCH(C18,Lists!$A$2:$A$14,0)),"?")</f>
        <v/>
      </c>
      <c r="E18" s="6">
        <f>IF(COUNTIFS(Links!$B$2:$B$600,A18,Links!$E$2:$E$600,"Yes")&gt;0,"REVISE","")</f>
        <v/>
      </c>
      <c r="F18" s="6">
        <f>COUNTIFS(Links!$B$2:$B$600,A18,Links!$D$2:$D$600,"No",Links!$C$2:$C$600,"&lt;&gt;INFORMS")</f>
        <v/>
      </c>
      <c r="G18" s="10" t="inlineStr">
        <is>
          <t>JOAA-DECISION</t>
        </is>
      </c>
      <c r="H18" s="6" t="inlineStr">
        <is>
          <t>K1 Scope: what Project A is</t>
        </is>
      </c>
      <c r="I18" s="6" t="inlineStr">
        <is>
          <t>G1 Before any implementation</t>
        </is>
      </c>
      <c r="J18" s="6" t="inlineStr">
        <is>
          <t>High</t>
        </is>
      </c>
      <c r="K18" s="6" t="n">
        <v>25</v>
      </c>
      <c r="L18" s="6" t="inlineStr">
        <is>
          <t>W1 Decide</t>
        </is>
      </c>
      <c r="M18" s="6" t="inlineStr">
        <is>
          <t>S05</t>
        </is>
      </c>
      <c r="N18" s="6" t="inlineStr">
        <is>
          <t>Joaa</t>
        </is>
      </c>
      <c r="O18" s="6" t="inlineStr">
        <is>
          <t>Ask Joaa (Q-J12)</t>
        </is>
      </c>
      <c r="P18" s="6" t="inlineStr">
        <is>
          <t>No</t>
        </is>
      </c>
      <c r="Q18" s="6" t="inlineStr">
        <is>
          <t>Decision</t>
        </is>
      </c>
      <c r="R18" s="6" t="inlineStr">
        <is>
          <t>Sub-item</t>
        </is>
      </c>
      <c r="S18" s="6" t="inlineStr">
        <is>
          <t>C-D07</t>
        </is>
      </c>
      <c r="T18" s="6" t="inlineStr">
        <is>
          <t>REQ-D1 R9 / REQ-M1 R9 (graded exposure as a lens) and the 2 Oct tier example are not echoed in the 14 Oct excerpts, which describe filtering and re-adding.</t>
        </is>
      </c>
      <c r="U18" s="6" t="inlineStr">
        <is>
          <t>Open.</t>
        </is>
      </c>
      <c r="V18" s="6" t="inlineStr">
        <is>
          <t>Joaa's answer recorded in his words.</t>
        </is>
      </c>
      <c r="W18" s="6" t="inlineStr"/>
      <c r="X18" s="6" t="inlineStr"/>
      <c r="Y18" s="6" t="inlineStr">
        <is>
          <t>Q-J12</t>
        </is>
      </c>
      <c r="Z18" s="6" t="inlineStr"/>
      <c r="AA18" s="6" t="inlineStr"/>
      <c r="AB18" s="6" t="inlineStr">
        <is>
          <t>DEC</t>
        </is>
      </c>
      <c r="AC18" s="6" t="inlineStr">
        <is>
          <t>n/a (sub-item)</t>
        </is>
      </c>
      <c r="AD18" s="6" t="inlineStr">
        <is>
          <t>NEW (repo sweep)</t>
        </is>
      </c>
      <c r="AE18" s="6" t="inlineStr">
        <is>
          <t>2026-10-19</t>
        </is>
      </c>
      <c r="AF18" s="6" t="inlineStr">
        <is>
          <t>COMPARISON C5; REGISTER section D</t>
        </is>
      </c>
      <c r="AG18" s="6" t="inlineStr"/>
      <c r="AH18" s="6" t="inlineStr">
        <is>
          <t>No</t>
        </is>
      </c>
      <c r="AI18" s="6" t="inlineStr"/>
      <c r="AJ18" s="6" t="inlineStr">
        <is>
          <t>repo: REGISTER / COMPARISON</t>
        </is>
      </c>
      <c r="AK18" s="6" t="inlineStr">
        <is>
          <t>COMPARISON C5, REQ-D1 R9, REQ-M1 R9</t>
        </is>
      </c>
      <c r="AL18" s="6" t="inlineStr">
        <is>
          <t>S04</t>
        </is>
      </c>
    </row>
    <row r="19" ht="40.5" customHeight="1">
      <c r="A19" s="5" t="inlineStr">
        <is>
          <t>C-D07</t>
        </is>
      </c>
      <c r="B19" s="6" t="inlineStr">
        <is>
          <t>Which parts belong to Project A: lifecycle/removal, June L0-L3 interfaces, October staged graph, session wo...</t>
        </is>
      </c>
      <c r="C19" s="6" t="inlineStr">
        <is>
          <t>PARTLY ANSWERED</t>
        </is>
      </c>
      <c r="D19" s="6">
        <f>IFERROR(INDEX(Lists!$B$2:$B$14,MATCH(C19,Lists!$A$2:$A$14,0)),"?")</f>
        <v/>
      </c>
      <c r="E19" s="6">
        <f>IF(COUNTIFS(Links!$B$2:$B$600,A19,Links!$E$2:$E$600,"Yes")&gt;0,"REVISE","")</f>
        <v/>
      </c>
      <c r="F19" s="6">
        <f>COUNTIFS(Links!$B$2:$B$600,A19,Links!$D$2:$D$600,"No",Links!$C$2:$C$600,"&lt;&gt;INFORMS")</f>
        <v/>
      </c>
      <c r="G19" s="10" t="inlineStr">
        <is>
          <t>JOAA-DECISION</t>
        </is>
      </c>
      <c r="H19" s="6" t="inlineStr">
        <is>
          <t>K1 Scope: what Project A is</t>
        </is>
      </c>
      <c r="I19" s="6" t="inlineStr">
        <is>
          <t>G1 Before any implementation</t>
        </is>
      </c>
      <c r="J19" s="6" t="inlineStr">
        <is>
          <t>High</t>
        </is>
      </c>
      <c r="K19" s="6" t="n">
        <v>26</v>
      </c>
      <c r="L19" s="6" t="inlineStr">
        <is>
          <t>W1 Decide</t>
        </is>
      </c>
      <c r="M19" s="6" t="inlineStr">
        <is>
          <t>S05</t>
        </is>
      </c>
      <c r="N19" s="6" t="inlineStr">
        <is>
          <t>Joaa + you</t>
        </is>
      </c>
      <c r="O19" s="6" t="inlineStr">
        <is>
          <t>Ask Joaa (Q-J01, Q-J05, Q-J06, Q-J12, Q-U24)</t>
        </is>
      </c>
      <c r="P19" s="6" t="inlineStr">
        <is>
          <t>Partly</t>
        </is>
      </c>
      <c r="Q19" s="6" t="inlineStr">
        <is>
          <t>Decision</t>
        </is>
      </c>
      <c r="R19" s="6" t="inlineStr">
        <is>
          <t>Item</t>
        </is>
      </c>
      <c r="S19" s="6" t="inlineStr"/>
      <c r="T19" s="6" t="inlineStr">
        <is>
          <t>Which parts belong to Project A: lifecycle/removal, June L0-L3 interfaces, October staged graph, session working set (F8), validation, baselines, metrics?</t>
        </is>
      </c>
      <c r="U19" s="6" t="inlineStr">
        <is>
          <t>v4 omits F8 (session working set); memory scopes M-a/M-b/M-c laid out; June expose not in repo so the clause map cannot be built here.</t>
        </is>
      </c>
      <c r="V19" s="6" t="inlineStr">
        <is>
          <t>Clause-by-clause scope map with a yes/no per clause from Joaa.</t>
        </is>
      </c>
      <c r="W19" s="6" t="inlineStr">
        <is>
          <t>C-D01</t>
        </is>
      </c>
      <c r="X19" s="6" t="inlineStr"/>
      <c r="Y19" s="6" t="inlineStr">
        <is>
          <t>Q-J01, Q-J05, Q-J06, Q-J12, Q-U24</t>
        </is>
      </c>
      <c r="Z19" s="6" t="inlineStr">
        <is>
          <t>RECORDS-AT-HAND</t>
        </is>
      </c>
      <c r="AA19" s="6" t="inlineStr">
        <is>
          <t>K4 Memory &amp; sessions</t>
        </is>
      </c>
      <c r="AB19" s="6" t="inlineStr">
        <is>
          <t>DEC</t>
        </is>
      </c>
      <c r="AC19" s="6" t="inlineStr">
        <is>
          <t>PARTLY ANSWERED - OPEN</t>
        </is>
      </c>
      <c r="AD19" s="6" t="inlineStr">
        <is>
          <t>RE-CHARACTERISED</t>
        </is>
      </c>
      <c r="AE19" s="6" t="inlineStr">
        <is>
          <t>2026-10-19</t>
        </is>
      </c>
      <c r="AF19" s="6" t="inlineStr">
        <is>
          <t>v4-04 sections 1, 4; DPR-0002 F8</t>
        </is>
      </c>
      <c r="AG19" s="6" t="inlineStr"/>
      <c r="AH19" s="6" t="inlineStr">
        <is>
          <t>No</t>
        </is>
      </c>
      <c r="AI19" s="6" t="inlineStr"/>
      <c r="AJ19" s="6" t="inlineStr">
        <is>
          <t>SRC-11 canonical</t>
        </is>
      </c>
      <c r="AK19" s="6" t="inlineStr">
        <is>
          <t>SRC-06 D08, COMPARISON C5</t>
        </is>
      </c>
      <c r="AL19" s="6" t="inlineStr">
        <is>
          <t>S04</t>
        </is>
      </c>
    </row>
    <row r="20" ht="53" customHeight="1">
      <c r="A20" s="5" t="inlineStr">
        <is>
          <t>C-D02</t>
        </is>
      </c>
      <c r="B20" s="6" t="inlineStr">
        <is>
          <t>What is primarily minimised or reported: tool count, model-visible input tokens, billed cost, or a stated c...</t>
        </is>
      </c>
      <c r="C20" s="6" t="inlineStr">
        <is>
          <t>PARTLY ANSWERED</t>
        </is>
      </c>
      <c r="D20" s="6">
        <f>IFERROR(INDEX(Lists!$B$2:$B$14,MATCH(C20,Lists!$A$2:$A$14,0)),"?")</f>
        <v/>
      </c>
      <c r="E20" s="6">
        <f>IF(COUNTIFS(Links!$B$2:$B$600,A20,Links!$E$2:$E$600,"Yes")&gt;0,"REVISE","")</f>
        <v/>
      </c>
      <c r="F20" s="6">
        <f>COUNTIFS(Links!$B$2:$B$600,A20,Links!$D$2:$D$600,"No",Links!$C$2:$C$600,"&lt;&gt;INFORMS")</f>
        <v/>
      </c>
      <c r="G20" s="10" t="inlineStr">
        <is>
          <t>JOAA-DECISION</t>
        </is>
      </c>
      <c r="H20" s="6" t="inlineStr">
        <is>
          <t>K2 Objective &amp; accounting</t>
        </is>
      </c>
      <c r="I20" s="6" t="inlineStr">
        <is>
          <t>G2 Before the affected pilot/arm</t>
        </is>
      </c>
      <c r="J20" s="6" t="inlineStr">
        <is>
          <t>High</t>
        </is>
      </c>
      <c r="K20" s="6" t="n">
        <v>27</v>
      </c>
      <c r="L20" s="6" t="inlineStr">
        <is>
          <t>W1 Decide</t>
        </is>
      </c>
      <c r="M20" s="6" t="inlineStr">
        <is>
          <t>S06</t>
        </is>
      </c>
      <c r="N20" s="6" t="inlineStr">
        <is>
          <t>Joaa, then you record it</t>
        </is>
      </c>
      <c r="O20" s="6" t="inlineStr">
        <is>
          <t>Ask Q-J03 once N-9 is recorded</t>
        </is>
      </c>
      <c r="P20" s="6" t="inlineStr">
        <is>
          <t>Partly</t>
        </is>
      </c>
      <c r="Q20" s="6" t="inlineStr">
        <is>
          <t>Decision</t>
        </is>
      </c>
      <c r="R20" s="6" t="inlineStr">
        <is>
          <t>Item</t>
        </is>
      </c>
      <c r="S20" s="6" t="inlineStr"/>
      <c r="T20" s="6" t="inlineStr">
        <is>
          <t>What is primarily minimised or reported: tool count, model-visible input tokens, billed cost, or a stated combination? Joaa's 19 Oct feedback points to the bill; the working objective is still tokens.</t>
        </is>
      </c>
      <c r="U20" s="6" t="inlineStr">
        <is>
          <t>Decision now concrete (v4-04 sections 6-8); STATE records it as pending; the 2 Oct record already allowed 'tokens or money' (EXT-0002 line 26).</t>
        </is>
      </c>
      <c r="V20" s="6" t="inlineStr">
        <is>
          <t>A stated primary estimand plus secondaries; a recorded entry replaces the AUTH-006 working objective if it changes.</t>
        </is>
      </c>
      <c r="W20" s="6" t="inlineStr"/>
      <c r="X20" s="6" t="inlineStr">
        <is>
          <t>C-D07</t>
        </is>
      </c>
      <c r="Y20" s="6" t="inlineStr">
        <is>
          <t>Q-J02, Q-J03, Q-J04, Q-J14</t>
        </is>
      </c>
      <c r="Z20" s="6" t="inlineStr">
        <is>
          <t>USER-DECISION</t>
        </is>
      </c>
      <c r="AA20" s="6" t="inlineStr">
        <is>
          <t>K4 Memory &amp; sessions</t>
        </is>
      </c>
      <c r="AB20" s="6" t="inlineStr">
        <is>
          <t>DEC</t>
        </is>
      </c>
      <c r="AC20" s="6" t="inlineStr">
        <is>
          <t>PARTLY ANSWERED - OPEN</t>
        </is>
      </c>
      <c r="AD20" s="6" t="inlineStr">
        <is>
          <t>RE-CHARACTERISED</t>
        </is>
      </c>
      <c r="AE20" s="6" t="inlineStr">
        <is>
          <t>2026-10-19</t>
        </is>
      </c>
      <c r="AF20" s="6" t="inlineStr">
        <is>
          <t>v4-04; STATE; EXT-0002 lines 25-26</t>
        </is>
      </c>
      <c r="AG20" s="6" t="inlineStr"/>
      <c r="AH20" s="6" t="inlineStr">
        <is>
          <t>No</t>
        </is>
      </c>
      <c r="AI20" s="6" t="inlineStr"/>
      <c r="AJ20" s="6" t="inlineStr">
        <is>
          <t>SRC-11 canonical</t>
        </is>
      </c>
      <c r="AK20" s="6" t="inlineStr">
        <is>
          <t>REGISTER G.3 Q1, COMPARISON C1, SRC-06 D02, SRC-06 D09, SRC-07 01, SRC-07 10, v2-06 C1 (O1/O2)</t>
        </is>
      </c>
      <c r="AL20" s="6" t="inlineStr">
        <is>
          <t>S04</t>
        </is>
      </c>
    </row>
    <row r="21" ht="65.5" customHeight="1">
      <c r="A21" s="5" t="inlineStr">
        <is>
          <t>N-1</t>
        </is>
      </c>
      <c r="B21" s="6" t="inlineStr">
        <is>
          <t>Bill vs tokens as the objective, with token classes (fresh input, cache write, cache read, output) and a na...</t>
        </is>
      </c>
      <c r="C21" s="6" t="inlineStr">
        <is>
          <t>OPEN</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G2 Before the affected pilot/arm</t>
        </is>
      </c>
      <c r="J21" s="6" t="inlineStr">
        <is>
          <t>High</t>
        </is>
      </c>
      <c r="K21" s="6" t="n">
        <v>28</v>
      </c>
      <c r="L21" s="6" t="inlineStr">
        <is>
          <t>W1 Decide</t>
        </is>
      </c>
      <c r="M21" s="6" t="inlineStr">
        <is>
          <t>S06</t>
        </is>
      </c>
      <c r="N21" s="6" t="inlineStr">
        <is>
          <t>Joaa</t>
        </is>
      </c>
      <c r="O21" s="6" t="inlineStr">
        <is>
          <t>Ask Joaa (Q-J02, Q-J03, Q-J24)</t>
        </is>
      </c>
      <c r="P21" s="6" t="inlineStr">
        <is>
          <t>Partly</t>
        </is>
      </c>
      <c r="Q21" s="6" t="inlineStr">
        <is>
          <t>Decision</t>
        </is>
      </c>
      <c r="R21" s="6" t="inlineStr">
        <is>
          <t>Item</t>
        </is>
      </c>
      <c r="S21" s="6" t="inlineStr"/>
      <c r="T21"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1" s="6" t="inlineStr">
        <is>
          <t>Pending; same decision as C-D02, posed as Joaa's 19 Oct point.</t>
        </is>
      </c>
      <c r="V21" s="6" t="inlineStr">
        <is>
          <t>Chosen estimand and the token classes reported.</t>
        </is>
      </c>
      <c r="W21" s="6" t="inlineStr">
        <is>
          <t>N-9</t>
        </is>
      </c>
      <c r="X21" s="6" t="inlineStr"/>
      <c r="Y21" s="6" t="inlineStr">
        <is>
          <t>Q-J02, Q-J03, Q-J24, Q-J26</t>
        </is>
      </c>
      <c r="Z21" s="6" t="inlineStr">
        <is>
          <t>USER-DECISION</t>
        </is>
      </c>
      <c r="AA21" s="6" t="inlineStr"/>
      <c r="AB21" s="6" t="inlineStr"/>
      <c r="AC21" s="6" t="inlineStr">
        <is>
          <t>n/a (new)</t>
        </is>
      </c>
      <c r="AD21" s="6" t="inlineStr">
        <is>
          <t>NEW</t>
        </is>
      </c>
      <c r="AE21" s="6" t="inlineStr">
        <is>
          <t>2026-10-19</t>
        </is>
      </c>
      <c r="AF21" s="6" t="inlineStr">
        <is>
          <t>v4-04 sections 2-3, 6</t>
        </is>
      </c>
      <c r="AG21" s="6" t="inlineStr"/>
      <c r="AH21" s="6" t="inlineStr">
        <is>
          <t>No</t>
        </is>
      </c>
      <c r="AI21" s="6" t="inlineStr"/>
      <c r="AJ21" s="6" t="inlineStr">
        <is>
          <t>Review 19 Oct (section 5)</t>
        </is>
      </c>
      <c r="AK21" s="6" t="inlineStr">
        <is>
          <t>WhatsApp 19 Oct (billing), Joaa 19 Oct 12:15 (three token types)</t>
        </is>
      </c>
      <c r="AL21" s="6" t="inlineStr">
        <is>
          <t>S04</t>
        </is>
      </c>
    </row>
    <row r="22" ht="78" customHeight="1">
      <c r="A22" s="5" t="inlineStr">
        <is>
          <t>N-2</t>
        </is>
      </c>
      <c r="B22" s="6" t="inlineStr">
        <is>
          <t>Memory scope: tool-usage memory only (per user or role) vs also conversation storage/summarisation vs full ...</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K4 Memory &amp; sessions</t>
        </is>
      </c>
      <c r="I22" s="6" t="inlineStr">
        <is>
          <t>G2 Before the affected pilot/arm</t>
        </is>
      </c>
      <c r="J22" s="6" t="inlineStr">
        <is>
          <t>High</t>
        </is>
      </c>
      <c r="K22" s="6" t="n">
        <v>29</v>
      </c>
      <c r="L22" s="6" t="inlineStr">
        <is>
          <t>W1 Decide</t>
        </is>
      </c>
      <c r="M22" s="6" t="inlineStr">
        <is>
          <t>S06</t>
        </is>
      </c>
      <c r="N22" s="6" t="inlineStr">
        <is>
          <t>Joaa</t>
        </is>
      </c>
      <c r="O22" s="6" t="inlineStr">
        <is>
          <t>Ask Joaa (Q-J05, Q-J06)</t>
        </is>
      </c>
      <c r="P22" s="6" t="inlineStr">
        <is>
          <t>Partly</t>
        </is>
      </c>
      <c r="Q22" s="6" t="inlineStr">
        <is>
          <t>Decision</t>
        </is>
      </c>
      <c r="R22" s="6" t="inlineStr">
        <is>
          <t>Item</t>
        </is>
      </c>
      <c r="S22" s="6" t="inlineStr"/>
      <c r="T22"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2" s="6" t="inlineStr">
        <is>
          <t>Pending; literature check does not support 'tool memory only' over conversation memory (neither study compares them).</t>
        </is>
      </c>
      <c r="V22" s="6" t="inlineStr">
        <is>
          <t>Scope stated. 'Tool-usage only' keeps N-6 and N-7 alive; 'tool-usage only, deferred' defers them; 'M-b in scope' enlarges the project.</t>
        </is>
      </c>
      <c r="W22" s="6" t="inlineStr">
        <is>
          <t>N-9</t>
        </is>
      </c>
      <c r="X22" s="6" t="inlineStr">
        <is>
          <t>C-D07</t>
        </is>
      </c>
      <c r="Y22" s="6" t="inlineStr">
        <is>
          <t>Q-J05, Q-J06, Q-J25, Q-J27</t>
        </is>
      </c>
      <c r="Z22" s="6" t="inlineStr"/>
      <c r="AA22" s="6" t="inlineStr">
        <is>
          <t>K1 Scope: what Project A is</t>
        </is>
      </c>
      <c r="AB22" s="6" t="inlineStr"/>
      <c r="AC22" s="6" t="inlineStr">
        <is>
          <t>n/a (new)</t>
        </is>
      </c>
      <c r="AD22" s="6" t="inlineStr">
        <is>
          <t>NEW</t>
        </is>
      </c>
      <c r="AE22" s="6" t="inlineStr">
        <is>
          <t>2026-10-19</t>
        </is>
      </c>
      <c r="AF22" s="6" t="inlineStr">
        <is>
          <t>v4-04 section 4; v4-05 section 1C</t>
        </is>
      </c>
      <c r="AG22" s="6" t="inlineStr"/>
      <c r="AH22" s="6" t="inlineStr">
        <is>
          <t>No</t>
        </is>
      </c>
      <c r="AI22" s="6" t="inlineStr"/>
      <c r="AJ22" s="6" t="inlineStr">
        <is>
          <t>Review 19 Oct (section 5)</t>
        </is>
      </c>
      <c r="AK22" s="6" t="inlineStr">
        <is>
          <t>CH-0063, WhatsApp 19 Oct (memory), Joaa 19 Oct 12:15 (contextual memory)</t>
        </is>
      </c>
      <c r="AL22" s="6" t="inlineStr">
        <is>
          <t>S04</t>
        </is>
      </c>
    </row>
    <row r="23" ht="53" customHeight="1">
      <c r="A23" s="5" t="inlineStr">
        <is>
          <t>N-3</t>
        </is>
      </c>
      <c r="B23" s="6" t="inlineStr">
        <is>
          <t>Cost horizon: one run, several turns, or across sessions; session count and gap; is cache expiry between se...</t>
        </is>
      </c>
      <c r="C23" s="6" t="inlineStr">
        <is>
          <t>OPEN</t>
        </is>
      </c>
      <c r="D23" s="6">
        <f>IFERROR(INDEX(Lists!$B$2:$B$14,MATCH(C23,Lists!$A$2:$A$14,0)),"?")</f>
        <v/>
      </c>
      <c r="E23" s="6">
        <f>IF(COUNTIFS(Links!$B$2:$B$600,A23,Links!$E$2:$E$600,"Yes")&gt;0,"REVISE","")</f>
        <v/>
      </c>
      <c r="F23" s="6">
        <f>COUNTIFS(Links!$B$2:$B$600,A23,Links!$D$2:$D$600,"No",Links!$C$2:$C$600,"&lt;&gt;INFORMS")</f>
        <v/>
      </c>
      <c r="G23" s="10" t="inlineStr">
        <is>
          <t>JOAA-DECISION</t>
        </is>
      </c>
      <c r="H23" s="6" t="inlineStr">
        <is>
          <t>K2 Objective &amp; accounting</t>
        </is>
      </c>
      <c r="I23" s="6" t="inlineStr">
        <is>
          <t>G2 Before the affected pilot/arm</t>
        </is>
      </c>
      <c r="J23" s="6" t="inlineStr">
        <is>
          <t>High</t>
        </is>
      </c>
      <c r="K23" s="6" t="n">
        <v>30</v>
      </c>
      <c r="L23" s="6" t="inlineStr">
        <is>
          <t>W1 Decide</t>
        </is>
      </c>
      <c r="M23" s="6" t="inlineStr">
        <is>
          <t>S06</t>
        </is>
      </c>
      <c r="N23" s="6" t="inlineStr">
        <is>
          <t>Joaa</t>
        </is>
      </c>
      <c r="O23" s="6" t="inlineStr">
        <is>
          <t>Ask Joaa (Q-J04, Q-J05)</t>
        </is>
      </c>
      <c r="P23" s="6" t="inlineStr">
        <is>
          <t>Partly</t>
        </is>
      </c>
      <c r="Q23" s="6" t="inlineStr">
        <is>
          <t>Decision</t>
        </is>
      </c>
      <c r="R23" s="6" t="inlineStr">
        <is>
          <t>Item</t>
        </is>
      </c>
      <c r="S23" s="6" t="inlineStr"/>
      <c r="T23" s="6" t="inlineStr">
        <is>
          <t>Joaa mentioned a user who 'leave the chat and come back to it after several hours or days' (S-J-002). Cost horizon: one run, several turns, or across sessions; session count and gap; is cache expiry between sessions in scope?</t>
        </is>
      </c>
      <c r="U23" s="6" t="inlineStr">
        <is>
          <t>v4 lists trajectory length only; session count and gap are not regime variables yet.</t>
        </is>
      </c>
      <c r="V23" s="6" t="inlineStr">
        <is>
          <t>Horizon stated; session variables added or declared out of scope.</t>
        </is>
      </c>
      <c r="W23" s="6" t="inlineStr">
        <is>
          <t>C-D02</t>
        </is>
      </c>
      <c r="X23" s="6" t="inlineStr">
        <is>
          <t>N-2</t>
        </is>
      </c>
      <c r="Y23" s="6" t="inlineStr">
        <is>
          <t>Q-J04, Q-J05, Q-J25</t>
        </is>
      </c>
      <c r="Z23" s="6" t="inlineStr">
        <is>
          <t>USER-DECISION</t>
        </is>
      </c>
      <c r="AA23" s="6" t="inlineStr">
        <is>
          <t>K4 Memory &amp; sessions</t>
        </is>
      </c>
      <c r="AB23" s="6" t="inlineStr"/>
      <c r="AC23" s="6" t="inlineStr">
        <is>
          <t>n/a (new)</t>
        </is>
      </c>
      <c r="AD23" s="6" t="inlineStr">
        <is>
          <t>NEW</t>
        </is>
      </c>
      <c r="AE23" s="6" t="inlineStr">
        <is>
          <t>2026-10-19</t>
        </is>
      </c>
      <c r="AF23" s="6" t="inlineStr">
        <is>
          <t>v4-04 section 3 item 5, section 5</t>
        </is>
      </c>
      <c r="AG23" s="6" t="inlineStr"/>
      <c r="AH23" s="6" t="inlineStr">
        <is>
          <t>No</t>
        </is>
      </c>
      <c r="AI23" s="6" t="inlineStr"/>
      <c r="AJ23" s="6" t="inlineStr">
        <is>
          <t>Review 19 Oct (section 5)</t>
        </is>
      </c>
      <c r="AK23" s="6" t="inlineStr">
        <is>
          <t>WhatsApp 19 Oct (days later), Joaa 19 Oct 12:15 (hours or days)</t>
        </is>
      </c>
      <c r="AL23" s="6" t="inlineStr">
        <is>
          <t>S04</t>
        </is>
      </c>
    </row>
    <row r="24" ht="28" customHeight="1">
      <c r="A24" s="5" t="inlineStr">
        <is>
          <t>N-4</t>
        </is>
      </c>
      <c r="B24" s="6" t="inlineStr">
        <is>
          <t>Do output tokens (discovery requests, wasted or false-positive calls) enter the accounting?</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K2 Objective &amp; accounting</t>
        </is>
      </c>
      <c r="I24" s="6" t="inlineStr">
        <is>
          <t>G2 Before the affected pilot/arm</t>
        </is>
      </c>
      <c r="J24" s="6" t="inlineStr">
        <is>
          <t>High</t>
        </is>
      </c>
      <c r="K24" s="6" t="n">
        <v>31</v>
      </c>
      <c r="L24" s="6" t="inlineStr">
        <is>
          <t>W1 Decide</t>
        </is>
      </c>
      <c r="M24" s="6" t="inlineStr">
        <is>
          <t>S06</t>
        </is>
      </c>
      <c r="N24" s="6" t="inlineStr">
        <is>
          <t>Joaa / you</t>
        </is>
      </c>
      <c r="O24" s="6" t="inlineStr">
        <is>
          <t>Ask Joaa (Q-J03)</t>
        </is>
      </c>
      <c r="P24" s="6" t="inlineStr">
        <is>
          <t>Partly</t>
        </is>
      </c>
      <c r="Q24" s="6" t="inlineStr">
        <is>
          <t>Decision</t>
        </is>
      </c>
      <c r="R24" s="6" t="inlineStr">
        <is>
          <t>Item</t>
        </is>
      </c>
      <c r="S24" s="6" t="inlineStr"/>
      <c r="T24" s="6" t="inlineStr">
        <is>
          <t>Do output tokens (discovery requests, wasted or false-positive calls) enter the accounting?</t>
        </is>
      </c>
      <c r="U24" s="6" t="inlineStr">
        <is>
          <t>v4 criterion excludes output tokens. A harness can log them regardless.</t>
        </is>
      </c>
      <c r="V24" s="6" t="inlineStr">
        <is>
          <t>Decision recorded; logging of output tokens is on either way.</t>
        </is>
      </c>
      <c r="W24" s="6" t="inlineStr">
        <is>
          <t>C-D02</t>
        </is>
      </c>
      <c r="X24" s="6" t="inlineStr"/>
      <c r="Y24" s="6" t="inlineStr">
        <is>
          <t>Q-J03</t>
        </is>
      </c>
      <c r="Z24" s="6" t="inlineStr">
        <is>
          <t>USER-DECISION</t>
        </is>
      </c>
      <c r="AA24" s="6" t="inlineStr">
        <is>
          <t>K8 Search initiation &amp; recovery</t>
        </is>
      </c>
      <c r="AB24" s="6" t="inlineStr"/>
      <c r="AC24" s="6" t="inlineStr">
        <is>
          <t>n/a (new)</t>
        </is>
      </c>
      <c r="AD24" s="6" t="inlineStr">
        <is>
          <t>NEW</t>
        </is>
      </c>
      <c r="AE24" s="6" t="inlineStr">
        <is>
          <t>2026-10-19</t>
        </is>
      </c>
      <c r="AF24" s="6" t="inlineStr">
        <is>
          <t>v4-04 section 2</t>
        </is>
      </c>
      <c r="AG24" s="6" t="inlineStr"/>
      <c r="AH24" s="6" t="inlineStr">
        <is>
          <t>No</t>
        </is>
      </c>
      <c r="AI24" s="6" t="inlineStr"/>
      <c r="AJ24" s="6" t="inlineStr">
        <is>
          <t>Review 19 Oct (section 5)</t>
        </is>
      </c>
      <c r="AK24" s="6" t="inlineStr"/>
      <c r="AL24" s="6" t="inlineStr">
        <is>
          <t>S04</t>
        </is>
      </c>
    </row>
    <row r="25" ht="90.5" customHeight="1">
      <c r="A25" s="5" t="inlineStr">
        <is>
          <t>N-25</t>
        </is>
      </c>
      <c r="B25" s="6" t="inlineStr">
        <is>
          <t>Which deployment scenarios should the policy target (e.g. automated bug-solving cloud agent, customer-support agent)?</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K4 Memory &amp; sessions</t>
        </is>
      </c>
      <c r="I25" s="6" t="inlineStr">
        <is>
          <t>G2 Before the affected pilot/arm</t>
        </is>
      </c>
      <c r="J25" s="6" t="inlineStr">
        <is>
          <t>High</t>
        </is>
      </c>
      <c r="K25" s="6" t="n">
        <v>32</v>
      </c>
      <c r="L25" s="6" t="inlineStr">
        <is>
          <t>W1 Decide</t>
        </is>
      </c>
      <c r="M25" s="6" t="inlineStr">
        <is>
          <t>S06</t>
        </is>
      </c>
      <c r="N25" s="6" t="inlineStr">
        <is>
          <t>Joaa</t>
        </is>
      </c>
      <c r="O25" s="6" t="inlineStr">
        <is>
          <t>Ask Joaa (Q-J25)</t>
        </is>
      </c>
      <c r="P25" s="6" t="inlineStr">
        <is>
          <t>No</t>
        </is>
      </c>
      <c r="Q25" s="6" t="inlineStr">
        <is>
          <t>Decision</t>
        </is>
      </c>
      <c r="R25" s="6" t="inlineStr">
        <is>
          <t>Item</t>
        </is>
      </c>
      <c r="S25" s="6" t="inlineStr"/>
      <c r="T25"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5" s="6" t="inlineStr">
        <is>
          <t>Not previously a row; v4-04 section 1 only notes that memory 'matters for deployed agents'. The closest benchmark has no sessions (CAVEATS row 3).</t>
        </is>
      </c>
      <c r="V25" s="6" t="inlineStr">
        <is>
          <t>Scenario(s) named and the session pattern stated.</t>
        </is>
      </c>
      <c r="W25" s="6" t="inlineStr"/>
      <c r="X25" s="6" t="inlineStr"/>
      <c r="Y25" s="6" t="inlineStr">
        <is>
          <t>Q-J25</t>
        </is>
      </c>
      <c r="Z25" s="6" t="inlineStr">
        <is>
          <t>USER-DECISION</t>
        </is>
      </c>
      <c r="AA25" s="6" t="inlineStr">
        <is>
          <t>K3 Policy form</t>
        </is>
      </c>
      <c r="AB25" s="6" t="inlineStr">
        <is>
          <t>DEC</t>
        </is>
      </c>
      <c r="AC25" s="6" t="inlineStr">
        <is>
          <t>n/a (new)</t>
        </is>
      </c>
      <c r="AD25" s="6" t="inlineStr">
        <is>
          <t>NEW</t>
        </is>
      </c>
      <c r="AE25" s="6" t="inlineStr">
        <is>
          <t>2026-10-19</t>
        </is>
      </c>
      <c r="AF25" s="6" t="inlineStr">
        <is>
          <t>Supervisor statements S-J-003</t>
        </is>
      </c>
      <c r="AG25" s="6" t="inlineStr"/>
      <c r="AH25" s="6" t="inlineStr">
        <is>
          <t>No</t>
        </is>
      </c>
      <c r="AI25" s="6" t="inlineStr"/>
      <c r="AJ25" s="6" t="inlineStr">
        <is>
          <t>Joaa 19 Oct (Supervisor statements sheet)</t>
        </is>
      </c>
      <c r="AK25" s="6" t="inlineStr">
        <is>
          <t>Joaa 19 Oct 12:16 (deployed systems), Joaa 19 Oct 12:16 (deployed systems)</t>
        </is>
      </c>
      <c r="AL25" s="6" t="inlineStr">
        <is>
          <t>S06</t>
        </is>
      </c>
    </row>
    <row r="26" ht="240.5" customHeight="1">
      <c r="A26" s="5" t="inlineStr">
        <is>
          <t>N-26</t>
        </is>
      </c>
      <c r="B26" s="6" t="inlineStr">
        <is>
          <t>Caching mechanisms as policy variables: implicit, explicit (breakpoints, retention) or recorded only?</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K9 Cache &amp; billing</t>
        </is>
      </c>
      <c r="I26" s="6" t="inlineStr">
        <is>
          <t>G2 Before the affected pilot/arm</t>
        </is>
      </c>
      <c r="J26" s="6" t="inlineStr">
        <is>
          <t>High</t>
        </is>
      </c>
      <c r="K26" s="6" t="n">
        <v>33</v>
      </c>
      <c r="L26" s="6" t="inlineStr">
        <is>
          <t>W1 Decide</t>
        </is>
      </c>
      <c r="M26" s="6" t="inlineStr">
        <is>
          <t>S06</t>
        </is>
      </c>
      <c r="N26" s="6" t="inlineStr">
        <is>
          <t>Joaa</t>
        </is>
      </c>
      <c r="O26" s="6" t="inlineStr">
        <is>
          <t>Ask Joaa (Q-J26)</t>
        </is>
      </c>
      <c r="P26" s="6" t="inlineStr">
        <is>
          <t>Partly</t>
        </is>
      </c>
      <c r="Q26" s="6" t="inlineStr">
        <is>
          <t>Decision</t>
        </is>
      </c>
      <c r="R26" s="6" t="inlineStr">
        <is>
          <t>Item</t>
        </is>
      </c>
      <c r="S26" s="6" t="inlineStr"/>
      <c r="T26"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26"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26" s="6" t="inlineStr">
        <is>
          <t>Variables and recorded-only items listed in the evaluation contract.</t>
        </is>
      </c>
      <c r="W26" s="6" t="inlineStr"/>
      <c r="X26" s="6" t="inlineStr">
        <is>
          <t>C-S03, N-5, C-D02</t>
        </is>
      </c>
      <c r="Y26" s="6" t="inlineStr">
        <is>
          <t>Q-J26</t>
        </is>
      </c>
      <c r="Z26" s="6" t="inlineStr">
        <is>
          <t>DESK-ANALYSIS</t>
        </is>
      </c>
      <c r="AA26" s="6" t="inlineStr">
        <is>
          <t>K2 Objective &amp; accounting</t>
        </is>
      </c>
      <c r="AB26" s="6" t="inlineStr">
        <is>
          <t>DEC</t>
        </is>
      </c>
      <c r="AC26" s="6" t="inlineStr">
        <is>
          <t>n/a (new)</t>
        </is>
      </c>
      <c r="AD26" s="6" t="inlineStr">
        <is>
          <t>NEW</t>
        </is>
      </c>
      <c r="AE26" s="6" t="inlineStr">
        <is>
          <t>2026-10-19</t>
        </is>
      </c>
      <c r="AF26" s="6" t="inlineStr">
        <is>
          <t>FND-0008 (findings/SUM-0010); EXT-0115, EXT-0137, EXT-0141, EXT-0142, EXT-0143; Supervisor statements S-J-001</t>
        </is>
      </c>
      <c r="AG26" s="6" t="inlineStr"/>
      <c r="AH26" s="6" t="inlineStr">
        <is>
          <t>No</t>
        </is>
      </c>
      <c r="AI26" s="6" t="inlineStr"/>
      <c r="AJ26" s="6" t="inlineStr">
        <is>
          <t>Joaa 19 Oct (Supervisor statements sheet)</t>
        </is>
      </c>
      <c r="AK26" s="6" t="inlineStr">
        <is>
          <t>Joaa 19 Oct 12:15 (implicit and explicit caching), Joaa 19 Oct 12:15 (implicit and explicit caching)</t>
        </is>
      </c>
      <c r="AL26" s="6" t="inlineStr">
        <is>
          <t>S06</t>
        </is>
      </c>
    </row>
    <row r="27" ht="115.5" customHeight="1">
      <c r="A27" s="5" t="inlineStr">
        <is>
          <t>N-27</t>
        </is>
      </c>
      <c r="B27" s="6" t="inlineStr">
        <is>
          <t>Anticipating needs before the first request: new user (role/deployment) vs returning user (memory)</t>
        </is>
      </c>
      <c r="C27" s="6" t="inlineStr">
        <is>
          <t>OPEN</t>
        </is>
      </c>
      <c r="D27" s="6">
        <f>IFERROR(INDEX(Lists!$B$2:$B$14,MATCH(C27,Lists!$A$2:$A$14,0)),"?")</f>
        <v/>
      </c>
      <c r="E27" s="6">
        <f>IF(COUNTIFS(Links!$B$2:$B$600,A27,Links!$E$2:$E$600,"Yes")&gt;0,"REVISE","")</f>
        <v/>
      </c>
      <c r="F27" s="6">
        <f>COUNTIFS(Links!$B$2:$B$600,A27,Links!$D$2:$D$600,"No",Links!$C$2:$C$600,"&lt;&gt;INFORMS")</f>
        <v/>
      </c>
      <c r="G27" s="10" t="inlineStr">
        <is>
          <t>JOAA-DECISION</t>
        </is>
      </c>
      <c r="H27" s="6" t="inlineStr">
        <is>
          <t>K4 Memory &amp; sessions</t>
        </is>
      </c>
      <c r="I27" s="6" t="inlineStr">
        <is>
          <t>G2 Before the affected pilot/arm</t>
        </is>
      </c>
      <c r="J27" s="6" t="inlineStr">
        <is>
          <t>High</t>
        </is>
      </c>
      <c r="K27" s="6" t="n">
        <v>34</v>
      </c>
      <c r="L27" s="6" t="inlineStr">
        <is>
          <t>W1 Decide</t>
        </is>
      </c>
      <c r="M27" s="6" t="inlineStr">
        <is>
          <t>S06</t>
        </is>
      </c>
      <c r="N27" s="6" t="inlineStr">
        <is>
          <t>Joaa</t>
        </is>
      </c>
      <c r="O27" s="6" t="inlineStr">
        <is>
          <t>Ask Joaa (Q-J27)</t>
        </is>
      </c>
      <c r="P27" s="6" t="inlineStr">
        <is>
          <t>Partly</t>
        </is>
      </c>
      <c r="Q27" s="6" t="inlineStr">
        <is>
          <t>Decision</t>
        </is>
      </c>
      <c r="R27" s="6" t="inlineStr">
        <is>
          <t>Item</t>
        </is>
      </c>
      <c r="S27" s="6" t="inlineStr"/>
      <c r="T27"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7" s="6" t="inlineStr">
        <is>
          <t>v4 already starts small and appends on demand; role- or memory-seeded tools are listed as an arm candidate (C-D08/ARMS-CACHE); anticipating a new user had no row until now.</t>
        </is>
      </c>
      <c r="V27" s="6" t="inlineStr">
        <is>
          <t>In or out of scope; if in, an arm set is defined.</t>
        </is>
      </c>
      <c r="W27" s="6" t="inlineStr"/>
      <c r="X27" s="6" t="inlineStr">
        <is>
          <t>N-2, C-S15</t>
        </is>
      </c>
      <c r="Y27" s="6" t="inlineStr">
        <is>
          <t>Q-J27</t>
        </is>
      </c>
      <c r="Z27" s="6" t="inlineStr">
        <is>
          <t>TEST-PILOT</t>
        </is>
      </c>
      <c r="AA27" s="6" t="inlineStr">
        <is>
          <t>K3 Policy form</t>
        </is>
      </c>
      <c r="AB27" s="6" t="inlineStr">
        <is>
          <t>DEC+DATA</t>
        </is>
      </c>
      <c r="AC27" s="6" t="inlineStr">
        <is>
          <t>n/a (new)</t>
        </is>
      </c>
      <c r="AD27" s="6" t="inlineStr">
        <is>
          <t>NEW</t>
        </is>
      </c>
      <c r="AE27" s="6" t="inlineStr">
        <is>
          <t>2026-10-19</t>
        </is>
      </c>
      <c r="AF27" s="6" t="inlineStr">
        <is>
          <t>Supervisor statements S-J-005, S-J-006; v4-04 section 1 (row 5) and section 5 (prefix layout)</t>
        </is>
      </c>
      <c r="AG27" s="6" t="inlineStr"/>
      <c r="AH27" s="6" t="inlineStr">
        <is>
          <t>No</t>
        </is>
      </c>
      <c r="AI27" s="6" t="inlineStr"/>
      <c r="AJ27" s="6" t="inlineStr">
        <is>
          <t>Joaa 19 Oct (Supervisor statements sheet)</t>
        </is>
      </c>
      <c r="AK27" s="6" t="inlineStr">
        <is>
          <t>Joaa 19 Oct 12:22 (probably best: mimic context); Joaa 19 Oct 12:25 (context grows), Joaa 19 Oct 12:22 (probably best: mimic context), Joaa 19 Oct 12:25 (context grows)</t>
        </is>
      </c>
      <c r="AL27" s="6" t="inlineStr">
        <is>
          <t>S06</t>
        </is>
      </c>
    </row>
    <row r="28" ht="90.5" customHeight="1">
      <c r="A28" s="5" t="inlineStr">
        <is>
          <t>N-22</t>
        </is>
      </c>
      <c r="B28" s="6" t="inlineStr">
        <is>
          <t>Joaa's proposal: combine MCP server context, memory and explicit caching to find the best policy</t>
        </is>
      </c>
      <c r="C28" s="6" t="inlineStr">
        <is>
          <t>OPEN</t>
        </is>
      </c>
      <c r="D28" s="6">
        <f>IFERROR(INDEX(Lists!$B$2:$B$14,MATCH(C28,Lists!$A$2:$A$14,0)),"?")</f>
        <v/>
      </c>
      <c r="E28" s="6">
        <f>IF(COUNTIFS(Links!$B$2:$B$600,A28,Links!$E$2:$E$600,"Yes")&gt;0,"REVISE","")</f>
        <v/>
      </c>
      <c r="F28" s="6">
        <f>COUNTIFS(Links!$B$2:$B$600,A28,Links!$D$2:$D$600,"No",Links!$C$2:$C$600,"&lt;&gt;INFORMS")</f>
        <v/>
      </c>
      <c r="G28" s="10" t="inlineStr">
        <is>
          <t>JOAA-DECISION</t>
        </is>
      </c>
      <c r="H28" s="6" t="inlineStr">
        <is>
          <t>K4 Memory &amp; sessions</t>
        </is>
      </c>
      <c r="I28" s="6" t="inlineStr">
        <is>
          <t>G2 Before the affected pilot/arm</t>
        </is>
      </c>
      <c r="J28" s="6" t="inlineStr">
        <is>
          <t>High</t>
        </is>
      </c>
      <c r="K28" s="6" t="n">
        <v>35</v>
      </c>
      <c r="L28" s="6" t="inlineStr">
        <is>
          <t>W1 Decide</t>
        </is>
      </c>
      <c r="M28" s="6" t="inlineStr">
        <is>
          <t>S06</t>
        </is>
      </c>
      <c r="N28" s="6" t="inlineStr">
        <is>
          <t>Joaa</t>
        </is>
      </c>
      <c r="O28" s="6" t="inlineStr">
        <is>
          <t>Part of Q-J05</t>
        </is>
      </c>
      <c r="P28" s="6" t="inlineStr">
        <is>
          <t>Partly</t>
        </is>
      </c>
      <c r="Q28" s="6" t="inlineStr">
        <is>
          <t>Decision</t>
        </is>
      </c>
      <c r="R28" s="6" t="inlineStr">
        <is>
          <t>Sub-item</t>
        </is>
      </c>
      <c r="S28" s="6" t="inlineStr">
        <is>
          <t>C-D07</t>
        </is>
      </c>
      <c r="T28"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28" s="6" t="inlineStr">
        <is>
          <t>Each of the three has separate evidence in the repo; their combination has not been tested.</t>
        </is>
      </c>
      <c r="V28" s="6" t="inlineStr">
        <is>
          <t>In or out of scope; if in, an arm set is defined.</t>
        </is>
      </c>
      <c r="W28" s="6" t="inlineStr">
        <is>
          <t>N-9</t>
        </is>
      </c>
      <c r="X28" s="6" t="inlineStr"/>
      <c r="Y28" s="6" t="inlineStr">
        <is>
          <t>Q-J05, Q-J06</t>
        </is>
      </c>
      <c r="Z28" s="6" t="inlineStr">
        <is>
          <t>TEST-PILOT</t>
        </is>
      </c>
      <c r="AA28" s="6" t="inlineStr"/>
      <c r="AB28" s="6" t="inlineStr">
        <is>
          <t>DEC+DATA</t>
        </is>
      </c>
      <c r="AC28" s="6" t="inlineStr">
        <is>
          <t>n/a (new)</t>
        </is>
      </c>
      <c r="AD28" s="6" t="inlineStr">
        <is>
          <t>NEW (repo sweep)</t>
        </is>
      </c>
      <c r="AE28" s="6" t="inlineStr">
        <is>
          <t>2026-10-19</t>
        </is>
      </c>
      <c r="AF28" s="6" t="inlineStr">
        <is>
          <t>Supervisor statements S-J-004; v4-04 section 5 (three interacting dimensions, hypotheses)</t>
        </is>
      </c>
      <c r="AG28" s="6" t="inlineStr"/>
      <c r="AH28" s="6" t="inlineStr">
        <is>
          <t>No</t>
        </is>
      </c>
      <c r="AI28" s="6" t="inlineStr"/>
      <c r="AJ28" s="6" t="inlineStr">
        <is>
          <t>review 19 Oct section 3.2</t>
        </is>
      </c>
      <c r="AK28" s="6" t="inlineStr">
        <is>
          <t>Joaa 19 Oct 12:22 (combine all three)</t>
        </is>
      </c>
      <c r="AL28" s="6" t="inlineStr">
        <is>
          <t>S06</t>
        </is>
      </c>
    </row>
    <row r="29" ht="28" customHeight="1">
      <c r="A29" s="5" t="inlineStr">
        <is>
          <t>C-D03/ANSWERER</t>
        </is>
      </c>
      <c r="B29" s="6" t="inlineStr">
        <is>
          <t>Who or what answers each stage's question (model, rule, score)?</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K3 Policy form</t>
        </is>
      </c>
      <c r="I29" s="6" t="inlineStr">
        <is>
          <t>G2 Before the affected pilot/arm</t>
        </is>
      </c>
      <c r="J29" s="6" t="inlineStr">
        <is>
          <t>High</t>
        </is>
      </c>
      <c r="K29" s="6" t="n">
        <v>36</v>
      </c>
      <c r="L29" s="6" t="inlineStr">
        <is>
          <t>W1 Decide</t>
        </is>
      </c>
      <c r="M29" s="6" t="inlineStr">
        <is>
          <t>S07</t>
        </is>
      </c>
      <c r="N29" s="6" t="inlineStr">
        <is>
          <t>Joaa</t>
        </is>
      </c>
      <c r="O29" s="6" t="inlineStr">
        <is>
          <t>Ask Joaa (Q-J11)</t>
        </is>
      </c>
      <c r="P29" s="6" t="inlineStr">
        <is>
          <t>No</t>
        </is>
      </c>
      <c r="Q29" s="6" t="inlineStr">
        <is>
          <t>Decision</t>
        </is>
      </c>
      <c r="R29" s="6" t="inlineStr">
        <is>
          <t>Sub-item</t>
        </is>
      </c>
      <c r="S29" s="6" t="inlineStr">
        <is>
          <t>C-D03</t>
        </is>
      </c>
      <c r="T29" s="6" t="inlineStr">
        <is>
          <t>The excerpt does not say; v4 treats system-vs-model as an empirical question.</t>
        </is>
      </c>
      <c r="U29" s="6" t="inlineStr">
        <is>
          <t>v4 leaves it empirical.</t>
        </is>
      </c>
      <c r="V29" s="6" t="inlineStr">
        <is>
          <t>Joaa's answer recorded in his words.</t>
        </is>
      </c>
      <c r="W29" s="6" t="inlineStr"/>
      <c r="X29" s="6" t="inlineStr"/>
      <c r="Y29" s="6" t="inlineStr">
        <is>
          <t>Q-J11</t>
        </is>
      </c>
      <c r="Z29" s="6" t="inlineStr"/>
      <c r="AA29" s="6" t="inlineStr"/>
      <c r="AB29" s="6" t="inlineStr">
        <is>
          <t>DEC</t>
        </is>
      </c>
      <c r="AC29" s="6" t="inlineStr">
        <is>
          <t>n/a (sub-item)</t>
        </is>
      </c>
      <c r="AD29" s="6" t="inlineStr">
        <is>
          <t>NEW (repo sweep)</t>
        </is>
      </c>
      <c r="AE29" s="6" t="inlineStr">
        <is>
          <t>2026-10-19</t>
        </is>
      </c>
      <c r="AF29" s="6" t="inlineStr">
        <is>
          <t>v4-02 note 8; COMPARISON section 4</t>
        </is>
      </c>
      <c r="AG29" s="6" t="inlineStr"/>
      <c r="AH29" s="6" t="inlineStr">
        <is>
          <t>No</t>
        </is>
      </c>
      <c r="AI29" s="6" t="inlineStr"/>
      <c r="AJ29" s="6" t="inlineStr">
        <is>
          <t>repo: REGISTER / COMPARISON</t>
        </is>
      </c>
      <c r="AK29" s="6" t="inlineStr">
        <is>
          <t>COMPARISON section 4</t>
        </is>
      </c>
      <c r="AL29" s="6" t="inlineStr">
        <is>
          <t>S05</t>
        </is>
      </c>
    </row>
    <row r="30" ht="40.5" customHeight="1">
      <c r="A30" s="5" t="inlineStr">
        <is>
          <t>C-D03/CONTEXT</t>
        </is>
      </c>
      <c r="B30" s="6" t="inlineStr">
        <is>
          <t>What do 'context' and 'scenario' mean (the request, the trajectory so far, the deployment)?</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K3 Policy form</t>
        </is>
      </c>
      <c r="I30" s="6" t="inlineStr">
        <is>
          <t>G2 Before the affected pilot/arm</t>
        </is>
      </c>
      <c r="J30" s="6" t="inlineStr">
        <is>
          <t>High</t>
        </is>
      </c>
      <c r="K30" s="6" t="n">
        <v>37</v>
      </c>
      <c r="L30" s="6" t="inlineStr">
        <is>
          <t>W1 Decide</t>
        </is>
      </c>
      <c r="M30" s="6" t="inlineStr">
        <is>
          <t>S07</t>
        </is>
      </c>
      <c r="N30" s="6" t="inlineStr">
        <is>
          <t>Joaa</t>
        </is>
      </c>
      <c r="O30" s="6" t="inlineStr">
        <is>
          <t>Ask Joaa (Q-J09)</t>
        </is>
      </c>
      <c r="P30" s="6" t="inlineStr">
        <is>
          <t>No</t>
        </is>
      </c>
      <c r="Q30" s="6" t="inlineStr">
        <is>
          <t>Decision</t>
        </is>
      </c>
      <c r="R30" s="6" t="inlineStr">
        <is>
          <t>Sub-item</t>
        </is>
      </c>
      <c r="S30" s="6" t="inlineStr">
        <is>
          <t>C-D03</t>
        </is>
      </c>
      <c r="T30" s="6" t="inlineStr">
        <is>
          <t>REQ-O14-09 / brief Q2: 'based on the context and based on the scenario it will be different' are undefined; the excerpt may be prescriptive or a prediction.</t>
        </is>
      </c>
      <c r="U30" s="6" t="inlineStr">
        <is>
          <t>Open.</t>
        </is>
      </c>
      <c r="V30" s="6" t="inlineStr">
        <is>
          <t>Joaa's answer recorded in his words.</t>
        </is>
      </c>
      <c r="W30" s="6" t="inlineStr"/>
      <c r="X30" s="6" t="inlineStr"/>
      <c r="Y30" s="6" t="inlineStr">
        <is>
          <t>Q-J09, Q-J25</t>
        </is>
      </c>
      <c r="Z30" s="6" t="inlineStr"/>
      <c r="AA30" s="6" t="inlineStr"/>
      <c r="AB30" s="6" t="inlineStr">
        <is>
          <t>DEC</t>
        </is>
      </c>
      <c r="AC30" s="6" t="inlineStr">
        <is>
          <t>n/a (sub-item)</t>
        </is>
      </c>
      <c r="AD30" s="6" t="inlineStr">
        <is>
          <t>NEW (repo sweep)</t>
        </is>
      </c>
      <c r="AE30" s="6" t="inlineStr">
        <is>
          <t>2026-10-19</t>
        </is>
      </c>
      <c r="AF30" s="6" t="inlineStr">
        <is>
          <t>intake E5; REGISTER REQ-O14-09; v4-01 section 3</t>
        </is>
      </c>
      <c r="AG30" s="6" t="inlineStr"/>
      <c r="AH30" s="6" t="inlineStr">
        <is>
          <t>No</t>
        </is>
      </c>
      <c r="AI30" s="6" t="inlineStr"/>
      <c r="AJ30" s="6" t="inlineStr">
        <is>
          <t>repo: REGISTER / COMPARISON</t>
        </is>
      </c>
      <c r="AK30" s="6" t="inlineStr">
        <is>
          <t>REQ-O14-09, v4-01 Q2</t>
        </is>
      </c>
      <c r="AL30" s="6" t="inlineStr">
        <is>
          <t>S05</t>
        </is>
      </c>
    </row>
    <row r="31" ht="40.5" customHeight="1">
      <c r="A31" s="5" t="inlineStr">
        <is>
          <t>C-D03/STAGES</t>
        </is>
      </c>
      <c r="B31" s="6" t="inlineStr">
        <is>
          <t>What does 'which one applies at which stage' mean; what are 'stages' (policy or evaluation)?</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K3 Policy form</t>
        </is>
      </c>
      <c r="I31" s="6" t="inlineStr">
        <is>
          <t>G2 Before the affected pilot/arm</t>
        </is>
      </c>
      <c r="J31" s="6" t="inlineStr">
        <is>
          <t>High</t>
        </is>
      </c>
      <c r="K31" s="6" t="n">
        <v>38</v>
      </c>
      <c r="L31" s="6" t="inlineStr">
        <is>
          <t>W1 Decide</t>
        </is>
      </c>
      <c r="M31" s="6" t="inlineStr">
        <is>
          <t>S07</t>
        </is>
      </c>
      <c r="N31" s="6" t="inlineStr">
        <is>
          <t>Joaa</t>
        </is>
      </c>
      <c r="O31" s="6" t="inlineStr">
        <is>
          <t>Ask Joaa (Q-J10)</t>
        </is>
      </c>
      <c r="P31" s="6" t="inlineStr">
        <is>
          <t>No</t>
        </is>
      </c>
      <c r="Q31" s="6" t="inlineStr">
        <is>
          <t>Decision</t>
        </is>
      </c>
      <c r="R31" s="6" t="inlineStr">
        <is>
          <t>Sub-item</t>
        </is>
      </c>
      <c r="S31" s="6" t="inlineStr">
        <is>
          <t>C-D03</t>
        </is>
      </c>
      <c r="T31" s="6" t="inlineStr">
        <is>
          <t>REQ-O14-11 (class unclear): the antecedent of 'which one' and the meaning of 'stages' are not in the excerpt; 'time' in 'which one works at which time' is also undefined (REQ-O14-06).</t>
        </is>
      </c>
      <c r="U31" s="6" t="inlineStr">
        <is>
          <t>Open.</t>
        </is>
      </c>
      <c r="V31" s="6" t="inlineStr">
        <is>
          <t>Joaa's answer recorded in his words.</t>
        </is>
      </c>
      <c r="W31" s="6" t="inlineStr"/>
      <c r="X31" s="6" t="inlineStr"/>
      <c r="Y31" s="6" t="inlineStr">
        <is>
          <t>Q-J10</t>
        </is>
      </c>
      <c r="Z31" s="6" t="inlineStr"/>
      <c r="AA31" s="6" t="inlineStr"/>
      <c r="AB31" s="6" t="inlineStr">
        <is>
          <t>DEC</t>
        </is>
      </c>
      <c r="AC31" s="6" t="inlineStr">
        <is>
          <t>n/a (sub-item)</t>
        </is>
      </c>
      <c r="AD31" s="6" t="inlineStr">
        <is>
          <t>NEW (repo sweep)</t>
        </is>
      </c>
      <c r="AE31" s="6" t="inlineStr">
        <is>
          <t>2026-10-19</t>
        </is>
      </c>
      <c r="AF31" s="6" t="inlineStr">
        <is>
          <t>REGISTER REQ-O14-11; COMPARISON section 4</t>
        </is>
      </c>
      <c r="AG31" s="6" t="inlineStr"/>
      <c r="AH31" s="6" t="inlineStr">
        <is>
          <t>No</t>
        </is>
      </c>
      <c r="AI31" s="6" t="inlineStr"/>
      <c r="AJ31" s="6" t="inlineStr">
        <is>
          <t>repo: REGISTER / COMPARISON</t>
        </is>
      </c>
      <c r="AK31" s="6" t="inlineStr">
        <is>
          <t>REQ-O14-11, REQ-O14-06</t>
        </is>
      </c>
      <c r="AL31" s="6" t="inlineStr">
        <is>
          <t>S05</t>
        </is>
      </c>
    </row>
    <row r="32" ht="53" customHeight="1">
      <c r="A32" s="5" t="inlineStr">
        <is>
          <t>C-R02/C10-13</t>
        </is>
      </c>
      <c r="B32" s="6" t="inlineStr">
        <is>
          <t>Offline/runtime label, D-node presentation, G vs C-A, A1-A5 disagreements</t>
        </is>
      </c>
      <c r="C32" s="6" t="inlineStr">
        <is>
          <t>PARTLY ANSWERED</t>
        </is>
      </c>
      <c r="D32" s="6">
        <f>IFERROR(INDEX(Lists!$B$2:$B$14,MATCH(C32,Lists!$A$2:$A$14,0)),"?")</f>
        <v/>
      </c>
      <c r="E32" s="6">
        <f>IF(COUNTIFS(Links!$B$2:$B$600,A32,Links!$E$2:$E$600,"Yes")&gt;0,"REVISE","")</f>
        <v/>
      </c>
      <c r="F32" s="6">
        <f>COUNTIFS(Links!$B$2:$B$600,A32,Links!$D$2:$D$600,"No",Links!$C$2:$C$600,"&lt;&gt;INFORMS")</f>
        <v/>
      </c>
      <c r="G32" s="8" t="inlineStr">
        <is>
          <t>RECORDS-AT-HAND</t>
        </is>
      </c>
      <c r="H32" s="6" t="inlineStr">
        <is>
          <t>K17 Record repair &amp; procedure error</t>
        </is>
      </c>
      <c r="I32" s="6" t="inlineStr">
        <is>
          <t>G5 Housekeeping / no block</t>
        </is>
      </c>
      <c r="J32" s="6" t="inlineStr">
        <is>
          <t>Low</t>
        </is>
      </c>
      <c r="K32" s="6" t="n">
        <v>39</v>
      </c>
      <c r="L32" s="6" t="inlineStr">
        <is>
          <t>W1 Decide</t>
        </is>
      </c>
      <c r="M32" s="6" t="inlineStr">
        <is>
          <t>S07</t>
        </is>
      </c>
      <c r="N32" s="6" t="inlineStr">
        <is>
          <t>You (presentation); team (E6)</t>
        </is>
      </c>
      <c r="O32" s="6" t="inlineStr">
        <is>
          <t>Lead drafts the fix; you approve</t>
        </is>
      </c>
      <c r="P32" s="6" t="inlineStr">
        <is>
          <t>Partly</t>
        </is>
      </c>
      <c r="Q32" s="6" t="inlineStr">
        <is>
          <t>Disagreement</t>
        </is>
      </c>
      <c r="R32" s="6" t="inlineStr">
        <is>
          <t>Sub-item</t>
        </is>
      </c>
      <c r="S32" s="6" t="inlineStr">
        <is>
          <t>C-R02</t>
        </is>
      </c>
      <c r="T32" s="6" t="inlineStr">
        <is>
          <t>SRC-06 C10-C13 (grouped in SRC-11 D4): label accepted as accurate; D-node presentation is the user's decision; G vs C-A has no winner and selection inflation is unmeasured; A1-A5 disagreements persist; A6 withdrawn in v3.</t>
        </is>
      </c>
      <c r="U32" s="6" t="inlineStr">
        <is>
          <t>Presentation decided by the lead (AUTH-010); retained disagreements listed in v2-06 and v3-04.</t>
        </is>
      </c>
      <c r="V32" s="6" t="inlineStr">
        <is>
          <t>Independent re-check and a dated fix.</t>
        </is>
      </c>
      <c r="W32" s="6" t="inlineStr"/>
      <c r="X32" s="6" t="inlineStr"/>
      <c r="Y32" s="6" t="inlineStr">
        <is>
          <t>Q-U10</t>
        </is>
      </c>
      <c r="Z32" s="6" t="inlineStr"/>
      <c r="AA32" s="6" t="inlineStr"/>
      <c r="AB32" s="6" t="inlineStr">
        <is>
          <t>RECORD+DATA</t>
        </is>
      </c>
      <c r="AC32" s="6" t="inlineStr">
        <is>
          <t>n/a (sub-item)</t>
        </is>
      </c>
      <c r="AD32" s="6" t="inlineStr">
        <is>
          <t>NEW (SRC-11 sub-row)</t>
        </is>
      </c>
      <c r="AE32" s="6" t="inlineStr">
        <is>
          <t>2026-10-19</t>
        </is>
      </c>
      <c r="AF32" s="6" t="inlineStr">
        <is>
          <t>WD-019/020; v2-06 section A; v3-04 section 3</t>
        </is>
      </c>
      <c r="AG32" s="6" t="inlineStr"/>
      <c r="AH32" s="6" t="inlineStr">
        <is>
          <t>No for presentation</t>
        </is>
      </c>
      <c r="AI32" s="6" t="inlineStr"/>
      <c r="AJ32" s="6" t="inlineStr">
        <is>
          <t>SRC-11 section D4</t>
        </is>
      </c>
      <c r="AK32" s="6" t="inlineStr">
        <is>
          <t>SRC-06 C10-C13, v2-06 A1-A5</t>
        </is>
      </c>
      <c r="AL32" s="6" t="inlineStr">
        <is>
          <t>S05</t>
        </is>
      </c>
    </row>
    <row r="33" ht="40.5" customHeight="1">
      <c r="A33" s="5" t="inlineStr">
        <is>
          <t>C-D04</t>
        </is>
      </c>
      <c r="B33" s="6" t="inlineStr">
        <is>
          <t>Must each stage save tokens, or only the whole trajectory ('pays' per stage vs per trajectory), and does re...</t>
        </is>
      </c>
      <c r="C33" s="6" t="inlineStr">
        <is>
          <t>PARTLY ANSWERED</t>
        </is>
      </c>
      <c r="D33" s="6">
        <f>IFERROR(INDEX(Lists!$B$2:$B$14,MATCH(C33,Lists!$A$2:$A$14,0)),"?")</f>
        <v/>
      </c>
      <c r="E33" s="6">
        <f>IF(COUNTIFS(Links!$B$2:$B$600,A33,Links!$E$2:$E$600,"Yes")&gt;0,"REVISE","")</f>
        <v/>
      </c>
      <c r="F33" s="6">
        <f>COUNTIFS(Links!$B$2:$B$600,A33,Links!$D$2:$D$600,"No",Links!$C$2:$C$600,"&lt;&gt;INFORMS")</f>
        <v/>
      </c>
      <c r="G33" s="10" t="inlineStr">
        <is>
          <t>JOAA-DECISION</t>
        </is>
      </c>
      <c r="H33" s="6" t="inlineStr">
        <is>
          <t>K3 Policy form</t>
        </is>
      </c>
      <c r="I33" s="6" t="inlineStr">
        <is>
          <t>G2 Before the affected pilot/arm</t>
        </is>
      </c>
      <c r="J33" s="6" t="inlineStr">
        <is>
          <t>High</t>
        </is>
      </c>
      <c r="K33" s="6" t="n">
        <v>40</v>
      </c>
      <c r="L33" s="6" t="inlineStr">
        <is>
          <t>W1 Decide</t>
        </is>
      </c>
      <c r="M33" s="6" t="inlineStr">
        <is>
          <t>S07</t>
        </is>
      </c>
      <c r="N33" s="6" t="inlineStr">
        <is>
          <t>Joaa</t>
        </is>
      </c>
      <c r="O33" s="6" t="inlineStr">
        <is>
          <t>Ask Joaa (Q-J07)</t>
        </is>
      </c>
      <c r="P33" s="6" t="inlineStr">
        <is>
          <t>Partly</t>
        </is>
      </c>
      <c r="Q33" s="6" t="inlineStr">
        <is>
          <t>Decision</t>
        </is>
      </c>
      <c r="R33" s="6" t="inlineStr">
        <is>
          <t>Item</t>
        </is>
      </c>
      <c r="S33" s="6" t="inlineStr"/>
      <c r="T33" s="6" t="inlineStr">
        <is>
          <t>Must each stage save tokens, or only the whole trajectory ('pays' per stage vs per trajectory), and does re-adding a tool change that?</t>
        </is>
      </c>
      <c r="U33" s="6" t="inlineStr">
        <is>
          <t>Turn horizon: 2 Oct 'save token for a number of turns' (second-hand); stage rule unchosen (S4D lists five readings).</t>
        </is>
      </c>
      <c r="V33" s="6" t="inlineStr">
        <is>
          <t>One reading of 'pays' chosen.</t>
        </is>
      </c>
      <c r="W33" s="6" t="inlineStr">
        <is>
          <t>C-D02</t>
        </is>
      </c>
      <c r="X33" s="6" t="inlineStr">
        <is>
          <t>C-D03</t>
        </is>
      </c>
      <c r="Y33" s="6" t="inlineStr">
        <is>
          <t>Q-J07</t>
        </is>
      </c>
      <c r="Z33" s="6" t="inlineStr"/>
      <c r="AA33" s="6" t="inlineStr">
        <is>
          <t>K2 Objective &amp; accounting</t>
        </is>
      </c>
      <c r="AB33" s="6" t="inlineStr">
        <is>
          <t>DEC</t>
        </is>
      </c>
      <c r="AC33" s="6" t="inlineStr">
        <is>
          <t>PARTLY ANSWERED - OPEN</t>
        </is>
      </c>
      <c r="AD33" s="6" t="inlineStr">
        <is>
          <t>UNCHANGED</t>
        </is>
      </c>
      <c r="AE33" s="6" t="inlineStr">
        <is>
          <t>2026-10-19</t>
        </is>
      </c>
      <c r="AF33" s="6" t="inlineStr">
        <is>
          <t>EXT-0002 line 27; CAVEATS row 5; REGISTER Q4</t>
        </is>
      </c>
      <c r="AG33" s="6" t="inlineStr"/>
      <c r="AH33" s="6" t="inlineStr">
        <is>
          <t>No</t>
        </is>
      </c>
      <c r="AI33" s="6" t="inlineStr"/>
      <c r="AJ33" s="6" t="inlineStr">
        <is>
          <t>SRC-11 canonical</t>
        </is>
      </c>
      <c r="AK33" s="6" t="inlineStr">
        <is>
          <t>REGISTER G.3 Q4, COMPARISON C2, CAVEATS 5, SRC-06 D04</t>
        </is>
      </c>
      <c r="AL33" s="6" t="inlineStr">
        <is>
          <t>S05</t>
        </is>
      </c>
    </row>
    <row r="34" ht="40.5" customHeight="1">
      <c r="A34" s="5" t="inlineStr">
        <is>
          <t>C-D03</t>
        </is>
      </c>
      <c r="B34" s="6" t="inlineStr">
        <is>
          <t>Is the staged question-per-step form binding, or is a policy whose stages appear only where a test justifie...</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K3 Policy form</t>
        </is>
      </c>
      <c r="I34" s="6" t="inlineStr">
        <is>
          <t>G2 Before the affected pilot/arm</t>
        </is>
      </c>
      <c r="J34" s="6" t="inlineStr">
        <is>
          <t>High</t>
        </is>
      </c>
      <c r="K34" s="6" t="n">
        <v>41</v>
      </c>
      <c r="L34" s="6" t="inlineStr">
        <is>
          <t>W1 Decide</t>
        </is>
      </c>
      <c r="M34" s="6" t="inlineStr">
        <is>
          <t>S07</t>
        </is>
      </c>
      <c r="N34" s="6" t="inlineStr">
        <is>
          <t>Joaa</t>
        </is>
      </c>
      <c r="O34" s="6" t="inlineStr">
        <is>
          <t>Ask Joaa (Q-J01, Q-J08, Q-J09)</t>
        </is>
      </c>
      <c r="P34" s="6" t="inlineStr">
        <is>
          <t>No</t>
        </is>
      </c>
      <c r="Q34" s="6" t="inlineStr">
        <is>
          <t>Decision</t>
        </is>
      </c>
      <c r="R34" s="6" t="inlineStr">
        <is>
          <t>Item</t>
        </is>
      </c>
      <c r="S34" s="6" t="inlineStr"/>
      <c r="T34" s="6" t="inlineStr">
        <is>
          <t>Is the staged question-per-step form binding, or is a policy whose stages appear only where a test justifies them acceptable (including zero narrowing stages)?</t>
        </is>
      </c>
      <c r="U34" s="6" t="inlineStr">
        <is>
          <t>v4 keeps stage count as a study output; Joaa's 19 Oct points do not address it (per your account).</t>
        </is>
      </c>
      <c r="V34" s="6" t="inlineStr">
        <is>
          <t>Answer to brief Q1 / REGISTER Q2, in his words.</t>
        </is>
      </c>
      <c r="W34" s="6" t="inlineStr">
        <is>
          <t>C-D01</t>
        </is>
      </c>
      <c r="X34" s="6" t="inlineStr"/>
      <c r="Y34" s="6" t="inlineStr">
        <is>
          <t>Q-J01, Q-J08, Q-J09</t>
        </is>
      </c>
      <c r="Z34" s="6" t="inlineStr"/>
      <c r="AA34" s="6" t="inlineStr"/>
      <c r="AB34" s="6" t="inlineStr">
        <is>
          <t>DEC</t>
        </is>
      </c>
      <c r="AC34" s="6" t="inlineStr">
        <is>
          <t>PARTLY ANSWERED - OPEN</t>
        </is>
      </c>
      <c r="AD34" s="6" t="inlineStr">
        <is>
          <t>UNCHANGED</t>
        </is>
      </c>
      <c r="AE34" s="6" t="inlineStr">
        <is>
          <t>2026-10-19</t>
        </is>
      </c>
      <c r="AF34" s="6" t="inlineStr">
        <is>
          <t>v4-01 section 8 Q1; REGISTER REQ-O14-12</t>
        </is>
      </c>
      <c r="AG34" s="6" t="inlineStr"/>
      <c r="AH34" s="6" t="inlineStr">
        <is>
          <t>No</t>
        </is>
      </c>
      <c r="AI34" s="6" t="inlineStr"/>
      <c r="AJ34" s="6" t="inlineStr">
        <is>
          <t>SRC-11 canonical</t>
        </is>
      </c>
      <c r="AK34" s="6" t="inlineStr">
        <is>
          <t>REGISTER G.3 Q2, REQ-O14-12, COMPARISON C4, SRC-06 D03</t>
        </is>
      </c>
      <c r="AL34" s="6" t="inlineStr">
        <is>
          <t>S05</t>
        </is>
      </c>
    </row>
    <row r="35" ht="40.5" customHeight="1">
      <c r="A35" s="5" t="inlineStr">
        <is>
          <t>C-D10</t>
        </is>
      </c>
      <c r="B35" s="6" t="inlineStr">
        <is>
          <t>Confirm the presentation: run-time policy figure separate from the study-protocol figure (D-nodes offline).</t>
        </is>
      </c>
      <c r="C35" s="6" t="inlineStr">
        <is>
          <t>PARTLY ANSWERED</t>
        </is>
      </c>
      <c r="D35" s="6">
        <f>IFERROR(INDEX(Lists!$B$2:$B$14,MATCH(C35,Lists!$A$2:$A$14,0)),"?")</f>
        <v/>
      </c>
      <c r="E35" s="6">
        <f>IF(COUNTIFS(Links!$B$2:$B$600,A35,Links!$E$2:$E$600,"Yes")&gt;0,"REVISE","")</f>
        <v/>
      </c>
      <c r="F35" s="6">
        <f>COUNTIFS(Links!$B$2:$B$600,A35,Links!$D$2:$D$600,"No",Links!$C$2:$C$600,"&lt;&gt;INFORMS")</f>
        <v/>
      </c>
      <c r="G35" s="9" t="inlineStr">
        <is>
          <t>USER-DECISION</t>
        </is>
      </c>
      <c r="H35" s="6" t="inlineStr">
        <is>
          <t>K3 Policy form</t>
        </is>
      </c>
      <c r="I35" s="6" t="inlineStr">
        <is>
          <t>G5 Housekeeping / no block</t>
        </is>
      </c>
      <c r="J35" s="6" t="inlineStr">
        <is>
          <t>Low</t>
        </is>
      </c>
      <c r="K35" s="6" t="n">
        <v>42</v>
      </c>
      <c r="L35" s="6" t="inlineStr">
        <is>
          <t>W1 Decide</t>
        </is>
      </c>
      <c r="M35" s="6" t="inlineStr">
        <is>
          <t>S07</t>
        </is>
      </c>
      <c r="N35" s="6" t="inlineStr">
        <is>
          <t>You</t>
        </is>
      </c>
      <c r="O35" s="6" t="inlineStr">
        <is>
          <t>You decide (Q-J08, Q-U10)</t>
        </is>
      </c>
      <c r="P35" s="6" t="inlineStr">
        <is>
          <t>n/a</t>
        </is>
      </c>
      <c r="Q35" s="6" t="inlineStr">
        <is>
          <t>Decision</t>
        </is>
      </c>
      <c r="R35" s="6" t="inlineStr">
        <is>
          <t>Item</t>
        </is>
      </c>
      <c r="S35" s="6" t="inlineStr"/>
      <c r="T35" s="6" t="inlineStr">
        <is>
          <t>Confirm the presentation: run-time policy figure separate from the study-protocol figure (D-nodes offline).</t>
        </is>
      </c>
      <c r="U35" s="6" t="inlineStr">
        <is>
          <t>Decided by the lead under AUTH-010 (WD-020); not yet confirmed by you; Joaa saw v3.</t>
        </is>
      </c>
      <c r="V35" s="6" t="inlineStr">
        <is>
          <t>You confirm or reverse; decide what Joaa is shown.</t>
        </is>
      </c>
      <c r="W35" s="6" t="inlineStr">
        <is>
          <t>C-D03</t>
        </is>
      </c>
      <c r="X35" s="6" t="inlineStr"/>
      <c r="Y35" s="6" t="inlineStr">
        <is>
          <t>Q-J08, Q-U10</t>
        </is>
      </c>
      <c r="Z35" s="6" t="inlineStr"/>
      <c r="AA35" s="6" t="inlineStr"/>
      <c r="AB35" s="6" t="inlineStr">
        <is>
          <t>DEC</t>
        </is>
      </c>
      <c r="AC35" s="6" t="inlineStr">
        <is>
          <t>PARTLY ANSWERED - OPEN</t>
        </is>
      </c>
      <c r="AD35" s="6" t="inlineStr">
        <is>
          <t>RE-CHARACTERISED</t>
        </is>
      </c>
      <c r="AE35" s="6" t="inlineStr">
        <is>
          <t>2026-10-19</t>
        </is>
      </c>
      <c r="AF35" s="6" t="inlineStr">
        <is>
          <t>WD-020; v4-03 section 1</t>
        </is>
      </c>
      <c r="AG35" s="6" t="inlineStr"/>
      <c r="AH35" s="6" t="inlineStr">
        <is>
          <t>No</t>
        </is>
      </c>
      <c r="AI35" s="6" t="inlineStr"/>
      <c r="AJ35" s="6" t="inlineStr">
        <is>
          <t>SRC-11 canonical</t>
        </is>
      </c>
      <c r="AK35" s="6" t="inlineStr">
        <is>
          <t>SRC-06 D13, SRC-06 C10</t>
        </is>
      </c>
      <c r="AL35" s="6" t="inlineStr">
        <is>
          <t>S05</t>
        </is>
      </c>
    </row>
    <row r="36" ht="40.5" customHeight="1">
      <c r="A36" s="5" t="inlineStr">
        <is>
          <t>C-R02</t>
        </is>
      </c>
      <c r="B36" s="6" t="inlineStr">
        <is>
          <t>Challenge residuals: D-node presentation (decided by lead), no winner between G and C-A, selection inflatio...</t>
        </is>
      </c>
      <c r="C36" s="6" t="inlineStr">
        <is>
          <t>PARTLY ANSWERED</t>
        </is>
      </c>
      <c r="D36" s="6">
        <f>IFERROR(INDEX(Lists!$B$2:$B$14,MATCH(C36,Lists!$A$2:$A$14,0)),"?")</f>
        <v/>
      </c>
      <c r="E36" s="6">
        <f>IF(COUNTIFS(Links!$B$2:$B$600,A36,Links!$E$2:$E$600,"Yes")&gt;0,"REVISE","")</f>
        <v/>
      </c>
      <c r="F36" s="6">
        <f>COUNTIFS(Links!$B$2:$B$600,A36,Links!$D$2:$D$600,"No",Links!$C$2:$C$600,"&lt;&gt;INFORMS")</f>
        <v/>
      </c>
      <c r="G36" s="9" t="inlineStr">
        <is>
          <t>USER-DECISION</t>
        </is>
      </c>
      <c r="H36" s="6" t="inlineStr">
        <is>
          <t>K17 Record repair &amp; procedure error</t>
        </is>
      </c>
      <c r="I36" s="6" t="inlineStr">
        <is>
          <t>G5 Housekeeping / no block</t>
        </is>
      </c>
      <c r="J36" s="6" t="inlineStr">
        <is>
          <t>Low</t>
        </is>
      </c>
      <c r="K36" s="6" t="n">
        <v>43</v>
      </c>
      <c r="L36" s="6" t="inlineStr">
        <is>
          <t>W1 Decide</t>
        </is>
      </c>
      <c r="M36" s="6" t="inlineStr">
        <is>
          <t>S07</t>
        </is>
      </c>
      <c r="N36" s="6" t="inlineStr">
        <is>
          <t>You (presentation); team (E6)</t>
        </is>
      </c>
      <c r="O36" s="6" t="inlineStr">
        <is>
          <t>You decide (Q-U10)</t>
        </is>
      </c>
      <c r="P36" s="6" t="inlineStr">
        <is>
          <t>n/a</t>
        </is>
      </c>
      <c r="Q36" s="6" t="inlineStr">
        <is>
          <t>Decision</t>
        </is>
      </c>
      <c r="R36" s="6" t="inlineStr">
        <is>
          <t>Item</t>
        </is>
      </c>
      <c r="S36" s="6" t="inlineStr"/>
      <c r="T36" s="6" t="inlineStr">
        <is>
          <t>Challenge residuals: D-node presentation (decided by lead), no winner between G and C-A, selection inflation unmeasured.</t>
        </is>
      </c>
      <c r="U36" s="6" t="inlineStr">
        <is>
          <t>Presentation part decided by lead; selection-error part waits on E6.</t>
        </is>
      </c>
      <c r="V36" s="6" t="inlineStr">
        <is>
          <t>Presentation confirmed; selection error measured (X06).</t>
        </is>
      </c>
      <c r="W36" s="6" t="inlineStr">
        <is>
          <t>C-D03</t>
        </is>
      </c>
      <c r="X36" s="6" t="inlineStr"/>
      <c r="Y36" s="6" t="inlineStr">
        <is>
          <t>Q-U10</t>
        </is>
      </c>
      <c r="Z36" s="6" t="inlineStr">
        <is>
          <t>TEST-PILOT</t>
        </is>
      </c>
      <c r="AA36" s="6" t="inlineStr">
        <is>
          <t>K3 Policy form</t>
        </is>
      </c>
      <c r="AB36" s="6" t="inlineStr">
        <is>
          <t>DEC+DATA</t>
        </is>
      </c>
      <c r="AC36" s="6" t="inlineStr">
        <is>
          <t>PARTLY ANSWERED - OPEN</t>
        </is>
      </c>
      <c r="AD36" s="6" t="inlineStr">
        <is>
          <t>RE-CHARACTERISED</t>
        </is>
      </c>
      <c r="AE36" s="6" t="inlineStr">
        <is>
          <t>2026-10-19</t>
        </is>
      </c>
      <c r="AF36" s="6" t="inlineStr">
        <is>
          <t>WD-019/020; CH-0010..0013</t>
        </is>
      </c>
      <c r="AG36" s="6" t="inlineStr"/>
      <c r="AH36" s="6" t="inlineStr">
        <is>
          <t>No for presentation</t>
        </is>
      </c>
      <c r="AI36" s="6" t="inlineStr"/>
      <c r="AJ36" s="6" t="inlineStr">
        <is>
          <t>SRC-11 canonical</t>
        </is>
      </c>
      <c r="AK36" s="6" t="inlineStr">
        <is>
          <t>SRC-06 C10-C13, HYP-0013</t>
        </is>
      </c>
      <c r="AL36" s="6" t="inlineStr">
        <is>
          <t>S05</t>
        </is>
      </c>
    </row>
    <row r="37" ht="53" customHeight="1">
      <c r="A37" s="5" t="inlineStr">
        <is>
          <t>N-16</t>
        </is>
      </c>
      <c r="B37" s="6" t="inlineStr">
        <is>
          <t>No design record is approved; human review of the v4 package pending</t>
        </is>
      </c>
      <c r="C37" s="6" t="inlineStr">
        <is>
          <t>OPEN</t>
        </is>
      </c>
      <c r="D37" s="6">
        <f>IFERROR(INDEX(Lists!$B$2:$B$14,MATCH(C37,Lists!$A$2:$A$14,0)),"?")</f>
        <v/>
      </c>
      <c r="E37" s="6">
        <f>IF(COUNTIFS(Links!$B$2:$B$600,A37,Links!$E$2:$E$600,"Yes")&gt;0,"REVISE","")</f>
        <v/>
      </c>
      <c r="F37" s="6">
        <f>COUNTIFS(Links!$B$2:$B$600,A37,Links!$D$2:$D$600,"No",Links!$C$2:$C$600,"&lt;&gt;INFORMS")</f>
        <v/>
      </c>
      <c r="G37" s="9" t="inlineStr">
        <is>
          <t>USER-DECISION</t>
        </is>
      </c>
      <c r="H37" s="6" t="inlineStr">
        <is>
          <t>K6 Deliverable &amp; authorization</t>
        </is>
      </c>
      <c r="I37" s="6" t="inlineStr">
        <is>
          <t>G5 Housekeeping / no block</t>
        </is>
      </c>
      <c r="J37" s="6" t="inlineStr">
        <is>
          <t>Low</t>
        </is>
      </c>
      <c r="K37" s="6" t="n">
        <v>44</v>
      </c>
      <c r="L37" s="6" t="inlineStr">
        <is>
          <t>W1 Decide</t>
        </is>
      </c>
      <c r="M37" s="6" t="inlineStr">
        <is>
          <t>S08</t>
        </is>
      </c>
      <c r="N37" s="6" t="inlineStr">
        <is>
          <t>You</t>
        </is>
      </c>
      <c r="O37" s="6" t="inlineStr">
        <is>
          <t>Answer Q-U25</t>
        </is>
      </c>
      <c r="P37" s="6" t="inlineStr">
        <is>
          <t>n/a</t>
        </is>
      </c>
      <c r="Q37" s="6" t="inlineStr">
        <is>
          <t>Decision</t>
        </is>
      </c>
      <c r="R37" s="6" t="inlineStr">
        <is>
          <t>Item</t>
        </is>
      </c>
      <c r="S37" s="6" t="inlineStr"/>
      <c r="T37" s="6" t="inlineStr">
        <is>
          <t>Every design record is provisional/proposed; `approved` needs the human and a design-level AUTH. STATE asks you to review the brief first, then 02 and 03; AUTHORIZATIONS 'Not yet authorized' lists review/acceptance of results.</t>
        </is>
      </c>
      <c r="U37" s="6" t="inlineStr">
        <is>
          <t>Nothing is approved.</t>
        </is>
      </c>
      <c r="V37" s="6" t="inlineStr">
        <is>
          <t>Records you accept are marked approved under an AUTH, the rest stay proposed.</t>
        </is>
      </c>
      <c r="W37" s="6" t="inlineStr"/>
      <c r="X37" s="6" t="inlineStr"/>
      <c r="Y37" s="6" t="inlineStr">
        <is>
          <t>Q-U25</t>
        </is>
      </c>
      <c r="Z37" s="6" t="inlineStr"/>
      <c r="AA37" s="6" t="inlineStr"/>
      <c r="AB37" s="6" t="inlineStr">
        <is>
          <t>DEC</t>
        </is>
      </c>
      <c r="AC37" s="6" t="inlineStr">
        <is>
          <t>n/a (new)</t>
        </is>
      </c>
      <c r="AD37" s="6" t="inlineStr">
        <is>
          <t>NEW (repo sweep)</t>
        </is>
      </c>
      <c r="AE37" s="6" t="inlineStr">
        <is>
          <t>2026-10-19</t>
        </is>
      </c>
      <c r="AF37" s="6" t="inlineStr">
        <is>
          <t>STATE; AUTHORIZATIONS</t>
        </is>
      </c>
      <c r="AG37" s="6" t="inlineStr"/>
      <c r="AH37" s="6" t="inlineStr">
        <is>
          <t>Yes (design-level)</t>
        </is>
      </c>
      <c r="AI37" s="6" t="inlineStr"/>
      <c r="AJ37" s="6" t="inlineStr">
        <is>
          <t>repo: STATE open item 1; AUTHORIZATIONS 'Not yet authorized'</t>
        </is>
      </c>
      <c r="AK37" s="6" t="inlineStr">
        <is>
          <t>STATE open item 1, STATE open item 2</t>
        </is>
      </c>
      <c r="AL37" s="6" t="inlineStr">
        <is>
          <t>S05</t>
        </is>
      </c>
    </row>
    <row r="38" ht="300" customHeight="1">
      <c r="A38" s="5" t="inlineStr">
        <is>
          <t>C-D06/NOVELTY</t>
        </is>
      </c>
      <c r="B38" s="6" t="inlineStr">
        <is>
          <t>Supervisor says the graph is 'your novelty': to be tested, not assumed</t>
        </is>
      </c>
      <c r="C38" s="6" t="inlineStr">
        <is>
          <t>PARTLY ANSWERED</t>
        </is>
      </c>
      <c r="D38" s="6">
        <f>IFERROR(INDEX(Lists!$B$2:$B$14,MATCH(C38,Lists!$A$2:$A$14,0)),"?")</f>
        <v/>
      </c>
      <c r="E38" s="6">
        <f>IF(COUNTIFS(Links!$B$2:$B$600,A38,Links!$E$2:$E$600,"Yes")&gt;0,"REVISE","")</f>
        <v/>
      </c>
      <c r="F38" s="6">
        <f>COUNTIFS(Links!$B$2:$B$600,A38,Links!$D$2:$D$600,"No",Links!$C$2:$C$600,"&lt;&gt;INFORMS")</f>
        <v/>
      </c>
      <c r="G38" s="11" t="inlineStr">
        <is>
          <t>LITERATURE-DIRECTED</t>
        </is>
      </c>
      <c r="H38" s="6" t="inlineStr">
        <is>
          <t>K5 Evaluation contract</t>
        </is>
      </c>
      <c r="I38" s="6" t="inlineStr">
        <is>
          <t>G3 Before confirmatory study</t>
        </is>
      </c>
      <c r="J38" s="6" t="inlineStr">
        <is>
          <t>Normal</t>
        </is>
      </c>
      <c r="K38" s="6" t="n">
        <v>45</v>
      </c>
      <c r="L38" s="6" t="inlineStr">
        <is>
          <t>W1 Decide</t>
        </is>
      </c>
      <c r="M38" s="6" t="inlineStr">
        <is>
          <t>S08</t>
        </is>
      </c>
      <c r="N38" s="6" t="inlineStr">
        <is>
          <t>Joaa</t>
        </is>
      </c>
      <c r="O38" s="6" t="inlineStr">
        <is>
          <t>A novelty claim only if the supervisor wants one (Q-J22); otherwise record 'not claimed'</t>
        </is>
      </c>
      <c r="P38" s="6" t="inlineStr">
        <is>
          <t>No</t>
        </is>
      </c>
      <c r="Q38" s="6" t="inlineStr">
        <is>
          <t>Claim to test</t>
        </is>
      </c>
      <c r="R38" s="6" t="inlineStr">
        <is>
          <t>Sub-item</t>
        </is>
      </c>
      <c r="S38" s="6" t="inlineStr">
        <is>
          <t>C-D06</t>
        </is>
      </c>
      <c r="T38" s="6" t="inlineStr">
        <is>
          <t>REQ-O14-07 and -16 (assertions): 'the main nobility' and 'that is your novelty' are not established; v4 makes no novelty claim; close prior art exists (vendor deferral, retrieval, hierarchical routers).</t>
        </is>
      </c>
      <c r="U38"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t>
        </is>
      </c>
      <c r="V38" s="6" t="inlineStr">
        <is>
          <t>Prior-art overlap assessed if Joaa wants a novelty claim; else stated as not claimed.</t>
        </is>
      </c>
      <c r="W38" s="6" t="inlineStr"/>
      <c r="X38" s="6" t="inlineStr"/>
      <c r="Y38" s="6" t="inlineStr">
        <is>
          <t>Q-J22, Q-J28</t>
        </is>
      </c>
      <c r="Z38" s="6" t="inlineStr">
        <is>
          <t>JOAA-DECISION</t>
        </is>
      </c>
      <c r="AA38" s="6" t="inlineStr"/>
      <c r="AB38" s="6" t="inlineStr">
        <is>
          <t>SOURCE+DEC</t>
        </is>
      </c>
      <c r="AC38" s="6" t="inlineStr">
        <is>
          <t>n/a (sub-item)</t>
        </is>
      </c>
      <c r="AD38" s="6" t="inlineStr">
        <is>
          <t>NEW (repo sweep)</t>
        </is>
      </c>
      <c r="AE38" s="6" t="inlineStr">
        <is>
          <t>2026-10-20</t>
        </is>
      </c>
      <c r="AF38" s="6" t="inlineStr">
        <is>
          <t>FND-0030 (findings/SUM-0032); r4-anthropic-tool-search (lead's check)</t>
        </is>
      </c>
      <c r="AG38" s="6" t="inlineStr"/>
      <c r="AH38" s="6" t="inlineStr">
        <is>
          <t>No</t>
        </is>
      </c>
      <c r="AI38" s="6" t="inlineStr"/>
      <c r="AJ38" s="6" t="inlineStr">
        <is>
          <t>repo: REGISTER / COMPARISON</t>
        </is>
      </c>
      <c r="AK38" s="6" t="inlineStr">
        <is>
          <t>REQ-O14-07, REQ-O14-16, v4-01 section 6 item 8</t>
        </is>
      </c>
      <c r="AL38" s="6" t="inlineStr">
        <is>
          <t>S08</t>
        </is>
      </c>
    </row>
    <row r="39" ht="78" customHeight="1">
      <c r="A39" s="5" t="inlineStr">
        <is>
          <t>C-E06</t>
        </is>
      </c>
      <c r="B39" s="6" t="inlineStr">
        <is>
          <t>True full-catalogue reference cannot run above n_fit (roughly 200 to 10,000 tools); a substitute does not b...</t>
        </is>
      </c>
      <c r="C39" s="6" t="inlineStr">
        <is>
          <t>LIMITATION - ACCEPTANCE PENDING</t>
        </is>
      </c>
      <c r="D39" s="6">
        <f>IFERROR(INDEX(Lists!$B$2:$B$14,MATCH(C39,Lists!$A$2:$A$14,0)),"?")</f>
        <v/>
      </c>
      <c r="E39" s="6">
        <f>IF(COUNTIFS(Links!$B$2:$B$600,A39,Links!$E$2:$E$600,"Yes")&gt;0,"REVISE","")</f>
        <v/>
      </c>
      <c r="F39" s="6">
        <f>COUNTIFS(Links!$B$2:$B$600,A39,Links!$D$2:$D$600,"No",Links!$C$2:$C$600,"&lt;&gt;INFORMS")</f>
        <v/>
      </c>
      <c r="G39" s="12" t="inlineStr">
        <is>
          <t>ACCEPT-LIMITATION</t>
        </is>
      </c>
      <c r="H39" s="6" t="inlineStr">
        <is>
          <t>K7 Large-catalogue reference</t>
        </is>
      </c>
      <c r="I39" s="6" t="inlineStr">
        <is>
          <t>G3 Before confirmatory study</t>
        </is>
      </c>
      <c r="J39" s="6" t="inlineStr">
        <is>
          <t>Normal</t>
        </is>
      </c>
      <c r="K39" s="6" t="n">
        <v>46</v>
      </c>
      <c r="L39" s="6" t="inlineStr">
        <is>
          <t>W1 Decide</t>
        </is>
      </c>
      <c r="M39" s="6" t="inlineStr">
        <is>
          <t>S08</t>
        </is>
      </c>
      <c r="N39" s="6" t="inlineStr">
        <is>
          <t>You (+Joaa, brief Q4)</t>
        </is>
      </c>
      <c r="O39" s="6" t="inlineStr">
        <is>
          <t>You accept or reject the limit (Q-U20)</t>
        </is>
      </c>
      <c r="P39" s="6" t="inlineStr">
        <is>
          <t>n/a</t>
        </is>
      </c>
      <c r="Q39" s="6" t="inlineStr">
        <is>
          <t>Limitation</t>
        </is>
      </c>
      <c r="R39" s="6" t="inlineStr">
        <is>
          <t>Item</t>
        </is>
      </c>
      <c r="S39" s="6" t="inlineStr"/>
      <c r="T39" s="6" t="inlineStr">
        <is>
          <t>True full-catalogue reference cannot run above n_fit (roughly 200 to 10,000 tools); a substitute does not become full exposure.</t>
        </is>
      </c>
      <c r="U39"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t>
        </is>
      </c>
      <c r="V39" s="6" t="inlineStr">
        <is>
          <t>Boundary accepted and claim narrowed; who sets the margin/budget recorded.</t>
        </is>
      </c>
      <c r="W39" s="6" t="inlineStr">
        <is>
          <t>C-D02</t>
        </is>
      </c>
      <c r="X39" s="6" t="inlineStr"/>
      <c r="Y39" s="6" t="inlineStr">
        <is>
          <t>Q-J13</t>
        </is>
      </c>
      <c r="Z39" s="6" t="inlineStr">
        <is>
          <t>JOAA-DECISION</t>
        </is>
      </c>
      <c r="AA39" s="6" t="inlineStr">
        <is>
          <t>K5 Evaluation contract</t>
        </is>
      </c>
      <c r="AB39" s="6" t="inlineStr">
        <is>
          <t>BOUND</t>
        </is>
      </c>
      <c r="AC39" s="6" t="inlineStr">
        <is>
          <t>BOUNDARY</t>
        </is>
      </c>
      <c r="AD39" s="6" t="inlineStr">
        <is>
          <t>UNCHANGED</t>
        </is>
      </c>
      <c r="AE39" s="6" t="inlineStr">
        <is>
          <t>2026-10-20</t>
        </is>
      </c>
      <c r="AF39" s="6" t="inlineStr">
        <is>
          <t>chat message of 2026-10-20</t>
        </is>
      </c>
      <c r="AG39" s="6" t="inlineStr"/>
      <c r="AH39" s="6" t="inlineStr">
        <is>
          <t>No</t>
        </is>
      </c>
      <c r="AI39" s="6" t="inlineStr"/>
      <c r="AJ39" s="6" t="inlineStr">
        <is>
          <t>SRC-11 canonical</t>
        </is>
      </c>
      <c r="AK39" s="6" t="inlineStr">
        <is>
          <t>SRC-06 S31, SRC-07 32</t>
        </is>
      </c>
      <c r="AL39" s="6" t="inlineStr">
        <is>
          <t>S08</t>
        </is>
      </c>
    </row>
    <row r="40" ht="28" customHeight="1">
      <c r="A40" s="5" t="inlineStr">
        <is>
          <t>C-S17</t>
        </is>
      </c>
      <c r="B40" s="6" t="inlineStr">
        <is>
          <t>Is offline selection cost charged (N_dep, deployment horizon) and shown with and without?</t>
        </is>
      </c>
      <c r="C40" s="6" t="inlineStr">
        <is>
          <t>PARTLY ANSWERED</t>
        </is>
      </c>
      <c r="D40" s="6">
        <f>IFERROR(INDEX(Lists!$B$2:$B$14,MATCH(C40,Lists!$A$2:$A$14,0)),"?")</f>
        <v/>
      </c>
      <c r="E40" s="6">
        <f>IF(COUNTIFS(Links!$B$2:$B$600,A40,Links!$E$2:$E$600,"Yes")&gt;0,"REVISE","")</f>
        <v/>
      </c>
      <c r="F40" s="6">
        <f>COUNTIFS(Links!$B$2:$B$600,A40,Links!$D$2:$D$600,"No",Links!$C$2:$C$600,"&lt;&gt;INFORMS")</f>
        <v/>
      </c>
      <c r="G40" s="10" t="inlineStr">
        <is>
          <t>JOAA-DECISION</t>
        </is>
      </c>
      <c r="H40" s="6" t="inlineStr">
        <is>
          <t>K2 Objective &amp; accounting</t>
        </is>
      </c>
      <c r="I40" s="6" t="inlineStr">
        <is>
          <t>G3 Before confirmatory study</t>
        </is>
      </c>
      <c r="J40" s="6" t="inlineStr">
        <is>
          <t>Normal</t>
        </is>
      </c>
      <c r="K40" s="6" t="n">
        <v>47</v>
      </c>
      <c r="L40" s="6" t="inlineStr">
        <is>
          <t>W1 Decide</t>
        </is>
      </c>
      <c r="M40" s="6" t="inlineStr">
        <is>
          <t>S08</t>
        </is>
      </c>
      <c r="N40" s="6" t="inlineStr">
        <is>
          <t>Joaa + you</t>
        </is>
      </c>
      <c r="O40" s="6" t="inlineStr">
        <is>
          <t>Ask Joaa (Q-J19)</t>
        </is>
      </c>
      <c r="P40" s="6" t="inlineStr">
        <is>
          <t>No</t>
        </is>
      </c>
      <c r="Q40" s="6" t="inlineStr">
        <is>
          <t>Decision</t>
        </is>
      </c>
      <c r="R40" s="6" t="inlineStr">
        <is>
          <t>Item</t>
        </is>
      </c>
      <c r="S40" s="6" t="inlineStr"/>
      <c r="T40" s="6" t="inlineStr">
        <is>
          <t>Is offline selection cost charged (N_dep, deployment horizon) and shown with and without?</t>
        </is>
      </c>
      <c r="U40" s="6" t="inlineStr">
        <is>
          <t>C_tok includes O_dev/N_dep; N_dep unset.</t>
        </is>
      </c>
      <c r="V40" s="6" t="inlineStr">
        <is>
          <t>Convention and horizon fixed.</t>
        </is>
      </c>
      <c r="W40" s="6" t="inlineStr">
        <is>
          <t>C-D02</t>
        </is>
      </c>
      <c r="X40" s="6" t="inlineStr"/>
      <c r="Y40" s="6" t="inlineStr">
        <is>
          <t>Q-J19</t>
        </is>
      </c>
      <c r="Z40" s="6" t="inlineStr">
        <is>
          <t>USER-DECISION</t>
        </is>
      </c>
      <c r="AA40" s="6" t="inlineStr">
        <is>
          <t>K5 Evaluation contract</t>
        </is>
      </c>
      <c r="AB40" s="6" t="inlineStr">
        <is>
          <t>DEC+DATA</t>
        </is>
      </c>
      <c r="AC40" s="6" t="inlineStr">
        <is>
          <t>PARTLY ANSWERED - OPEN</t>
        </is>
      </c>
      <c r="AD40" s="6" t="inlineStr">
        <is>
          <t>UNCHANGED</t>
        </is>
      </c>
      <c r="AE40" s="6" t="inlineStr">
        <is>
          <t>2026-10-19</t>
        </is>
      </c>
      <c r="AF40" s="6" t="inlineStr">
        <is>
          <t>v4-02 section 6; v3-04 section 5</t>
        </is>
      </c>
      <c r="AG40" s="6" t="inlineStr"/>
      <c r="AH40" s="6" t="inlineStr">
        <is>
          <t>No</t>
        </is>
      </c>
      <c r="AI40" s="6" t="inlineStr"/>
      <c r="AJ40" s="6" t="inlineStr">
        <is>
          <t>SRC-11 canonical</t>
        </is>
      </c>
      <c r="AK40" s="6" t="inlineStr">
        <is>
          <t>SRC-06 S35</t>
        </is>
      </c>
      <c r="AL40" s="6" t="inlineStr">
        <is>
          <t>S08</t>
        </is>
      </c>
    </row>
    <row r="41" ht="40.5" customHeight="1">
      <c r="A41" s="5" t="inlineStr">
        <is>
          <t>C-D06</t>
        </is>
      </c>
      <c r="B41" s="6" t="inlineStr">
        <is>
          <t>Is a conditional or negative result enough as findings?</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K5 Evaluation contract</t>
        </is>
      </c>
      <c r="I41" s="6" t="inlineStr">
        <is>
          <t>G3 Before confirmatory study</t>
        </is>
      </c>
      <c r="J41" s="6" t="inlineStr">
        <is>
          <t>Normal</t>
        </is>
      </c>
      <c r="K41" s="6" t="n">
        <v>48</v>
      </c>
      <c r="L41" s="6" t="inlineStr">
        <is>
          <t>W1 Decide</t>
        </is>
      </c>
      <c r="M41" s="6" t="inlineStr">
        <is>
          <t>S08</t>
        </is>
      </c>
      <c r="N41" s="6" t="inlineStr">
        <is>
          <t>Joaa</t>
        </is>
      </c>
      <c r="O41" s="6" t="inlineStr">
        <is>
          <t>Ask Joaa (Q-J01, Q-J08, Q-J15, Q-U19)</t>
        </is>
      </c>
      <c r="P41" s="6" t="inlineStr">
        <is>
          <t>No</t>
        </is>
      </c>
      <c r="Q41" s="6" t="inlineStr">
        <is>
          <t>Decision</t>
        </is>
      </c>
      <c r="R41" s="6" t="inlineStr">
        <is>
          <t>Item</t>
        </is>
      </c>
      <c r="S41" s="6" t="inlineStr"/>
      <c r="T41" s="6" t="inlineStr">
        <is>
          <t>Is a conditional or negative result enough as findings? Is a specific contribution (regime map) sufficient?</t>
        </is>
      </c>
      <c r="U41" s="6" t="inlineStr">
        <is>
          <t>Brief Q5 asks it. SRC-11's 'negative result can be a thesis' is not in the admitted excerpts (E3 only says 'some kind of findings').</t>
        </is>
      </c>
      <c r="V41" s="6" t="inlineStr">
        <is>
          <t>Answer to brief Q5.</t>
        </is>
      </c>
      <c r="W41" s="6" t="inlineStr">
        <is>
          <t>C-D01</t>
        </is>
      </c>
      <c r="X41" s="6" t="inlineStr"/>
      <c r="Y41" s="6" t="inlineStr">
        <is>
          <t>Q-J01, Q-J08, Q-J15, Q-U19</t>
        </is>
      </c>
      <c r="Z41" s="6" t="inlineStr"/>
      <c r="AA41" s="6" t="inlineStr"/>
      <c r="AB41" s="6" t="inlineStr">
        <is>
          <t>DEC+DATA</t>
        </is>
      </c>
      <c r="AC41" s="6" t="inlineStr">
        <is>
          <t>PARTLY ANSWERED - OPEN</t>
        </is>
      </c>
      <c r="AD41" s="6" t="inlineStr">
        <is>
          <t>UNCHANGED</t>
        </is>
      </c>
      <c r="AE41" s="6" t="inlineStr">
        <is>
          <t>2026-10-19</t>
        </is>
      </c>
      <c r="AF41" s="6" t="inlineStr">
        <is>
          <t>v4-01 Q5; intake E3; review section 6.2</t>
        </is>
      </c>
      <c r="AG41" s="6" t="inlineStr"/>
      <c r="AH41" s="6" t="inlineStr">
        <is>
          <t>No</t>
        </is>
      </c>
      <c r="AI41" s="6" t="inlineStr"/>
      <c r="AJ41" s="6" t="inlineStr">
        <is>
          <t>SRC-11 canonical</t>
        </is>
      </c>
      <c r="AK41" s="6" t="inlineStr">
        <is>
          <t>SRC-06 D07, SRC-07 07, REQ-O14-05</t>
        </is>
      </c>
      <c r="AL41" s="6" t="inlineStr">
        <is>
          <t>S08</t>
        </is>
      </c>
    </row>
    <row r="42" ht="53" customHeight="1">
      <c r="A42" s="5" t="inlineStr">
        <is>
          <t>C-D08/ARMS-CACHE</t>
        </is>
      </c>
      <c r="B42" s="6" t="inlineStr">
        <is>
          <t>New arm candidates from the cache/memory addendum (memory-seeded core, re-ordering vs append-only, 5-min vs 1-h write)</t>
        </is>
      </c>
      <c r="C42" s="6" t="inlineStr">
        <is>
          <t>OPEN</t>
        </is>
      </c>
      <c r="D42" s="6">
        <f>IFERROR(INDEX(Lists!$B$2:$B$14,MATCH(C42,Lists!$A$2:$A$14,0)),"?")</f>
        <v/>
      </c>
      <c r="E42" s="6">
        <f>IF(COUNTIFS(Links!$B$2:$B$600,A42,Links!$E$2:$E$600,"Yes")&gt;0,"REVISE","")</f>
        <v/>
      </c>
      <c r="F42" s="6">
        <f>COUNTIFS(Links!$B$2:$B$600,A42,Links!$D$2:$D$600,"No",Links!$C$2:$C$600,"&lt;&gt;INFORMS")</f>
        <v/>
      </c>
      <c r="G42" s="13" t="inlineStr">
        <is>
          <t>DESK-ANALYSIS</t>
        </is>
      </c>
      <c r="H42" s="6" t="inlineStr">
        <is>
          <t>K9 Cache &amp; billing</t>
        </is>
      </c>
      <c r="I42" s="6" t="inlineStr">
        <is>
          <t>G1 Before any implementation</t>
        </is>
      </c>
      <c r="J42" s="6" t="inlineStr">
        <is>
          <t>High</t>
        </is>
      </c>
      <c r="K42" s="6" t="n">
        <v>49</v>
      </c>
      <c r="L42" s="6" t="inlineStr">
        <is>
          <t>W2 Desk work (no model runs)</t>
        </is>
      </c>
      <c r="M42" s="6" t="inlineStr">
        <is>
          <t>S09</t>
        </is>
      </c>
      <c r="N42" s="6" t="inlineStr">
        <is>
          <t>Joaa + you (or a documented pilot)</t>
        </is>
      </c>
      <c r="O42" s="6" t="inlineStr">
        <is>
          <t>Lead computes or writes it (no model runs)</t>
        </is>
      </c>
      <c r="P42" s="6" t="inlineStr">
        <is>
          <t>No</t>
        </is>
      </c>
      <c r="Q42" s="6" t="inlineStr">
        <is>
          <t>Parameter</t>
        </is>
      </c>
      <c r="R42" s="6" t="inlineStr">
        <is>
          <t>Sub-item</t>
        </is>
      </c>
      <c r="S42" s="6" t="inlineStr">
        <is>
          <t>C-D08</t>
        </is>
      </c>
      <c r="T42" s="6" t="inlineStr">
        <is>
          <t>v4-04 section 5 lists candidate arms not yet in the arm table: a memory-seeded core after a shared prefix; core re-ordering vs append-only; a one-hour vs five-minute write choice by expected session gap.</t>
        </is>
      </c>
      <c r="U42" s="6" t="inlineStr">
        <is>
          <t>Unset.</t>
        </is>
      </c>
      <c r="V42" s="6" t="inlineStr">
        <is>
          <t>Set in the evaluation contract, or deferred to a documented pilot with Joaa's agreement.</t>
        </is>
      </c>
      <c r="W42" s="6" t="inlineStr"/>
      <c r="X42" s="6" t="inlineStr">
        <is>
          <t>N-2, C-D02</t>
        </is>
      </c>
      <c r="Y42" s="6" t="inlineStr">
        <is>
          <t>Q-J06, Q-J26, Q-J27</t>
        </is>
      </c>
      <c r="Z42" s="6" t="inlineStr">
        <is>
          <t>JOAA-DECISION</t>
        </is>
      </c>
      <c r="AA42" s="6" t="inlineStr"/>
      <c r="AB42" s="6" t="inlineStr">
        <is>
          <t>DEC+DATA</t>
        </is>
      </c>
      <c r="AC42" s="6" t="inlineStr">
        <is>
          <t>n/a (sub-item)</t>
        </is>
      </c>
      <c r="AD42" s="6" t="inlineStr">
        <is>
          <t>NEW (repo sweep)</t>
        </is>
      </c>
      <c r="AE42" s="6" t="inlineStr">
        <is>
          <t>2026-10-19</t>
        </is>
      </c>
      <c r="AF42" s="6" t="inlineStr">
        <is>
          <t>v4-04 section 5</t>
        </is>
      </c>
      <c r="AG42" s="6" t="inlineStr"/>
      <c r="AH42" s="6" t="inlineStr">
        <is>
          <t>No</t>
        </is>
      </c>
      <c r="AI42" s="6" t="inlineStr"/>
      <c r="AJ42" s="6" t="inlineStr">
        <is>
          <t>repo: v4-02 / v3-04 section 5 / v2-05 section 3</t>
        </is>
      </c>
      <c r="AK42" s="6" t="inlineStr"/>
      <c r="AL42" s="6" t="inlineStr">
        <is>
          <t>S06</t>
        </is>
      </c>
    </row>
    <row r="43" ht="40.5" customHeight="1">
      <c r="A43" s="5" t="inlineStr">
        <is>
          <t>C-D08/ALPHA</t>
        </is>
      </c>
      <c r="B43" s="6" t="inlineStr">
        <is>
          <t>alpha / family error rate</t>
        </is>
      </c>
      <c r="C43" s="6" t="inlineStr">
        <is>
          <t>OPEN</t>
        </is>
      </c>
      <c r="D43" s="6">
        <f>IFERROR(INDEX(Lists!$B$2:$B$14,MATCH(C43,Lists!$A$2:$A$14,0)),"?")</f>
        <v/>
      </c>
      <c r="E43" s="6">
        <f>IF(COUNTIFS(Links!$B$2:$B$600,A43,Links!$E$2:$E$600,"Yes")&gt;0,"REVISE","")</f>
        <v/>
      </c>
      <c r="F43" s="6">
        <f>COUNTIFS(Links!$B$2:$B$600,A43,Links!$D$2:$D$600,"No",Links!$C$2:$C$600,"&lt;&gt;INFORMS")</f>
        <v/>
      </c>
      <c r="G43" s="10" t="inlineStr">
        <is>
          <t>JOAA-DECISION</t>
        </is>
      </c>
      <c r="H43" s="6" t="inlineStr">
        <is>
          <t>K5 Evaluation contract</t>
        </is>
      </c>
      <c r="I43" s="6" t="inlineStr">
        <is>
          <t>G1 Before any implementation</t>
        </is>
      </c>
      <c r="J43" s="6" t="inlineStr">
        <is>
          <t>High</t>
        </is>
      </c>
      <c r="K43" s="6" t="n">
        <v>50</v>
      </c>
      <c r="L43" s="6" t="inlineStr">
        <is>
          <t>W2 Desk work (no model runs)</t>
        </is>
      </c>
      <c r="M43" s="6" t="inlineStr">
        <is>
          <t>S09</t>
        </is>
      </c>
      <c r="N43" s="6" t="inlineStr">
        <is>
          <t>Joaa + you (or a documented pilot)</t>
        </is>
      </c>
      <c r="O43" s="6" t="inlineStr">
        <is>
          <t>Ask Joaa (Q-J20)</t>
        </is>
      </c>
      <c r="P43" s="6" t="inlineStr">
        <is>
          <t>No</t>
        </is>
      </c>
      <c r="Q43" s="6" t="inlineStr">
        <is>
          <t>Parameter</t>
        </is>
      </c>
      <c r="R43" s="6" t="inlineStr">
        <is>
          <t>Sub-item</t>
        </is>
      </c>
      <c r="S43" s="6" t="inlineStr">
        <is>
          <t>C-D08</t>
        </is>
      </c>
      <c r="T43" s="6" t="inlineStr">
        <is>
          <t>alpha and the family error rate over the arm table are unset (R7: unnamed).</t>
        </is>
      </c>
      <c r="U43" s="6" t="inlineStr">
        <is>
          <t>Unset.</t>
        </is>
      </c>
      <c r="V43" s="6" t="inlineStr">
        <is>
          <t>Set in the evaluation contract, or deferred to a documented pilot with Joaa's agreement.</t>
        </is>
      </c>
      <c r="W43" s="6" t="inlineStr"/>
      <c r="X43" s="6" t="inlineStr"/>
      <c r="Y43" s="6" t="inlineStr">
        <is>
          <t>Q-J20</t>
        </is>
      </c>
      <c r="Z43" s="6" t="inlineStr">
        <is>
          <t>DESK-ANALYSIS</t>
        </is>
      </c>
      <c r="AA43" s="6" t="inlineStr"/>
      <c r="AB43" s="6" t="inlineStr">
        <is>
          <t>DEC+DATA</t>
        </is>
      </c>
      <c r="AC43" s="6" t="inlineStr">
        <is>
          <t>n/a (sub-item)</t>
        </is>
      </c>
      <c r="AD43" s="6" t="inlineStr">
        <is>
          <t>NEW (repo sweep)</t>
        </is>
      </c>
      <c r="AE43" s="6" t="inlineStr">
        <is>
          <t>2026-10-19</t>
        </is>
      </c>
      <c r="AF43" s="6" t="inlineStr">
        <is>
          <t>v4-02 header ('unset')</t>
        </is>
      </c>
      <c r="AG43" s="6" t="inlineStr"/>
      <c r="AH43" s="6" t="inlineStr">
        <is>
          <t>No</t>
        </is>
      </c>
      <c r="AI43" s="6" t="inlineStr"/>
      <c r="AJ43" s="6" t="inlineStr">
        <is>
          <t>repo: v4-02 / v3-04 section 5 / v2-05 section 3</t>
        </is>
      </c>
      <c r="AK43" s="6" t="inlineStr">
        <is>
          <t>alpha, R7</t>
        </is>
      </c>
      <c r="AL43" s="6" t="inlineStr">
        <is>
          <t>S08</t>
        </is>
      </c>
    </row>
    <row r="44" ht="53" customHeight="1">
      <c r="A44" s="5" t="inlineStr">
        <is>
          <t>C-D08/ARMS</t>
        </is>
      </c>
      <c r="B44" s="6" t="inlineStr">
        <is>
          <t>Arm-table composition (trigger arms, navigated hierarchy, ordered-core arms, size of the table)</t>
        </is>
      </c>
      <c r="C44" s="6" t="inlineStr">
        <is>
          <t>OPEN</t>
        </is>
      </c>
      <c r="D44" s="6">
        <f>IFERROR(INDEX(Lists!$B$2:$B$14,MATCH(C44,Lists!$A$2:$A$14,0)),"?")</f>
        <v/>
      </c>
      <c r="E44" s="6">
        <f>IF(COUNTIFS(Links!$B$2:$B$600,A44,Links!$E$2:$E$600,"Yes")&gt;0,"REVISE","")</f>
        <v/>
      </c>
      <c r="F44" s="6">
        <f>COUNTIFS(Links!$B$2:$B$600,A44,Links!$D$2:$D$600,"No",Links!$C$2:$C$600,"&lt;&gt;INFORMS")</f>
        <v/>
      </c>
      <c r="G44" s="10" t="inlineStr">
        <is>
          <t>JOAA-DECISION</t>
        </is>
      </c>
      <c r="H44" s="6" t="inlineStr">
        <is>
          <t>K5 Evaluation contract</t>
        </is>
      </c>
      <c r="I44" s="6" t="inlineStr">
        <is>
          <t>G1 Before any implementation</t>
        </is>
      </c>
      <c r="J44" s="6" t="inlineStr">
        <is>
          <t>High</t>
        </is>
      </c>
      <c r="K44" s="6" t="n">
        <v>51</v>
      </c>
      <c r="L44" s="6" t="inlineStr">
        <is>
          <t>W2 Desk work (no model runs)</t>
        </is>
      </c>
      <c r="M44" s="6" t="inlineStr">
        <is>
          <t>S09</t>
        </is>
      </c>
      <c r="N44" s="6" t="inlineStr">
        <is>
          <t>Joaa + you (or a documented pilot)</t>
        </is>
      </c>
      <c r="O44" s="6" t="inlineStr">
        <is>
          <t>Ask Joaa (Q-J07)</t>
        </is>
      </c>
      <c r="P44" s="6" t="inlineStr">
        <is>
          <t>No</t>
        </is>
      </c>
      <c r="Q44" s="6" t="inlineStr">
        <is>
          <t>Parameter</t>
        </is>
      </c>
      <c r="R44" s="6" t="inlineStr">
        <is>
          <t>Sub-item</t>
        </is>
      </c>
      <c r="S44" s="6" t="inlineStr">
        <is>
          <t>C-D08</t>
        </is>
      </c>
      <c r="T44" s="6" t="inlineStr">
        <is>
          <t>The arm table must be fixed before any run: at least three trigger arms (after results, at finish, both), the navigated-hierarchy arm, ordered-core arms if a need estimator exists; its size drives multiplicity and power.</t>
        </is>
      </c>
      <c r="U44" s="6" t="inlineStr">
        <is>
          <t>Unset.</t>
        </is>
      </c>
      <c r="V44" s="6" t="inlineStr">
        <is>
          <t>Set in the evaluation contract, or deferred to a documented pilot with Joaa's agreement.</t>
        </is>
      </c>
      <c r="W44" s="6" t="inlineStr"/>
      <c r="X44" s="6" t="inlineStr"/>
      <c r="Y44" s="6" t="inlineStr">
        <is>
          <t>Q-J07</t>
        </is>
      </c>
      <c r="Z44" s="6" t="inlineStr">
        <is>
          <t>DESK-ANALYSIS</t>
        </is>
      </c>
      <c r="AA44" s="6" t="inlineStr"/>
      <c r="AB44" s="6" t="inlineStr">
        <is>
          <t>DEC+DATA</t>
        </is>
      </c>
      <c r="AC44" s="6" t="inlineStr">
        <is>
          <t>n/a (sub-item)</t>
        </is>
      </c>
      <c r="AD44" s="6" t="inlineStr">
        <is>
          <t>NEW (repo sweep)</t>
        </is>
      </c>
      <c r="AE44" s="6" t="inlineStr">
        <is>
          <t>2026-10-19</t>
        </is>
      </c>
      <c r="AF44" s="6" t="inlineStr">
        <is>
          <t>v4-02 notes 4, section 5</t>
        </is>
      </c>
      <c r="AG44" s="6" t="inlineStr"/>
      <c r="AH44" s="6" t="inlineStr">
        <is>
          <t>No</t>
        </is>
      </c>
      <c r="AI44" s="6" t="inlineStr"/>
      <c r="AJ44" s="6" t="inlineStr">
        <is>
          <t>repo: v4-02 / v3-04 section 5 / v2-05 section 3</t>
        </is>
      </c>
      <c r="AK44" s="6" t="inlineStr">
        <is>
          <t>CH-0040 (a), CH-0049</t>
        </is>
      </c>
      <c r="AL44" s="6" t="inlineStr">
        <is>
          <t>S08</t>
        </is>
      </c>
    </row>
    <row r="45" ht="40.5" customHeight="1">
      <c r="A45" s="5" t="inlineStr">
        <is>
          <t>C-D08/BS</t>
        </is>
      </c>
      <c r="B45" s="6" t="inlineStr">
        <is>
          <t>Discovery budget B_s (and whether the budget is adequate: RA8, RA4)</t>
        </is>
      </c>
      <c r="C45" s="6" t="inlineStr">
        <is>
          <t>OPEN</t>
        </is>
      </c>
      <c r="D45" s="6">
        <f>IFERROR(INDEX(Lists!$B$2:$B$14,MATCH(C45,Lists!$A$2:$A$14,0)),"?")</f>
        <v/>
      </c>
      <c r="E45" s="6">
        <f>IF(COUNTIFS(Links!$B$2:$B$600,A45,Links!$E$2:$E$600,"Yes")&gt;0,"REVISE","")</f>
        <v/>
      </c>
      <c r="F45" s="6">
        <f>COUNTIFS(Links!$B$2:$B$600,A45,Links!$D$2:$D$600,"No",Links!$C$2:$C$600,"&lt;&gt;INFORMS")</f>
        <v/>
      </c>
      <c r="G45" s="10" t="inlineStr">
        <is>
          <t>JOAA-DECISION</t>
        </is>
      </c>
      <c r="H45" s="6" t="inlineStr">
        <is>
          <t>K5 Evaluation contract</t>
        </is>
      </c>
      <c r="I45" s="6" t="inlineStr">
        <is>
          <t>G1 Before any implementation</t>
        </is>
      </c>
      <c r="J45" s="6" t="inlineStr">
        <is>
          <t>High</t>
        </is>
      </c>
      <c r="K45" s="6" t="n">
        <v>52</v>
      </c>
      <c r="L45" s="6" t="inlineStr">
        <is>
          <t>W2 Desk work (no model runs)</t>
        </is>
      </c>
      <c r="M45" s="6" t="inlineStr">
        <is>
          <t>S09</t>
        </is>
      </c>
      <c r="N45" s="6" t="inlineStr">
        <is>
          <t>Joaa + you (or a documented pilot)</t>
        </is>
      </c>
      <c r="O45" s="6" t="inlineStr">
        <is>
          <t>Ask Joaa (Q-J20)</t>
        </is>
      </c>
      <c r="P45" s="6" t="inlineStr">
        <is>
          <t>No</t>
        </is>
      </c>
      <c r="Q45" s="6" t="inlineStr">
        <is>
          <t>Parameter</t>
        </is>
      </c>
      <c r="R45" s="6" t="inlineStr">
        <is>
          <t>Sub-item</t>
        </is>
      </c>
      <c r="S45" s="6" t="inlineStr">
        <is>
          <t>C-D08</t>
        </is>
      </c>
      <c r="T45" s="6" t="inlineStr">
        <is>
          <t>The discovery budget B_s and the trajectory/search budgets that must allow the extra calls (RA4, RA8) are unset.</t>
        </is>
      </c>
      <c r="U45" s="6" t="inlineStr">
        <is>
          <t>Unset.</t>
        </is>
      </c>
      <c r="V45" s="6" t="inlineStr">
        <is>
          <t>Set in the evaluation contract, or deferred to a documented pilot with Joaa's agreement.</t>
        </is>
      </c>
      <c r="W45" s="6" t="inlineStr"/>
      <c r="X45" s="6" t="inlineStr"/>
      <c r="Y45" s="6" t="inlineStr">
        <is>
          <t>Q-J20</t>
        </is>
      </c>
      <c r="Z45" s="6" t="inlineStr">
        <is>
          <t>DESK-ANALYSIS</t>
        </is>
      </c>
      <c r="AA45" s="6" t="inlineStr"/>
      <c r="AB45" s="6" t="inlineStr">
        <is>
          <t>DEC+DATA</t>
        </is>
      </c>
      <c r="AC45" s="6" t="inlineStr">
        <is>
          <t>n/a (sub-item)</t>
        </is>
      </c>
      <c r="AD45" s="6" t="inlineStr">
        <is>
          <t>NEW (repo sweep)</t>
        </is>
      </c>
      <c r="AE45" s="6" t="inlineStr">
        <is>
          <t>2026-10-19</t>
        </is>
      </c>
      <c r="AF45" s="6" t="inlineStr">
        <is>
          <t>v4-02 header ('unset')</t>
        </is>
      </c>
      <c r="AG45" s="6" t="inlineStr"/>
      <c r="AH45" s="6" t="inlineStr">
        <is>
          <t>No</t>
        </is>
      </c>
      <c r="AI45" s="6" t="inlineStr"/>
      <c r="AJ45" s="6" t="inlineStr">
        <is>
          <t>repo: v4-02 / v3-04 section 5 / v2-05 section 3</t>
        </is>
      </c>
      <c r="AK45" s="6" t="inlineStr">
        <is>
          <t>B_s, RA8, RA4</t>
        </is>
      </c>
      <c r="AL45" s="6" t="inlineStr">
        <is>
          <t>S08</t>
        </is>
      </c>
    </row>
    <row r="46" ht="53" customHeight="1">
      <c r="A46" s="5" t="inlineStr">
        <is>
          <t>C-D08/CALLLIM</t>
        </is>
      </c>
      <c r="B46" s="6" t="inlineStr">
        <is>
          <t>Call limit: its value and what counts (discovery calls, LLM-classifier calls, the vehicle's 12 tool-call budget)</t>
        </is>
      </c>
      <c r="C46" s="6" t="inlineStr">
        <is>
          <t>OPEN</t>
        </is>
      </c>
      <c r="D46" s="6">
        <f>IFERROR(INDEX(Lists!$B$2:$B$14,MATCH(C46,Lists!$A$2:$A$14,0)),"?")</f>
        <v/>
      </c>
      <c r="E46" s="6">
        <f>IF(COUNTIFS(Links!$B$2:$B$600,A46,Links!$E$2:$E$600,"Yes")&gt;0,"REVISE","")</f>
        <v/>
      </c>
      <c r="F46" s="6">
        <f>COUNTIFS(Links!$B$2:$B$600,A46,Links!$D$2:$D$600,"No",Links!$C$2:$C$600,"&lt;&gt;INFORMS")</f>
        <v/>
      </c>
      <c r="G46" s="13" t="inlineStr">
        <is>
          <t>DESK-ANALYSIS</t>
        </is>
      </c>
      <c r="H46" s="6" t="inlineStr">
        <is>
          <t>K5 Evaluation contract</t>
        </is>
      </c>
      <c r="I46" s="6" t="inlineStr">
        <is>
          <t>G1 Before any implementation</t>
        </is>
      </c>
      <c r="J46" s="6" t="inlineStr">
        <is>
          <t>High</t>
        </is>
      </c>
      <c r="K46" s="6" t="n">
        <v>53</v>
      </c>
      <c r="L46" s="6" t="inlineStr">
        <is>
          <t>W2 Desk work (no model runs)</t>
        </is>
      </c>
      <c r="M46" s="6" t="inlineStr">
        <is>
          <t>S09</t>
        </is>
      </c>
      <c r="N46" s="6" t="inlineStr">
        <is>
          <t>Joaa + you (or a documented pilot)</t>
        </is>
      </c>
      <c r="O46" s="6" t="inlineStr">
        <is>
          <t>Lead computes or writes it (no model runs)</t>
        </is>
      </c>
      <c r="P46" s="6" t="inlineStr">
        <is>
          <t>No</t>
        </is>
      </c>
      <c r="Q46" s="6" t="inlineStr">
        <is>
          <t>Parameter</t>
        </is>
      </c>
      <c r="R46" s="6" t="inlineStr">
        <is>
          <t>Sub-item</t>
        </is>
      </c>
      <c r="S46" s="6" t="inlineStr">
        <is>
          <t>C-D08</t>
        </is>
      </c>
      <c r="T46" s="6" t="inlineStr">
        <is>
          <t>The call limit's value is the vehicle's; whether discovery calls count against the vehicle's 12 tool-call budget (a bias against discovery arms) and whether an LLM classifier's calls count are unset.</t>
        </is>
      </c>
      <c r="U46" s="6" t="inlineStr">
        <is>
          <t>Unset.</t>
        </is>
      </c>
      <c r="V46" s="6" t="inlineStr">
        <is>
          <t>Set in the evaluation contract, or deferred to a documented pilot with Joaa's agreement.</t>
        </is>
      </c>
      <c r="W46" s="6" t="inlineStr"/>
      <c r="X46" s="6" t="inlineStr"/>
      <c r="Y46" s="6" t="inlineStr">
        <is>
          <t>Q-J20</t>
        </is>
      </c>
      <c r="Z46" s="6" t="inlineStr">
        <is>
          <t>USER-DECISION</t>
        </is>
      </c>
      <c r="AA46" s="6" t="inlineStr"/>
      <c r="AB46" s="6" t="inlineStr">
        <is>
          <t>DEC+DATA</t>
        </is>
      </c>
      <c r="AC46" s="6" t="inlineStr">
        <is>
          <t>n/a (sub-item)</t>
        </is>
      </c>
      <c r="AD46" s="6" t="inlineStr">
        <is>
          <t>NEW (repo sweep)</t>
        </is>
      </c>
      <c r="AE46" s="6" t="inlineStr">
        <is>
          <t>2026-10-19</t>
        </is>
      </c>
      <c r="AF46" s="6" t="inlineStr">
        <is>
          <t>v4-02 notes 3-4; EXT-0084</t>
        </is>
      </c>
      <c r="AG46" s="6" t="inlineStr"/>
      <c r="AH46" s="6" t="inlineStr">
        <is>
          <t>No</t>
        </is>
      </c>
      <c r="AI46" s="6" t="inlineStr"/>
      <c r="AJ46" s="6" t="inlineStr">
        <is>
          <t>repo: v4-02 / v3-04 section 5 / v2-05 section 3</t>
        </is>
      </c>
      <c r="AK46" s="6" t="inlineStr">
        <is>
          <t>RA4</t>
        </is>
      </c>
      <c r="AL46" s="6" t="inlineStr">
        <is>
          <t>S08</t>
        </is>
      </c>
    </row>
    <row r="47" ht="40.5" customHeight="1">
      <c r="A47" s="5" t="inlineStr">
        <is>
          <t>C-D08/CORESWEEP</t>
        </is>
      </c>
      <c r="B47" s="6" t="inlineStr">
        <is>
          <t>Core-size sweep points and models / catalogue sizes</t>
        </is>
      </c>
      <c r="C47" s="6" t="inlineStr">
        <is>
          <t>OPEN</t>
        </is>
      </c>
      <c r="D47" s="6">
        <f>IFERROR(INDEX(Lists!$B$2:$B$14,MATCH(C47,Lists!$A$2:$A$14,0)),"?")</f>
        <v/>
      </c>
      <c r="E47" s="6">
        <f>IF(COUNTIFS(Links!$B$2:$B$600,A47,Links!$E$2:$E$600,"Yes")&gt;0,"REVISE","")</f>
        <v/>
      </c>
      <c r="F47" s="6">
        <f>COUNTIFS(Links!$B$2:$B$600,A47,Links!$D$2:$D$600,"No",Links!$C$2:$C$600,"&lt;&gt;INFORMS")</f>
        <v/>
      </c>
      <c r="G47" s="13" t="inlineStr">
        <is>
          <t>DESK-ANALYSIS</t>
        </is>
      </c>
      <c r="H47" s="6" t="inlineStr">
        <is>
          <t>K5 Evaluation contract</t>
        </is>
      </c>
      <c r="I47" s="6" t="inlineStr">
        <is>
          <t>G1 Before any implementation</t>
        </is>
      </c>
      <c r="J47" s="6" t="inlineStr">
        <is>
          <t>High</t>
        </is>
      </c>
      <c r="K47" s="6" t="n">
        <v>54</v>
      </c>
      <c r="L47" s="6" t="inlineStr">
        <is>
          <t>W2 Desk work (no model runs)</t>
        </is>
      </c>
      <c r="M47" s="6" t="inlineStr">
        <is>
          <t>S09</t>
        </is>
      </c>
      <c r="N47" s="6" t="inlineStr">
        <is>
          <t>Joaa + you (or a documented pilot)</t>
        </is>
      </c>
      <c r="O47" s="6" t="inlineStr">
        <is>
          <t>Lead computes or writes it (no model runs)</t>
        </is>
      </c>
      <c r="P47" s="6" t="inlineStr">
        <is>
          <t>No</t>
        </is>
      </c>
      <c r="Q47" s="6" t="inlineStr">
        <is>
          <t>Parameter</t>
        </is>
      </c>
      <c r="R47" s="6" t="inlineStr">
        <is>
          <t>Sub-item</t>
        </is>
      </c>
      <c r="S47" s="6" t="inlineStr">
        <is>
          <t>C-D08</t>
        </is>
      </c>
      <c r="T47" s="6" t="inlineStr">
        <is>
          <t>Core-size sweep points, the catalogue sizes and the model set are unset.</t>
        </is>
      </c>
      <c r="U47" s="6" t="inlineStr">
        <is>
          <t>Unset.</t>
        </is>
      </c>
      <c r="V47" s="6" t="inlineStr">
        <is>
          <t>Set in the evaluation contract, or deferred to a documented pilot with Joaa's agreement.</t>
        </is>
      </c>
      <c r="W47" s="6" t="inlineStr"/>
      <c r="X47" s="6" t="inlineStr"/>
      <c r="Y47" s="6" t="inlineStr">
        <is>
          <t>Q-J21</t>
        </is>
      </c>
      <c r="Z47" s="6" t="inlineStr">
        <is>
          <t>DESK-ANALYSIS</t>
        </is>
      </c>
      <c r="AA47" s="6" t="inlineStr"/>
      <c r="AB47" s="6" t="inlineStr">
        <is>
          <t>DEC+DATA</t>
        </is>
      </c>
      <c r="AC47" s="6" t="inlineStr">
        <is>
          <t>n/a (sub-item)</t>
        </is>
      </c>
      <c r="AD47" s="6" t="inlineStr">
        <is>
          <t>NEW (repo sweep)</t>
        </is>
      </c>
      <c r="AE47" s="6" t="inlineStr">
        <is>
          <t>2026-10-19</t>
        </is>
      </c>
      <c r="AF47" s="6" t="inlineStr">
        <is>
          <t>v4-02 header ('unset')</t>
        </is>
      </c>
      <c r="AG47" s="6" t="inlineStr"/>
      <c r="AH47" s="6" t="inlineStr">
        <is>
          <t>No</t>
        </is>
      </c>
      <c r="AI47" s="6" t="inlineStr"/>
      <c r="AJ47" s="6" t="inlineStr">
        <is>
          <t>repo: v4-02 / v3-04 section 5 / v2-05 section 3</t>
        </is>
      </c>
      <c r="AK47" s="6" t="inlineStr">
        <is>
          <t>v1-A9</t>
        </is>
      </c>
      <c r="AL47" s="6" t="inlineStr">
        <is>
          <t>S08</t>
        </is>
      </c>
    </row>
    <row r="48" ht="40.5" customHeight="1">
      <c r="A48" s="5" t="inlineStr">
        <is>
          <t>C-D08/DELTA</t>
        </is>
      </c>
      <c r="B48" s="6" t="inlineStr">
        <is>
          <t>Noninferiority margin delta (and per-falsifier and equivalence margins)</t>
        </is>
      </c>
      <c r="C48" s="6" t="inlineStr">
        <is>
          <t>OPEN</t>
        </is>
      </c>
      <c r="D48" s="6">
        <f>IFERROR(INDEX(Lists!$B$2:$B$14,MATCH(C48,Lists!$A$2:$A$14,0)),"?")</f>
        <v/>
      </c>
      <c r="E48" s="6">
        <f>IF(COUNTIFS(Links!$B$2:$B$600,A48,Links!$E$2:$E$600,"Yes")&gt;0,"REVISE","")</f>
        <v/>
      </c>
      <c r="F48" s="6">
        <f>COUNTIFS(Links!$B$2:$B$600,A48,Links!$D$2:$D$600,"No",Links!$C$2:$C$600,"&lt;&gt;INFORMS")</f>
        <v/>
      </c>
      <c r="G48" s="10" t="inlineStr">
        <is>
          <t>JOAA-DECISION</t>
        </is>
      </c>
      <c r="H48" s="6" t="inlineStr">
        <is>
          <t>K5 Evaluation contract</t>
        </is>
      </c>
      <c r="I48" s="6" t="inlineStr">
        <is>
          <t>G1 Before any implementation</t>
        </is>
      </c>
      <c r="J48" s="6" t="inlineStr">
        <is>
          <t>High</t>
        </is>
      </c>
      <c r="K48" s="6" t="n">
        <v>55</v>
      </c>
      <c r="L48" s="6" t="inlineStr">
        <is>
          <t>W2 Desk work (no model runs)</t>
        </is>
      </c>
      <c r="M48" s="6" t="inlineStr">
        <is>
          <t>S09</t>
        </is>
      </c>
      <c r="N48" s="6" t="inlineStr">
        <is>
          <t>Joaa + you (or a documented pilot)</t>
        </is>
      </c>
      <c r="O48" s="6" t="inlineStr">
        <is>
          <t>Ask Joaa (Q-J13, Q-J14)</t>
        </is>
      </c>
      <c r="P48" s="6" t="inlineStr">
        <is>
          <t>No</t>
        </is>
      </c>
      <c r="Q48" s="6" t="inlineStr">
        <is>
          <t>Parameter</t>
        </is>
      </c>
      <c r="R48" s="6" t="inlineStr">
        <is>
          <t>Sub-item</t>
        </is>
      </c>
      <c r="S48" s="6" t="inlineStr">
        <is>
          <t>C-D08</t>
        </is>
      </c>
      <c r="T48" s="6" t="inlineStr">
        <is>
          <t>The success margin delta is unset (with per-falsifier margins and the cost-equivalence margin).</t>
        </is>
      </c>
      <c r="U48" s="6" t="inlineStr">
        <is>
          <t>Unset.</t>
        </is>
      </c>
      <c r="V48" s="6" t="inlineStr">
        <is>
          <t>Set in the evaluation contract, or deferred to a documented pilot with Joaa's agreement.</t>
        </is>
      </c>
      <c r="W48" s="6" t="inlineStr"/>
      <c r="X48" s="6" t="inlineStr"/>
      <c r="Y48" s="6" t="inlineStr">
        <is>
          <t>Q-J13, Q-J14</t>
        </is>
      </c>
      <c r="Z48" s="6" t="inlineStr">
        <is>
          <t>DESK-ANALYSIS</t>
        </is>
      </c>
      <c r="AA48" s="6" t="inlineStr"/>
      <c r="AB48" s="6" t="inlineStr">
        <is>
          <t>DEC+DATA</t>
        </is>
      </c>
      <c r="AC48" s="6" t="inlineStr">
        <is>
          <t>n/a (sub-item)</t>
        </is>
      </c>
      <c r="AD48" s="6" t="inlineStr">
        <is>
          <t>NEW (repo sweep)</t>
        </is>
      </c>
      <c r="AE48" s="6" t="inlineStr">
        <is>
          <t>2026-10-19</t>
        </is>
      </c>
      <c r="AF48" s="6" t="inlineStr">
        <is>
          <t>v4-02 header ('unset')</t>
        </is>
      </c>
      <c r="AG48" s="6" t="inlineStr"/>
      <c r="AH48" s="6" t="inlineStr">
        <is>
          <t>No</t>
        </is>
      </c>
      <c r="AI48" s="6" t="inlineStr"/>
      <c r="AJ48" s="6" t="inlineStr">
        <is>
          <t>repo: v4-02 / v3-04 section 5 / v2-05 section 3</t>
        </is>
      </c>
      <c r="AK48" s="6" t="inlineStr">
        <is>
          <t>delta</t>
        </is>
      </c>
      <c r="AL48" s="6" t="inlineStr">
        <is>
          <t>S08</t>
        </is>
      </c>
    </row>
    <row r="49" ht="40.5" customHeight="1">
      <c r="A49" s="5" t="inlineStr">
        <is>
          <t>C-D08/EC1</t>
        </is>
      </c>
      <c r="B49" s="6" t="inlineStr">
        <is>
          <t>Unit of analysis, eligible tasks, models/provider/client versions, repeats</t>
        </is>
      </c>
      <c r="C49" s="6" t="inlineStr">
        <is>
          <t>OPEN</t>
        </is>
      </c>
      <c r="D49" s="6">
        <f>IFERROR(INDEX(Lists!$B$2:$B$14,MATCH(C49,Lists!$A$2:$A$14,0)),"?")</f>
        <v/>
      </c>
      <c r="E49" s="6">
        <f>IF(COUNTIFS(Links!$B$2:$B$600,A49,Links!$E$2:$E$600,"Yes")&gt;0,"REVISE","")</f>
        <v/>
      </c>
      <c r="F49" s="6">
        <f>COUNTIFS(Links!$B$2:$B$600,A49,Links!$D$2:$D$600,"No",Links!$C$2:$C$600,"&lt;&gt;INFORMS")</f>
        <v/>
      </c>
      <c r="G49" s="13" t="inlineStr">
        <is>
          <t>DESK-ANALYSIS</t>
        </is>
      </c>
      <c r="H49" s="6" t="inlineStr">
        <is>
          <t>K5 Evaluation contract</t>
        </is>
      </c>
      <c r="I49" s="6" t="inlineStr">
        <is>
          <t>G1 Before any implementation</t>
        </is>
      </c>
      <c r="J49" s="6" t="inlineStr">
        <is>
          <t>High</t>
        </is>
      </c>
      <c r="K49" s="6" t="n">
        <v>56</v>
      </c>
      <c r="L49" s="6" t="inlineStr">
        <is>
          <t>W2 Desk work (no model runs)</t>
        </is>
      </c>
      <c r="M49" s="6" t="inlineStr">
        <is>
          <t>S09</t>
        </is>
      </c>
      <c r="N49" s="6" t="inlineStr">
        <is>
          <t>Lead drafts; Joaa/you approve</t>
        </is>
      </c>
      <c r="O49" s="6" t="inlineStr">
        <is>
          <t>Lead computes or writes it (no model runs)</t>
        </is>
      </c>
      <c r="P49" s="6" t="inlineStr">
        <is>
          <t>Partly</t>
        </is>
      </c>
      <c r="Q49" s="6" t="inlineStr">
        <is>
          <t>Contract element</t>
        </is>
      </c>
      <c r="R49" s="6" t="inlineStr">
        <is>
          <t>Sub-item</t>
        </is>
      </c>
      <c r="S49" s="6" t="inlineStr">
        <is>
          <t>C-D08</t>
        </is>
      </c>
      <c r="T49" s="6" t="inlineStr">
        <is>
          <t>SRC-12 Phase 2: the unit of analysis (turn or complete trajectory), eligible tasks, models, provider and client versions and repeats are not fixed.</t>
        </is>
      </c>
      <c r="U49" s="6" t="inlineStr">
        <is>
          <t>Complete trajectories are the working unit; models, providers, repeats unset.</t>
        </is>
      </c>
      <c r="V49" s="6" t="inlineStr">
        <is>
          <t>Written in the evaluation contract.</t>
        </is>
      </c>
      <c r="W49" s="6" t="inlineStr"/>
      <c r="X49" s="6" t="inlineStr"/>
      <c r="Y49" s="6" t="inlineStr">
        <is>
          <t>Q-J04, Q-J21, Q-J24, Q-J25</t>
        </is>
      </c>
      <c r="Z49" s="6" t="inlineStr">
        <is>
          <t>JOAA-DECISION, USER-DECISION</t>
        </is>
      </c>
      <c r="AA49" s="6" t="inlineStr"/>
      <c r="AB49" s="6" t="inlineStr">
        <is>
          <t>DEC+DATA</t>
        </is>
      </c>
      <c r="AC49" s="6" t="inlineStr">
        <is>
          <t>n/a (sub-item)</t>
        </is>
      </c>
      <c r="AD49" s="6" t="inlineStr">
        <is>
          <t>NEW (SRC-12)</t>
        </is>
      </c>
      <c r="AE49" s="6" t="inlineStr">
        <is>
          <t>2026-10-19</t>
        </is>
      </c>
      <c r="AF49" s="6" t="inlineStr">
        <is>
          <t>v4-01 (complete trajectories as working criterion); v4-02 section 7 (task counts)</t>
        </is>
      </c>
      <c r="AG49" s="6" t="inlineStr"/>
      <c r="AH49" s="6" t="inlineStr">
        <is>
          <t>No</t>
        </is>
      </c>
      <c r="AI49" s="6" t="inlineStr"/>
      <c r="AJ49" s="6" t="inlineStr">
        <is>
          <t>SRC-12 Phase 2</t>
        </is>
      </c>
      <c r="AK49" s="6" t="inlineStr">
        <is>
          <t>SRC-12 Phase 2 bullet 1, A12</t>
        </is>
      </c>
      <c r="AL49" s="6" t="inlineStr">
        <is>
          <t>S08</t>
        </is>
      </c>
    </row>
    <row r="50" ht="28" customHeight="1">
      <c r="A50" s="5" t="inlineStr">
        <is>
          <t>C-D08/EC2</t>
        </is>
      </c>
      <c r="B50" s="6" t="inlineStr">
        <is>
          <t>Success/failure, argument-error and no-call outcomes: definitions and adjudication</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K5 Evaluation contract</t>
        </is>
      </c>
      <c r="I50" s="6" t="inlineStr">
        <is>
          <t>G1 Before any implementation</t>
        </is>
      </c>
      <c r="J50" s="6" t="inlineStr">
        <is>
          <t>High</t>
        </is>
      </c>
      <c r="K50" s="6" t="n">
        <v>57</v>
      </c>
      <c r="L50" s="6" t="inlineStr">
        <is>
          <t>W2 Desk work (no model runs)</t>
        </is>
      </c>
      <c r="M50" s="6" t="inlineStr">
        <is>
          <t>S09</t>
        </is>
      </c>
      <c r="N50" s="6" t="inlineStr">
        <is>
          <t>Lead drafts; Joaa/you approve</t>
        </is>
      </c>
      <c r="O50" s="6" t="inlineStr">
        <is>
          <t>Lead computes or writes it (no model runs)</t>
        </is>
      </c>
      <c r="P50" s="6" t="inlineStr">
        <is>
          <t>Partly</t>
        </is>
      </c>
      <c r="Q50" s="6" t="inlineStr">
        <is>
          <t>Contract element</t>
        </is>
      </c>
      <c r="R50" s="6" t="inlineStr">
        <is>
          <t>Sub-item</t>
        </is>
      </c>
      <c r="S50" s="6" t="inlineStr">
        <is>
          <t>C-D08</t>
        </is>
      </c>
      <c r="T50" s="6" t="inlineStr">
        <is>
          <t>SRC-12 Phase 2: how success, failure, argument errors and no-call outcomes are defined and adjudicated.</t>
        </is>
      </c>
      <c r="U50" s="6" t="inlineStr">
        <is>
          <t>One scorer required (E2); outcome splits not specified.</t>
        </is>
      </c>
      <c r="V50" s="6" t="inlineStr">
        <is>
          <t>Written in the evaluation contract.</t>
        </is>
      </c>
      <c r="W50" s="6" t="inlineStr"/>
      <c r="X50" s="6" t="inlineStr"/>
      <c r="Y50" s="6" t="inlineStr">
        <is>
          <t>Q-J20</t>
        </is>
      </c>
      <c r="Z50" s="6" t="inlineStr">
        <is>
          <t>JOAA-DECISION, USER-DECISION</t>
        </is>
      </c>
      <c r="AA50" s="6" t="inlineStr"/>
      <c r="AB50" s="6" t="inlineStr">
        <is>
          <t>DEC+DATA</t>
        </is>
      </c>
      <c r="AC50" s="6" t="inlineStr">
        <is>
          <t>n/a (sub-item)</t>
        </is>
      </c>
      <c r="AD50" s="6" t="inlineStr">
        <is>
          <t>NEW (SRC-12)</t>
        </is>
      </c>
      <c r="AE50" s="6" t="inlineStr">
        <is>
          <t>2026-10-19</t>
        </is>
      </c>
      <c r="AF50" s="6" t="inlineStr">
        <is>
          <t>v4-02 (one scorer); C-S09</t>
        </is>
      </c>
      <c r="AG50" s="6" t="inlineStr"/>
      <c r="AH50" s="6" t="inlineStr">
        <is>
          <t>No</t>
        </is>
      </c>
      <c r="AI50" s="6" t="inlineStr"/>
      <c r="AJ50" s="6" t="inlineStr">
        <is>
          <t>SRC-12 Phase 2</t>
        </is>
      </c>
      <c r="AK50" s="6" t="inlineStr">
        <is>
          <t>SRC-12 Phase 2 bullet 2</t>
        </is>
      </c>
      <c r="AL50" s="6" t="inlineStr">
        <is>
          <t>S08</t>
        </is>
      </c>
    </row>
    <row r="51" ht="28" customHeight="1">
      <c r="A51" s="5" t="inlineStr">
        <is>
          <t>C-D08/EC3</t>
        </is>
      </c>
      <c r="B51" s="6" t="inlineStr">
        <is>
          <t>Exposure levels and allowed discovery / re-addition behaviour</t>
        </is>
      </c>
      <c r="C51" s="6" t="inlineStr">
        <is>
          <t>OPEN</t>
        </is>
      </c>
      <c r="D51" s="6">
        <f>IFERROR(INDEX(Lists!$B$2:$B$14,MATCH(C51,Lists!$A$2:$A$14,0)),"?")</f>
        <v/>
      </c>
      <c r="E51" s="6">
        <f>IF(COUNTIFS(Links!$B$2:$B$600,A51,Links!$E$2:$E$600,"Yes")&gt;0,"REVISE","")</f>
        <v/>
      </c>
      <c r="F51" s="6">
        <f>COUNTIFS(Links!$B$2:$B$600,A51,Links!$D$2:$D$600,"No",Links!$C$2:$C$600,"&lt;&gt;INFORMS")</f>
        <v/>
      </c>
      <c r="G51" s="13" t="inlineStr">
        <is>
          <t>DESK-ANALYSIS</t>
        </is>
      </c>
      <c r="H51" s="6" t="inlineStr">
        <is>
          <t>K5 Evaluation contract</t>
        </is>
      </c>
      <c r="I51" s="6" t="inlineStr">
        <is>
          <t>G1 Before any implementation</t>
        </is>
      </c>
      <c r="J51" s="6" t="inlineStr">
        <is>
          <t>High</t>
        </is>
      </c>
      <c r="K51" s="6" t="n">
        <v>58</v>
      </c>
      <c r="L51" s="6" t="inlineStr">
        <is>
          <t>W2 Desk work (no model runs)</t>
        </is>
      </c>
      <c r="M51" s="6" t="inlineStr">
        <is>
          <t>S09</t>
        </is>
      </c>
      <c r="N51" s="6" t="inlineStr">
        <is>
          <t>Lead drafts; Joaa/you approve</t>
        </is>
      </c>
      <c r="O51" s="6" t="inlineStr">
        <is>
          <t>Lead computes or writes it (no model runs)</t>
        </is>
      </c>
      <c r="P51" s="6" t="inlineStr">
        <is>
          <t>Partly</t>
        </is>
      </c>
      <c r="Q51" s="6" t="inlineStr">
        <is>
          <t>Contract element</t>
        </is>
      </c>
      <c r="R51" s="6" t="inlineStr">
        <is>
          <t>Sub-item</t>
        </is>
      </c>
      <c r="S51" s="6" t="inlineStr">
        <is>
          <t>C-D08</t>
        </is>
      </c>
      <c r="T51" s="6" t="inlineStr">
        <is>
          <t>SRC-12 Phase 2: the exposure levels and the discovery or re-addition behaviour allowed in each arm.</t>
        </is>
      </c>
      <c r="U51" s="6" t="inlineStr">
        <is>
          <t>Figure 1 expresses the configurations; exposure levels (named-only/compact/full) not fixed.</t>
        </is>
      </c>
      <c r="V51" s="6" t="inlineStr">
        <is>
          <t>Written in the evaluation contract.</t>
        </is>
      </c>
      <c r="W51" s="6" t="inlineStr"/>
      <c r="X51" s="6" t="inlineStr"/>
      <c r="Y51" s="6" t="inlineStr">
        <is>
          <t>Q-J12</t>
        </is>
      </c>
      <c r="Z51" s="6" t="inlineStr">
        <is>
          <t>JOAA-DECISION, USER-DECISION</t>
        </is>
      </c>
      <c r="AA51" s="6" t="inlineStr"/>
      <c r="AB51" s="6" t="inlineStr">
        <is>
          <t>DEC+DATA</t>
        </is>
      </c>
      <c r="AC51" s="6" t="inlineStr">
        <is>
          <t>n/a (sub-item)</t>
        </is>
      </c>
      <c r="AD51" s="6" t="inlineStr">
        <is>
          <t>NEW (SRC-12)</t>
        </is>
      </c>
      <c r="AE51" s="6" t="inlineStr">
        <is>
          <t>2026-10-19</t>
        </is>
      </c>
      <c r="AF51" s="6" t="inlineStr">
        <is>
          <t>v4-02 Figure 1 and arm table</t>
        </is>
      </c>
      <c r="AG51" s="6" t="inlineStr"/>
      <c r="AH51" s="6" t="inlineStr">
        <is>
          <t>No</t>
        </is>
      </c>
      <c r="AI51" s="6" t="inlineStr"/>
      <c r="AJ51" s="6" t="inlineStr">
        <is>
          <t>SRC-12 Phase 2</t>
        </is>
      </c>
      <c r="AK51" s="6" t="inlineStr">
        <is>
          <t>SRC-12 Phase 2 bullet 3</t>
        </is>
      </c>
      <c r="AL51" s="6" t="inlineStr">
        <is>
          <t>S08</t>
        </is>
      </c>
    </row>
    <row r="52" ht="28" customHeight="1">
      <c r="A52" s="5" t="inlineStr">
        <is>
          <t>C-D08/EC4</t>
        </is>
      </c>
      <c r="B52" s="6" t="inlineStr">
        <is>
          <t>Reference arm(s), substitute reference, margin, strata, minimum counts</t>
        </is>
      </c>
      <c r="C52" s="6" t="inlineStr">
        <is>
          <t>OPEN</t>
        </is>
      </c>
      <c r="D52" s="6">
        <f>IFERROR(INDEX(Lists!$B$2:$B$14,MATCH(C52,Lists!$A$2:$A$14,0)),"?")</f>
        <v/>
      </c>
      <c r="E52" s="6">
        <f>IF(COUNTIFS(Links!$B$2:$B$600,A52,Links!$E$2:$E$600,"Yes")&gt;0,"REVISE","")</f>
        <v/>
      </c>
      <c r="F52" s="6">
        <f>COUNTIFS(Links!$B$2:$B$600,A52,Links!$D$2:$D$600,"No",Links!$C$2:$C$600,"&lt;&gt;INFORMS")</f>
        <v/>
      </c>
      <c r="G52" s="13" t="inlineStr">
        <is>
          <t>DESK-ANALYSIS</t>
        </is>
      </c>
      <c r="H52" s="6" t="inlineStr">
        <is>
          <t>K5 Evaluation contract</t>
        </is>
      </c>
      <c r="I52" s="6" t="inlineStr">
        <is>
          <t>G1 Before any implementation</t>
        </is>
      </c>
      <c r="J52" s="6" t="inlineStr">
        <is>
          <t>High</t>
        </is>
      </c>
      <c r="K52" s="6" t="n">
        <v>59</v>
      </c>
      <c r="L52" s="6" t="inlineStr">
        <is>
          <t>W2 Desk work (no model runs)</t>
        </is>
      </c>
      <c r="M52" s="6" t="inlineStr">
        <is>
          <t>S09</t>
        </is>
      </c>
      <c r="N52" s="6" t="inlineStr">
        <is>
          <t>Lead drafts; Joaa/you approve</t>
        </is>
      </c>
      <c r="O52" s="6" t="inlineStr">
        <is>
          <t>Lead computes or writes it (no model runs)</t>
        </is>
      </c>
      <c r="P52" s="6" t="inlineStr">
        <is>
          <t>Partly</t>
        </is>
      </c>
      <c r="Q52" s="6" t="inlineStr">
        <is>
          <t>Contract element</t>
        </is>
      </c>
      <c r="R52" s="6" t="inlineStr">
        <is>
          <t>Sub-item</t>
        </is>
      </c>
      <c r="S52" s="6" t="inlineStr">
        <is>
          <t>C-D08</t>
        </is>
      </c>
      <c r="T52" s="6" t="inlineStr">
        <is>
          <t>SRC-12 Phase 2: reference arm(s), any substitute reference, success margin, strata and minimum counts.</t>
        </is>
      </c>
      <c r="U52" s="6" t="inlineStr">
        <is>
          <t>Reference ladder defined; margin, strata, counts unset.</t>
        </is>
      </c>
      <c r="V52" s="6" t="inlineStr">
        <is>
          <t>Written in the evaluation contract.</t>
        </is>
      </c>
      <c r="W52" s="6" t="inlineStr"/>
      <c r="X52" s="6" t="inlineStr"/>
      <c r="Y52" s="6" t="inlineStr">
        <is>
          <t>Q-J20</t>
        </is>
      </c>
      <c r="Z52" s="6" t="inlineStr">
        <is>
          <t>JOAA-DECISION, USER-DECISION</t>
        </is>
      </c>
      <c r="AA52" s="6" t="inlineStr"/>
      <c r="AB52" s="6" t="inlineStr">
        <is>
          <t>DEC+DATA</t>
        </is>
      </c>
      <c r="AC52" s="6" t="inlineStr">
        <is>
          <t>n/a (sub-item)</t>
        </is>
      </c>
      <c r="AD52" s="6" t="inlineStr">
        <is>
          <t>NEW (SRC-12)</t>
        </is>
      </c>
      <c r="AE52" s="6" t="inlineStr">
        <is>
          <t>2026-10-19</t>
        </is>
      </c>
      <c r="AF52" s="6" t="inlineStr">
        <is>
          <t>v4-02 sections 4, 6, 7</t>
        </is>
      </c>
      <c r="AG52" s="6" t="inlineStr"/>
      <c r="AH52" s="6" t="inlineStr">
        <is>
          <t>No</t>
        </is>
      </c>
      <c r="AI52" s="6" t="inlineStr"/>
      <c r="AJ52" s="6" t="inlineStr">
        <is>
          <t>SRC-12 Phase 2</t>
        </is>
      </c>
      <c r="AK52" s="6" t="inlineStr">
        <is>
          <t>SRC-12 Phase 2 bullet 4</t>
        </is>
      </c>
      <c r="AL52" s="6" t="inlineStr">
        <is>
          <t>S08</t>
        </is>
      </c>
    </row>
    <row r="53" ht="40.5" customHeight="1">
      <c r="A53" s="5" t="inlineStr">
        <is>
          <t>C-D08/EC5</t>
        </is>
      </c>
      <c r="B53" s="6" t="inlineStr">
        <is>
          <t>Accounting: input tokens, cached/billed cost, latency, offline selection cost</t>
        </is>
      </c>
      <c r="C53" s="6" t="inlineStr">
        <is>
          <t>OPEN</t>
        </is>
      </c>
      <c r="D53" s="6">
        <f>IFERROR(INDEX(Lists!$B$2:$B$14,MATCH(C53,Lists!$A$2:$A$14,0)),"?")</f>
        <v/>
      </c>
      <c r="E53" s="6">
        <f>IF(COUNTIFS(Links!$B$2:$B$600,A53,Links!$E$2:$E$600,"Yes")&gt;0,"REVISE","")</f>
        <v/>
      </c>
      <c r="F53" s="6">
        <f>COUNTIFS(Links!$B$2:$B$600,A53,Links!$D$2:$D$600,"No",Links!$C$2:$C$600,"&lt;&gt;INFORMS")</f>
        <v/>
      </c>
      <c r="G53" s="13" t="inlineStr">
        <is>
          <t>DESK-ANALYSIS</t>
        </is>
      </c>
      <c r="H53" s="6" t="inlineStr">
        <is>
          <t>K5 Evaluation contract</t>
        </is>
      </c>
      <c r="I53" s="6" t="inlineStr">
        <is>
          <t>G1 Before any implementation</t>
        </is>
      </c>
      <c r="J53" s="6" t="inlineStr">
        <is>
          <t>High</t>
        </is>
      </c>
      <c r="K53" s="6" t="n">
        <v>60</v>
      </c>
      <c r="L53" s="6" t="inlineStr">
        <is>
          <t>W2 Desk work (no model runs)</t>
        </is>
      </c>
      <c r="M53" s="6" t="inlineStr">
        <is>
          <t>S09</t>
        </is>
      </c>
      <c r="N53" s="6" t="inlineStr">
        <is>
          <t>Lead drafts; Joaa/you approve</t>
        </is>
      </c>
      <c r="O53" s="6" t="inlineStr">
        <is>
          <t>Lead computes or writes it (no model runs)</t>
        </is>
      </c>
      <c r="P53" s="6" t="inlineStr">
        <is>
          <t>Partly</t>
        </is>
      </c>
      <c r="Q53" s="6" t="inlineStr">
        <is>
          <t>Contract element</t>
        </is>
      </c>
      <c r="R53" s="6" t="inlineStr">
        <is>
          <t>Sub-item</t>
        </is>
      </c>
      <c r="S53" s="6" t="inlineStr">
        <is>
          <t>C-D08</t>
        </is>
      </c>
      <c r="T53" s="6" t="inlineStr">
        <is>
          <t>SRC-12 Phase 2: input-token accounting, cached and billed cost, latency and offline selection cost (separate columns if the objective is undecided).</t>
        </is>
      </c>
      <c r="U53" s="6" t="inlineStr">
        <is>
          <t>Tokens are the working criterion; bill recorded separately; latency is not in any criterion.</t>
        </is>
      </c>
      <c r="V53" s="6" t="inlineStr">
        <is>
          <t>Written in the evaluation contract.</t>
        </is>
      </c>
      <c r="W53" s="6" t="inlineStr"/>
      <c r="X53" s="6" t="inlineStr"/>
      <c r="Y53" s="6" t="inlineStr">
        <is>
          <t>Q-J03</t>
        </is>
      </c>
      <c r="Z53" s="6" t="inlineStr">
        <is>
          <t>JOAA-DECISION, USER-DECISION</t>
        </is>
      </c>
      <c r="AA53" s="6" t="inlineStr"/>
      <c r="AB53" s="6" t="inlineStr">
        <is>
          <t>DEC+DATA</t>
        </is>
      </c>
      <c r="AC53" s="6" t="inlineStr">
        <is>
          <t>n/a (sub-item)</t>
        </is>
      </c>
      <c r="AD53" s="6" t="inlineStr">
        <is>
          <t>NEW (SRC-12)</t>
        </is>
      </c>
      <c r="AE53" s="6" t="inlineStr">
        <is>
          <t>2026-10-19</t>
        </is>
      </c>
      <c r="AF53" s="6" t="inlineStr">
        <is>
          <t>v4-04 sections 3, 8; v3-01 section 0</t>
        </is>
      </c>
      <c r="AG53" s="6" t="inlineStr"/>
      <c r="AH53" s="6" t="inlineStr">
        <is>
          <t>No</t>
        </is>
      </c>
      <c r="AI53" s="6" t="inlineStr"/>
      <c r="AJ53" s="6" t="inlineStr">
        <is>
          <t>SRC-12 Phase 2</t>
        </is>
      </c>
      <c r="AK53" s="6" t="inlineStr">
        <is>
          <t>SRC-12 Phase 2 bullet 5</t>
        </is>
      </c>
      <c r="AL53" s="6" t="inlineStr">
        <is>
          <t>S08</t>
        </is>
      </c>
    </row>
    <row r="54" ht="28" customHeight="1">
      <c r="A54" s="5" t="inlineStr">
        <is>
          <t>C-D08/EC6</t>
        </is>
      </c>
      <c r="B54" s="6" t="inlineStr">
        <is>
          <t>Analysis plan, stopping rule, uncertainty intervals, exclusions, large-catalogue claim boundary</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61</v>
      </c>
      <c r="L54" s="6" t="inlineStr">
        <is>
          <t>W2 Desk work (no model runs)</t>
        </is>
      </c>
      <c r="M54" s="6" t="inlineStr">
        <is>
          <t>S09</t>
        </is>
      </c>
      <c r="N54" s="6" t="inlineStr">
        <is>
          <t>Lead drafts; Joaa/you approve</t>
        </is>
      </c>
      <c r="O54" s="6" t="inlineStr">
        <is>
          <t>Lead computes or writes it (no model runs)</t>
        </is>
      </c>
      <c r="P54" s="6" t="inlineStr">
        <is>
          <t>Partly</t>
        </is>
      </c>
      <c r="Q54" s="6" t="inlineStr">
        <is>
          <t>Contract element</t>
        </is>
      </c>
      <c r="R54" s="6" t="inlineStr">
        <is>
          <t>Sub-item</t>
        </is>
      </c>
      <c r="S54" s="6" t="inlineStr">
        <is>
          <t>C-D08</t>
        </is>
      </c>
      <c r="T54" s="6" t="inlineStr">
        <is>
          <t>SRC-12 Phase 2: analysis plan, stopping rule, intervals, exclusions and the large-catalogue claim boundary.</t>
        </is>
      </c>
      <c r="U54" s="6" t="inlineStr">
        <is>
          <t>Decision rule S5A and Figure 2 exist; stopping rule and exclusions unspecified.</t>
        </is>
      </c>
      <c r="V54" s="6" t="inlineStr">
        <is>
          <t>Written in the evaluation contract.</t>
        </is>
      </c>
      <c r="W54" s="6" t="inlineStr"/>
      <c r="X54" s="6" t="inlineStr"/>
      <c r="Y54" s="6" t="inlineStr">
        <is>
          <t>Q-J20</t>
        </is>
      </c>
      <c r="Z54" s="6" t="inlineStr">
        <is>
          <t>JOAA-DECISION, USER-DECISION</t>
        </is>
      </c>
      <c r="AA54" s="6" t="inlineStr"/>
      <c r="AB54" s="6" t="inlineStr">
        <is>
          <t>DEC+DATA</t>
        </is>
      </c>
      <c r="AC54" s="6" t="inlineStr">
        <is>
          <t>n/a (sub-item)</t>
        </is>
      </c>
      <c r="AD54" s="6" t="inlineStr">
        <is>
          <t>NEW (SRC-12)</t>
        </is>
      </c>
      <c r="AE54" s="6" t="inlineStr">
        <is>
          <t>2026-10-19</t>
        </is>
      </c>
      <c r="AF54" s="6" t="inlineStr">
        <is>
          <t>v4-02 sections 3, 6</t>
        </is>
      </c>
      <c r="AG54" s="6" t="inlineStr"/>
      <c r="AH54" s="6" t="inlineStr">
        <is>
          <t>No</t>
        </is>
      </c>
      <c r="AI54" s="6" t="inlineStr"/>
      <c r="AJ54" s="6" t="inlineStr">
        <is>
          <t>SRC-12 Phase 2</t>
        </is>
      </c>
      <c r="AK54" s="6" t="inlineStr">
        <is>
          <t>SRC-12 Phase 2 bullet 6</t>
        </is>
      </c>
      <c r="AL54" s="6" t="inlineStr">
        <is>
          <t>S08</t>
        </is>
      </c>
    </row>
    <row r="55" ht="40.5" customHeight="1">
      <c r="A55" s="5" t="inlineStr">
        <is>
          <t>C-D08/EPS</t>
        </is>
      </c>
      <c r="B55" s="6" t="inlineStr">
        <is>
          <t>epsilon: cost tolerance for the parsimony preference (and the order of 'simplest')</t>
        </is>
      </c>
      <c r="C55" s="6" t="inlineStr">
        <is>
          <t>OPEN</t>
        </is>
      </c>
      <c r="D55" s="6">
        <f>IFERROR(INDEX(Lists!$B$2:$B$14,MATCH(C55,Lists!$A$2:$A$14,0)),"?")</f>
        <v/>
      </c>
      <c r="E55" s="6">
        <f>IF(COUNTIFS(Links!$B$2:$B$600,A55,Links!$E$2:$E$600,"Yes")&gt;0,"REVISE","")</f>
        <v/>
      </c>
      <c r="F55" s="6">
        <f>COUNTIFS(Links!$B$2:$B$600,A55,Links!$D$2:$D$600,"No",Links!$C$2:$C$600,"&lt;&gt;INFORMS")</f>
        <v/>
      </c>
      <c r="G55" s="10" t="inlineStr">
        <is>
          <t>JOAA-DECISION</t>
        </is>
      </c>
      <c r="H55" s="6" t="inlineStr">
        <is>
          <t>K5 Evaluation contract</t>
        </is>
      </c>
      <c r="I55" s="6" t="inlineStr">
        <is>
          <t>G1 Before any implementation</t>
        </is>
      </c>
      <c r="J55" s="6" t="inlineStr">
        <is>
          <t>High</t>
        </is>
      </c>
      <c r="K55" s="6" t="n">
        <v>62</v>
      </c>
      <c r="L55" s="6" t="inlineStr">
        <is>
          <t>W2 Desk work (no model runs)</t>
        </is>
      </c>
      <c r="M55" s="6" t="inlineStr">
        <is>
          <t>S09</t>
        </is>
      </c>
      <c r="N55" s="6" t="inlineStr">
        <is>
          <t>Joaa + you (or a documented pilot)</t>
        </is>
      </c>
      <c r="O55" s="6" t="inlineStr">
        <is>
          <t>Ask Joaa (Q-J19, Q-J20)</t>
        </is>
      </c>
      <c r="P55" s="6" t="inlineStr">
        <is>
          <t>No</t>
        </is>
      </c>
      <c r="Q55" s="6" t="inlineStr">
        <is>
          <t>Parameter</t>
        </is>
      </c>
      <c r="R55" s="6" t="inlineStr">
        <is>
          <t>Sub-item</t>
        </is>
      </c>
      <c r="S55" s="6" t="inlineStr">
        <is>
          <t>C-D08</t>
        </is>
      </c>
      <c r="T55" s="6" t="inlineStr">
        <is>
          <t>epsilon (tokens per trajectory) and the pre-registered tie order among equally complex arms are unset; without epsilon the report names no winner.</t>
        </is>
      </c>
      <c r="U55" s="6" t="inlineStr">
        <is>
          <t>Unset.</t>
        </is>
      </c>
      <c r="V55" s="6" t="inlineStr">
        <is>
          <t>Set in the evaluation contract, or deferred to a documented pilot with Joaa's agreement.</t>
        </is>
      </c>
      <c r="W55" s="6" t="inlineStr"/>
      <c r="X55" s="6" t="inlineStr"/>
      <c r="Y55" s="6" t="inlineStr">
        <is>
          <t>Q-J19, Q-J20</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epsilon</t>
        </is>
      </c>
      <c r="AL55" s="6" t="inlineStr">
        <is>
          <t>S08</t>
        </is>
      </c>
    </row>
    <row r="56" ht="115.5" customHeight="1">
      <c r="A56" s="5" t="inlineStr">
        <is>
          <t>C-D08/EXEC</t>
        </is>
      </c>
      <c r="B56" s="6" t="inlineStr">
        <is>
          <t>Identity of 'Executor' and whether it must be an arm (assertion A7)</t>
        </is>
      </c>
      <c r="C56" s="6" t="inlineStr">
        <is>
          <t>PARTLY ANSWERED</t>
        </is>
      </c>
      <c r="D56" s="6">
        <f>IFERROR(INDEX(Lists!$B$2:$B$14,MATCH(C56,Lists!$A$2:$A$14,0)),"?")</f>
        <v/>
      </c>
      <c r="E56" s="6">
        <f>IF(COUNTIFS(Links!$B$2:$B$600,A56,Links!$E$2:$E$600,"Yes")&gt;0,"REVISE","")</f>
        <v/>
      </c>
      <c r="F56" s="6">
        <f>COUNTIFS(Links!$B$2:$B$600,A56,Links!$D$2:$D$600,"No",Links!$C$2:$C$600,"&lt;&gt;INFORMS")</f>
        <v/>
      </c>
      <c r="G56" s="14" t="inlineStr">
        <is>
          <t>SOURCE-REREAD</t>
        </is>
      </c>
      <c r="H56" s="6" t="inlineStr">
        <is>
          <t>K5 Evaluation contract</t>
        </is>
      </c>
      <c r="I56" s="6" t="inlineStr">
        <is>
          <t>G1 Before any implementation</t>
        </is>
      </c>
      <c r="J56" s="6" t="inlineStr">
        <is>
          <t>High</t>
        </is>
      </c>
      <c r="K56" s="6" t="n">
        <v>63</v>
      </c>
      <c r="L56" s="6" t="inlineStr">
        <is>
          <t>W2 Desk work (no model runs)</t>
        </is>
      </c>
      <c r="M56" s="6" t="inlineStr">
        <is>
          <t>S09</t>
        </is>
      </c>
      <c r="N56" s="6" t="inlineStr">
        <is>
          <t>Joaa + you (or a documented pilot)</t>
        </is>
      </c>
      <c r="O56" s="6" t="inlineStr">
        <is>
          <t>Read the stored text first (tools/origin_extract.py)</t>
        </is>
      </c>
      <c r="P56" s="6" t="inlineStr">
        <is>
          <t>Yes - stored text, unread</t>
        </is>
      </c>
      <c r="Q56" s="6" t="inlineStr">
        <is>
          <t>Parameter</t>
        </is>
      </c>
      <c r="R56" s="6" t="inlineStr">
        <is>
          <t>Sub-item</t>
        </is>
      </c>
      <c r="S56" s="6" t="inlineStr">
        <is>
          <t>C-D08</t>
        </is>
      </c>
      <c r="T56" s="6" t="inlineStr">
        <is>
          <t>Joaa's 'Executor' is identified by researcher records, not transcript lines; the stored Executor docs/code (r4-executor-*) could confirm what the project does.</t>
        </is>
      </c>
      <c r="U56"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56" s="6" t="inlineStr">
        <is>
          <t>Set in the evaluation contract, or deferred to a documented pilot with Joaa's agreement.</t>
        </is>
      </c>
      <c r="W56" s="6" t="inlineStr"/>
      <c r="X56" s="6" t="inlineStr"/>
      <c r="Y56" s="6" t="inlineStr">
        <is>
          <t>Q-J16</t>
        </is>
      </c>
      <c r="Z56" s="6" t="inlineStr">
        <is>
          <t>JOAA-DECISION</t>
        </is>
      </c>
      <c r="AA56" s="6" t="inlineStr"/>
      <c r="AB56" s="6" t="inlineStr">
        <is>
          <t>SOURCE+DEC</t>
        </is>
      </c>
      <c r="AC56" s="6" t="inlineStr">
        <is>
          <t>n/a (sub-item)</t>
        </is>
      </c>
      <c r="AD56" s="6" t="inlineStr">
        <is>
          <t>NEW (repo sweep)</t>
        </is>
      </c>
      <c r="AE56" s="6" t="inlineStr">
        <is>
          <t>2026-10-19</t>
        </is>
      </c>
      <c r="AF56" s="6" t="inlineStr">
        <is>
          <t>FND-0010 (findings/SUM-0012); FND-0013 (findings/SUM-0015); CAVEATS row 6</t>
        </is>
      </c>
      <c r="AG56" s="6" t="inlineStr"/>
      <c r="AH56" s="6" t="inlineStr">
        <is>
          <t>No</t>
        </is>
      </c>
      <c r="AI56" s="6" t="inlineStr"/>
      <c r="AJ56" s="6" t="inlineStr">
        <is>
          <t>repo: v4-02 / v3-04 section 5 / v2-05 section 3</t>
        </is>
      </c>
      <c r="AK56" s="6" t="inlineStr">
        <is>
          <t>A7, CAVEATS 6</t>
        </is>
      </c>
      <c r="AL56" s="6" t="inlineStr">
        <is>
          <t>S08</t>
        </is>
      </c>
    </row>
    <row r="57" ht="40.5" customHeight="1">
      <c r="A57" s="5" t="inlineStr">
        <is>
          <t>C-D08/GATEWAY</t>
        </is>
      </c>
      <c r="B57" s="6" t="inlineStr">
        <is>
          <t>Does a code-mediated or gateway path count as exposure / must it be a baseline arm?</t>
        </is>
      </c>
      <c r="C57" s="6" t="inlineStr">
        <is>
          <t>OPEN</t>
        </is>
      </c>
      <c r="D57" s="6">
        <f>IFERROR(INDEX(Lists!$B$2:$B$14,MATCH(C57,Lists!$A$2:$A$14,0)),"?")</f>
        <v/>
      </c>
      <c r="E57" s="6">
        <f>IF(COUNTIFS(Links!$B$2:$B$600,A57,Links!$E$2:$E$600,"Yes")&gt;0,"REVISE","")</f>
        <v/>
      </c>
      <c r="F57" s="6">
        <f>COUNTIFS(Links!$B$2:$B$600,A57,Links!$D$2:$D$600,"No",Links!$C$2:$C$600,"&lt;&gt;INFORMS")</f>
        <v/>
      </c>
      <c r="G57" s="10" t="inlineStr">
        <is>
          <t>JOAA-DECISION</t>
        </is>
      </c>
      <c r="H57" s="6" t="inlineStr">
        <is>
          <t>K5 Evaluation contract</t>
        </is>
      </c>
      <c r="I57" s="6" t="inlineStr">
        <is>
          <t>G1 Before any implementation</t>
        </is>
      </c>
      <c r="J57" s="6" t="inlineStr">
        <is>
          <t>High</t>
        </is>
      </c>
      <c r="K57" s="6" t="n">
        <v>64</v>
      </c>
      <c r="L57" s="6" t="inlineStr">
        <is>
          <t>W2 Desk work (no model runs)</t>
        </is>
      </c>
      <c r="M57" s="6" t="inlineStr">
        <is>
          <t>S09</t>
        </is>
      </c>
      <c r="N57" s="6" t="inlineStr">
        <is>
          <t>Joaa + you (or a documented pilot)</t>
        </is>
      </c>
      <c r="O57" s="6" t="inlineStr">
        <is>
          <t>Ask Joaa (Q-J16)</t>
        </is>
      </c>
      <c r="P57" s="6" t="inlineStr">
        <is>
          <t>No</t>
        </is>
      </c>
      <c r="Q57" s="6" t="inlineStr">
        <is>
          <t>Parameter</t>
        </is>
      </c>
      <c r="R57" s="6" t="inlineStr">
        <is>
          <t>Sub-item</t>
        </is>
      </c>
      <c r="S57" s="6" t="inlineStr">
        <is>
          <t>C-D08</t>
        </is>
      </c>
      <c r="T57" s="6" t="inlineStr">
        <is>
          <t>Whether the existing code-mediated project (and gateways) is a baseline arm or an exposure policy is unset (brief Q6).</t>
        </is>
      </c>
      <c r="U57" s="6" t="inlineStr">
        <is>
          <t>Unset.</t>
        </is>
      </c>
      <c r="V57" s="6" t="inlineStr">
        <is>
          <t>Set in the evaluation contract, or deferred to a documented pilot with Joaa's agreement.</t>
        </is>
      </c>
      <c r="W57" s="6" t="inlineStr"/>
      <c r="X57" s="6" t="inlineStr"/>
      <c r="Y57" s="6" t="inlineStr">
        <is>
          <t>Q-J16</t>
        </is>
      </c>
      <c r="Z57" s="6" t="inlineStr">
        <is>
          <t>DESK-ANALYSIS</t>
        </is>
      </c>
      <c r="AA57" s="6" t="inlineStr"/>
      <c r="AB57" s="6" t="inlineStr">
        <is>
          <t>DEC+DATA</t>
        </is>
      </c>
      <c r="AC57" s="6" t="inlineStr">
        <is>
          <t>n/a (sub-item)</t>
        </is>
      </c>
      <c r="AD57" s="6" t="inlineStr">
        <is>
          <t>NEW (repo sweep)</t>
        </is>
      </c>
      <c r="AE57" s="6" t="inlineStr">
        <is>
          <t>2026-10-19</t>
        </is>
      </c>
      <c r="AF57" s="6" t="inlineStr">
        <is>
          <t>v4-01 section 8 Q6; v1-A9</t>
        </is>
      </c>
      <c r="AG57" s="6" t="inlineStr"/>
      <c r="AH57" s="6" t="inlineStr">
        <is>
          <t>No</t>
        </is>
      </c>
      <c r="AI57" s="6" t="inlineStr"/>
      <c r="AJ57" s="6" t="inlineStr">
        <is>
          <t>repo: v4-02 / v3-04 section 5 / v2-05 section 3</t>
        </is>
      </c>
      <c r="AK57" s="6" t="inlineStr">
        <is>
          <t>v4-01 Q6</t>
        </is>
      </c>
      <c r="AL57" s="6" t="inlineStr">
        <is>
          <t>S08</t>
        </is>
      </c>
    </row>
    <row r="58" ht="40.5" customHeight="1">
      <c r="A58" s="5" t="inlineStr">
        <is>
          <t>C-D08/HIER</t>
        </is>
      </c>
      <c r="B58" s="6" t="inlineStr">
        <is>
          <t>Navigated hierarchy: source of the hierarchy and budget unit</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65</v>
      </c>
      <c r="L58" s="6" t="inlineStr">
        <is>
          <t>W2 Desk work (no model runs)</t>
        </is>
      </c>
      <c r="M58" s="6" t="inlineStr">
        <is>
          <t>S09</t>
        </is>
      </c>
      <c r="N58" s="6" t="inlineStr">
        <is>
          <t>Joaa + you (or a documented pilot)</t>
        </is>
      </c>
      <c r="O58" s="6" t="inlineStr">
        <is>
          <t>Lead computes or writes it (no model runs)</t>
        </is>
      </c>
      <c r="P58" s="6" t="inlineStr">
        <is>
          <t>No</t>
        </is>
      </c>
      <c r="Q58" s="6" t="inlineStr">
        <is>
          <t>Parameter</t>
        </is>
      </c>
      <c r="R58" s="6" t="inlineStr">
        <is>
          <t>Sub-item</t>
        </is>
      </c>
      <c r="S58" s="6" t="inlineStr">
        <is>
          <t>C-D08</t>
        </is>
      </c>
      <c r="T58" s="6" t="inlineStr">
        <is>
          <t>The source of the hierarchy (catalogue's own structure or derived) and the budget unit (one level = one discovery) are unset; untested above 400 tools.</t>
        </is>
      </c>
      <c r="U58" s="6" t="inlineStr">
        <is>
          <t>Unset.</t>
        </is>
      </c>
      <c r="V58" s="6" t="inlineStr">
        <is>
          <t>Set in the evaluation contract, or deferred to a documented pilot with Joaa's agreement.</t>
        </is>
      </c>
      <c r="W58" s="6" t="inlineStr"/>
      <c r="X58" s="6" t="inlineStr"/>
      <c r="Y58" s="6" t="inlineStr">
        <is>
          <t>Q-J20</t>
        </is>
      </c>
      <c r="Z58" s="6" t="inlineStr">
        <is>
          <t>DESK-ANALYSIS</t>
        </is>
      </c>
      <c r="AA58" s="6" t="inlineStr"/>
      <c r="AB58" s="6" t="inlineStr">
        <is>
          <t>DEC+DATA</t>
        </is>
      </c>
      <c r="AC58" s="6" t="inlineStr">
        <is>
          <t>n/a (sub-item)</t>
        </is>
      </c>
      <c r="AD58" s="6" t="inlineStr">
        <is>
          <t>NEW (repo sweep)</t>
        </is>
      </c>
      <c r="AE58" s="6" t="inlineStr">
        <is>
          <t>2026-10-19</t>
        </is>
      </c>
      <c r="AF58" s="6" t="inlineStr">
        <is>
          <t>v4-02 section 5</t>
        </is>
      </c>
      <c r="AG58" s="6" t="inlineStr"/>
      <c r="AH58" s="6" t="inlineStr">
        <is>
          <t>No</t>
        </is>
      </c>
      <c r="AI58" s="6" t="inlineStr"/>
      <c r="AJ58" s="6" t="inlineStr">
        <is>
          <t>repo: v4-02 / v3-04 section 5 / v2-05 section 3</t>
        </is>
      </c>
      <c r="AK58" s="6" t="inlineStr"/>
      <c r="AL58" s="6" t="inlineStr">
        <is>
          <t>S08</t>
        </is>
      </c>
    </row>
    <row r="59" ht="40.5" customHeight="1">
      <c r="A59" s="5" t="inlineStr">
        <is>
          <t>C-D08/KAPPA</t>
        </is>
      </c>
      <c r="B59" s="6" t="inlineStr">
        <is>
          <t>Search width kappa</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66</v>
      </c>
      <c r="L59" s="6" t="inlineStr">
        <is>
          <t>W2 Desk work (no model runs)</t>
        </is>
      </c>
      <c r="M59" s="6" t="inlineStr">
        <is>
          <t>S09</t>
        </is>
      </c>
      <c r="N59" s="6" t="inlineStr">
        <is>
          <t>Joaa + you (or a documented pilot)</t>
        </is>
      </c>
      <c r="O59" s="6" t="inlineStr">
        <is>
          <t>Lead computes or writes it (no model runs)</t>
        </is>
      </c>
      <c r="P59" s="6" t="inlineStr">
        <is>
          <t>No</t>
        </is>
      </c>
      <c r="Q59" s="6" t="inlineStr">
        <is>
          <t>Parameter</t>
        </is>
      </c>
      <c r="R59" s="6" t="inlineStr">
        <is>
          <t>Sub-item</t>
        </is>
      </c>
      <c r="S59" s="6" t="inlineStr">
        <is>
          <t>C-D08</t>
        </is>
      </c>
      <c r="T59" s="6" t="inlineStr">
        <is>
          <t>The top-kappa search width is unset.</t>
        </is>
      </c>
      <c r="U59" s="6" t="inlineStr">
        <is>
          <t>Unset.</t>
        </is>
      </c>
      <c r="V59" s="6" t="inlineStr">
        <is>
          <t>Set in the evaluation contract, or deferred to a documented pilot with Joaa's agreement.</t>
        </is>
      </c>
      <c r="W59" s="6" t="inlineStr"/>
      <c r="X59" s="6" t="inlineStr"/>
      <c r="Y59" s="6" t="inlineStr">
        <is>
          <t>Q-J20</t>
        </is>
      </c>
      <c r="Z59" s="6" t="inlineStr">
        <is>
          <t>JOAA-DECISION</t>
        </is>
      </c>
      <c r="AA59" s="6" t="inlineStr"/>
      <c r="AB59" s="6" t="inlineStr">
        <is>
          <t>DEC+DATA</t>
        </is>
      </c>
      <c r="AC59" s="6" t="inlineStr">
        <is>
          <t>n/a (sub-item)</t>
        </is>
      </c>
      <c r="AD59" s="6" t="inlineStr">
        <is>
          <t>NEW (repo sweep)</t>
        </is>
      </c>
      <c r="AE59" s="6" t="inlineStr">
        <is>
          <t>2026-10-19</t>
        </is>
      </c>
      <c r="AF59" s="6" t="inlineStr">
        <is>
          <t>v4-02 header ('unset')</t>
        </is>
      </c>
      <c r="AG59" s="6" t="inlineStr"/>
      <c r="AH59" s="6" t="inlineStr">
        <is>
          <t>No</t>
        </is>
      </c>
      <c r="AI59" s="6" t="inlineStr"/>
      <c r="AJ59" s="6" t="inlineStr">
        <is>
          <t>repo: v4-02 / v3-04 section 5 / v2-05 section 3</t>
        </is>
      </c>
      <c r="AK59" s="6" t="inlineStr">
        <is>
          <t>kappa</t>
        </is>
      </c>
      <c r="AL59" s="6" t="inlineStr">
        <is>
          <t>S08</t>
        </is>
      </c>
    </row>
    <row r="60" ht="40.5" customHeight="1">
      <c r="A60" s="5" t="inlineStr">
        <is>
          <t>C-D08/RANKER</t>
        </is>
      </c>
      <c r="B60" s="6" t="inlineStr">
        <is>
          <t>Ranker / selector type and disclosure-grade set</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67</v>
      </c>
      <c r="L60" s="6" t="inlineStr">
        <is>
          <t>W2 Desk work (no model runs)</t>
        </is>
      </c>
      <c r="M60" s="6" t="inlineStr">
        <is>
          <t>S09</t>
        </is>
      </c>
      <c r="N60" s="6" t="inlineStr">
        <is>
          <t>Joaa + you (or a documented pilot)</t>
        </is>
      </c>
      <c r="O60" s="6" t="inlineStr">
        <is>
          <t>Lead computes or writes it (no model runs)</t>
        </is>
      </c>
      <c r="P60" s="6" t="inlineStr">
        <is>
          <t>No</t>
        </is>
      </c>
      <c r="Q60" s="6" t="inlineStr">
        <is>
          <t>Parameter</t>
        </is>
      </c>
      <c r="R60" s="6" t="inlineStr">
        <is>
          <t>Sub-item</t>
        </is>
      </c>
      <c r="S60" s="6" t="inlineStr">
        <is>
          <t>C-D08</t>
        </is>
      </c>
      <c r="T60" s="6" t="inlineStr">
        <is>
          <t>The ranker type, the selector type and the set of disclosure grades are unset.</t>
        </is>
      </c>
      <c r="U60" s="6" t="inlineStr">
        <is>
          <t>Unset.</t>
        </is>
      </c>
      <c r="V60" s="6" t="inlineStr">
        <is>
          <t>Set in the evaluation contract, or deferred to a documented pilot with Joaa's agreement.</t>
        </is>
      </c>
      <c r="W60" s="6" t="inlineStr"/>
      <c r="X60" s="6" t="inlineStr"/>
      <c r="Y60" s="6" t="inlineStr">
        <is>
          <t>Q-J20</t>
        </is>
      </c>
      <c r="Z60" s="6" t="inlineStr">
        <is>
          <t>DESK-ANALYSIS</t>
        </is>
      </c>
      <c r="AA60" s="6" t="inlineStr"/>
      <c r="AB60" s="6" t="inlineStr">
        <is>
          <t>DEC+DATA</t>
        </is>
      </c>
      <c r="AC60" s="6" t="inlineStr">
        <is>
          <t>n/a (sub-item)</t>
        </is>
      </c>
      <c r="AD60" s="6" t="inlineStr">
        <is>
          <t>NEW (repo sweep)</t>
        </is>
      </c>
      <c r="AE60" s="6" t="inlineStr">
        <is>
          <t>2026-10-19</t>
        </is>
      </c>
      <c r="AF60" s="6" t="inlineStr">
        <is>
          <t>v4-02 header ('unset')</t>
        </is>
      </c>
      <c r="AG60" s="6" t="inlineStr"/>
      <c r="AH60" s="6" t="inlineStr">
        <is>
          <t>No</t>
        </is>
      </c>
      <c r="AI60" s="6" t="inlineStr"/>
      <c r="AJ60" s="6" t="inlineStr">
        <is>
          <t>repo: v4-02 / v3-04 section 5 / v2-05 section 3</t>
        </is>
      </c>
      <c r="AK60" s="6" t="inlineStr">
        <is>
          <t>v1-A9</t>
        </is>
      </c>
      <c r="AL60" s="6" t="inlineStr">
        <is>
          <t>S08</t>
        </is>
      </c>
    </row>
    <row r="61" ht="53" customHeight="1">
      <c r="A61" s="5" t="inlineStr">
        <is>
          <t>C-D08/SCOPESTMT</t>
        </is>
      </c>
      <c r="B61" s="6" t="inlineStr">
        <is>
          <t>Scope-statement and interface-contract wording; statement ladder wordings</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68</v>
      </c>
      <c r="L61" s="6" t="inlineStr">
        <is>
          <t>W2 Desk work (no model runs)</t>
        </is>
      </c>
      <c r="M61" s="6" t="inlineStr">
        <is>
          <t>S09</t>
        </is>
      </c>
      <c r="N61" s="6" t="inlineStr">
        <is>
          <t>Joaa + you (or a documented pilot)</t>
        </is>
      </c>
      <c r="O61" s="6" t="inlineStr">
        <is>
          <t>Lead computes or writes it (no model runs)</t>
        </is>
      </c>
      <c r="P61" s="6" t="inlineStr">
        <is>
          <t>No</t>
        </is>
      </c>
      <c r="Q61" s="6" t="inlineStr">
        <is>
          <t>Parameter</t>
        </is>
      </c>
      <c r="R61" s="6" t="inlineStr">
        <is>
          <t>Sub-item</t>
        </is>
      </c>
      <c r="S61" s="6" t="inlineStr">
        <is>
          <t>C-D08</t>
        </is>
      </c>
      <c r="T61" s="6" t="inlineStr">
        <is>
          <t>The wording of the metadata-only scope statement, the interface contract and the statement ladder (generic, catalogue-specific, existence hint) is unset; a catalogue-specific statement partly exposes the catalogue.</t>
        </is>
      </c>
      <c r="U61" s="6" t="inlineStr">
        <is>
          <t>Unset.</t>
        </is>
      </c>
      <c r="V61" s="6" t="inlineStr">
        <is>
          <t>Set in the evaluation contract, or deferred to a documented pilot with Joaa's agreement.</t>
        </is>
      </c>
      <c r="W61" s="6" t="inlineStr"/>
      <c r="X61" s="6" t="inlineStr"/>
      <c r="Y61" s="6" t="inlineStr">
        <is>
          <t>Q-J20</t>
        </is>
      </c>
      <c r="Z61" s="6" t="inlineStr">
        <is>
          <t>DESK-ANALYSIS</t>
        </is>
      </c>
      <c r="AA61" s="6" t="inlineStr"/>
      <c r="AB61" s="6" t="inlineStr">
        <is>
          <t>DEC+DATA</t>
        </is>
      </c>
      <c r="AC61" s="6" t="inlineStr">
        <is>
          <t>n/a (sub-item)</t>
        </is>
      </c>
      <c r="AD61" s="6" t="inlineStr">
        <is>
          <t>NEW (repo sweep)</t>
        </is>
      </c>
      <c r="AE61" s="6" t="inlineStr">
        <is>
          <t>2026-10-19</t>
        </is>
      </c>
      <c r="AF61" s="6" t="inlineStr">
        <is>
          <t>v4-05 section 2 item 3; CH-0062</t>
        </is>
      </c>
      <c r="AG61" s="6" t="inlineStr"/>
      <c r="AH61" s="6" t="inlineStr">
        <is>
          <t>No</t>
        </is>
      </c>
      <c r="AI61" s="6" t="inlineStr"/>
      <c r="AJ61" s="6" t="inlineStr">
        <is>
          <t>repo: v4-02 / v3-04 section 5 / v2-05 section 3</t>
        </is>
      </c>
      <c r="AK61" s="6" t="inlineStr">
        <is>
          <t>CH-0062, RA6</t>
        </is>
      </c>
      <c r="AL61" s="6" t="inlineStr">
        <is>
          <t>S08</t>
        </is>
      </c>
    </row>
    <row r="62" ht="40.5" customHeight="1">
      <c r="A62" s="5" t="inlineStr">
        <is>
          <t>C-D08/STRATA</t>
        </is>
      </c>
      <c r="B62" s="6" t="inlineStr">
        <is>
          <t>Strata and minimum stratum size (and source of strata annotations)</t>
        </is>
      </c>
      <c r="C62" s="6" t="inlineStr">
        <is>
          <t>OPEN</t>
        </is>
      </c>
      <c r="D62" s="6">
        <f>IFERROR(INDEX(Lists!$B$2:$B$14,MATCH(C62,Lists!$A$2:$A$14,0)),"?")</f>
        <v/>
      </c>
      <c r="E62" s="6">
        <f>IF(COUNTIFS(Links!$B$2:$B$600,A62,Links!$E$2:$E$600,"Yes")&gt;0,"REVISE","")</f>
        <v/>
      </c>
      <c r="F62" s="6">
        <f>COUNTIFS(Links!$B$2:$B$600,A62,Links!$D$2:$D$600,"No",Links!$C$2:$C$600,"&lt;&gt;INFORMS")</f>
        <v/>
      </c>
      <c r="G62" s="10" t="inlineStr">
        <is>
          <t>JOAA-DECISION</t>
        </is>
      </c>
      <c r="H62" s="6" t="inlineStr">
        <is>
          <t>K5 Evaluation contract</t>
        </is>
      </c>
      <c r="I62" s="6" t="inlineStr">
        <is>
          <t>G1 Before any implementation</t>
        </is>
      </c>
      <c r="J62" s="6" t="inlineStr">
        <is>
          <t>High</t>
        </is>
      </c>
      <c r="K62" s="6" t="n">
        <v>69</v>
      </c>
      <c r="L62" s="6" t="inlineStr">
        <is>
          <t>W2 Desk work (no model runs)</t>
        </is>
      </c>
      <c r="M62" s="6" t="inlineStr">
        <is>
          <t>S09</t>
        </is>
      </c>
      <c r="N62" s="6" t="inlineStr">
        <is>
          <t>Joaa + you (or a documented pilot)</t>
        </is>
      </c>
      <c r="O62" s="6" t="inlineStr">
        <is>
          <t>Ask Joaa (Q-J14, Q-J20)</t>
        </is>
      </c>
      <c r="P62" s="6" t="inlineStr">
        <is>
          <t>No</t>
        </is>
      </c>
      <c r="Q62" s="6" t="inlineStr">
        <is>
          <t>Parameter</t>
        </is>
      </c>
      <c r="R62" s="6" t="inlineStr">
        <is>
          <t>Sub-item</t>
        </is>
      </c>
      <c r="S62" s="6" t="inlineStr">
        <is>
          <t>C-D08</t>
        </is>
      </c>
      <c r="T62" s="6" t="inlineStr">
        <is>
          <t>Strata, the minimum stratum size and the source of strata annotations are unset (CH-0038 residual).</t>
        </is>
      </c>
      <c r="U62" s="6" t="inlineStr">
        <is>
          <t>Unset.</t>
        </is>
      </c>
      <c r="V62" s="6" t="inlineStr">
        <is>
          <t>Set in the evaluation contract, or deferred to a documented pilot with Joaa's agreement.</t>
        </is>
      </c>
      <c r="W62" s="6" t="inlineStr"/>
      <c r="X62" s="6" t="inlineStr"/>
      <c r="Y62" s="6" t="inlineStr">
        <is>
          <t>Q-J14, Q-J20</t>
        </is>
      </c>
      <c r="Z62" s="6" t="inlineStr">
        <is>
          <t>DESK-ANALYSIS</t>
        </is>
      </c>
      <c r="AA62" s="6" t="inlineStr"/>
      <c r="AB62" s="6" t="inlineStr">
        <is>
          <t>DEC+DATA</t>
        </is>
      </c>
      <c r="AC62" s="6" t="inlineStr">
        <is>
          <t>n/a (sub-item)</t>
        </is>
      </c>
      <c r="AD62" s="6" t="inlineStr">
        <is>
          <t>NEW (repo sweep)</t>
        </is>
      </c>
      <c r="AE62" s="6" t="inlineStr">
        <is>
          <t>2026-10-19</t>
        </is>
      </c>
      <c r="AF62" s="6" t="inlineStr">
        <is>
          <t>v4-02 header ('unset')</t>
        </is>
      </c>
      <c r="AG62" s="6" t="inlineStr"/>
      <c r="AH62" s="6" t="inlineStr">
        <is>
          <t>No</t>
        </is>
      </c>
      <c r="AI62" s="6" t="inlineStr"/>
      <c r="AJ62" s="6" t="inlineStr">
        <is>
          <t>repo: v4-02 / v3-04 section 5 / v2-05 section 3</t>
        </is>
      </c>
      <c r="AK62" s="6" t="inlineStr">
        <is>
          <t>strata</t>
        </is>
      </c>
      <c r="AL62" s="6" t="inlineStr">
        <is>
          <t>S08</t>
        </is>
      </c>
    </row>
    <row r="63" ht="40.5" customHeight="1">
      <c r="A63" s="5" t="inlineStr">
        <is>
          <t>C-D08/TOK</t>
        </is>
      </c>
      <c r="B63" s="6" t="inlineStr">
        <is>
          <t>Tokenizer convention</t>
        </is>
      </c>
      <c r="C63" s="6" t="inlineStr">
        <is>
          <t>OPEN</t>
        </is>
      </c>
      <c r="D63" s="6">
        <f>IFERROR(INDEX(Lists!$B$2:$B$14,MATCH(C63,Lists!$A$2:$A$14,0)),"?")</f>
        <v/>
      </c>
      <c r="E63" s="6">
        <f>IF(COUNTIFS(Links!$B$2:$B$600,A63,Links!$E$2:$E$600,"Yes")&gt;0,"REVISE","")</f>
        <v/>
      </c>
      <c r="F63" s="6">
        <f>COUNTIFS(Links!$B$2:$B$600,A63,Links!$D$2:$D$600,"No",Links!$C$2:$C$600,"&lt;&gt;INFORMS")</f>
        <v/>
      </c>
      <c r="G63" s="13" t="inlineStr">
        <is>
          <t>DESK-ANALYSIS</t>
        </is>
      </c>
      <c r="H63" s="6" t="inlineStr">
        <is>
          <t>K5 Evaluation contract</t>
        </is>
      </c>
      <c r="I63" s="6" t="inlineStr">
        <is>
          <t>G1 Before any implementation</t>
        </is>
      </c>
      <c r="J63" s="6" t="inlineStr">
        <is>
          <t>High</t>
        </is>
      </c>
      <c r="K63" s="6" t="n">
        <v>70</v>
      </c>
      <c r="L63" s="6" t="inlineStr">
        <is>
          <t>W2 Desk work (no model runs)</t>
        </is>
      </c>
      <c r="M63" s="6" t="inlineStr">
        <is>
          <t>S09</t>
        </is>
      </c>
      <c r="N63" s="6" t="inlineStr">
        <is>
          <t>Joaa + you (or a documented pilot)</t>
        </is>
      </c>
      <c r="O63" s="6" t="inlineStr">
        <is>
          <t>Lead computes or writes it (no model runs)</t>
        </is>
      </c>
      <c r="P63" s="6" t="inlineStr">
        <is>
          <t>No</t>
        </is>
      </c>
      <c r="Q63" s="6" t="inlineStr">
        <is>
          <t>Parameter</t>
        </is>
      </c>
      <c r="R63" s="6" t="inlineStr">
        <is>
          <t>Sub-item</t>
        </is>
      </c>
      <c r="S63" s="6" t="inlineStr">
        <is>
          <t>C-D08</t>
        </is>
      </c>
      <c r="T63" s="6" t="inlineStr">
        <is>
          <t>The tokenizer or usage-field convention (provider-reported vs own tokenizer) is unset.</t>
        </is>
      </c>
      <c r="U63" s="6" t="inlineStr">
        <is>
          <t>Unset.</t>
        </is>
      </c>
      <c r="V63" s="6" t="inlineStr">
        <is>
          <t>Set in the evaluation contract, or deferred to a documented pilot with Joaa's agreement.</t>
        </is>
      </c>
      <c r="W63" s="6" t="inlineStr"/>
      <c r="X63" s="6" t="inlineStr"/>
      <c r="Y63" s="6" t="inlineStr">
        <is>
          <t>Q-J03</t>
        </is>
      </c>
      <c r="Z63" s="6" t="inlineStr">
        <is>
          <t>JOAA-DECISION</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tokenizer</t>
        </is>
      </c>
      <c r="AL63" s="6" t="inlineStr">
        <is>
          <t>S08</t>
        </is>
      </c>
    </row>
    <row r="64" ht="65.5" customHeight="1">
      <c r="A64" s="5" t="inlineStr">
        <is>
          <t>C-D08</t>
        </is>
      </c>
      <c r="B64" s="6" t="inlineStr">
        <is>
          <t>Arms and baselines (incl.</t>
        </is>
      </c>
      <c r="C64" s="6" t="inlineStr">
        <is>
          <t>PARTLY ANSWERED</t>
        </is>
      </c>
      <c r="D64" s="6">
        <f>IFERROR(INDEX(Lists!$B$2:$B$14,MATCH(C64,Lists!$A$2:$A$14,0)),"?")</f>
        <v/>
      </c>
      <c r="E64" s="6">
        <f>IF(COUNTIFS(Links!$B$2:$B$600,A64,Links!$E$2:$E$600,"Yes")&gt;0,"REVISE","")</f>
        <v/>
      </c>
      <c r="F64" s="6">
        <f>COUNTIFS(Links!$B$2:$B$600,A64,Links!$D$2:$D$600,"No",Links!$C$2:$C$600,"&lt;&gt;INFORMS")</f>
        <v/>
      </c>
      <c r="G64" s="10" t="inlineStr">
        <is>
          <t>JOAA-DECISION</t>
        </is>
      </c>
      <c r="H64" s="6" t="inlineStr">
        <is>
          <t>K5 Evaluation contract</t>
        </is>
      </c>
      <c r="I64" s="6" t="inlineStr">
        <is>
          <t>G1 Before any implementation</t>
        </is>
      </c>
      <c r="J64" s="6" t="inlineStr">
        <is>
          <t>High</t>
        </is>
      </c>
      <c r="K64" s="6" t="n">
        <v>71</v>
      </c>
      <c r="L64" s="6" t="inlineStr">
        <is>
          <t>W2 Desk work (no model runs)</t>
        </is>
      </c>
      <c r="M64" s="6" t="inlineStr">
        <is>
          <t>S09</t>
        </is>
      </c>
      <c r="N64" s="6" t="inlineStr">
        <is>
          <t>Joaa + you</t>
        </is>
      </c>
      <c r="O64" s="6" t="inlineStr">
        <is>
          <t>Ask Joaa (Q-J01, Q-J16, Q-J20, Q-U06)</t>
        </is>
      </c>
      <c r="P64" s="6" t="inlineStr">
        <is>
          <t>Partly</t>
        </is>
      </c>
      <c r="Q64" s="6" t="inlineStr">
        <is>
          <t>Decision</t>
        </is>
      </c>
      <c r="R64" s="6" t="inlineStr">
        <is>
          <t>Item</t>
        </is>
      </c>
      <c r="S64" s="6" t="inlineStr"/>
      <c r="T64" s="6" t="inlineStr">
        <is>
          <t>Arms and baselines (incl. who or what 'Executor' is), maintained-performance margin, alpha, strata, N_dep, epsilon, tokenizer, ranker, search budget are unset.</t>
        </is>
      </c>
      <c r="U64" s="6" t="inlineStr">
        <is>
          <t>v4 added the navigated-hierarchy arm; parameters still unset. 'Executor as named baseline' is a researcher identification, not transcript text. Arms and baselines are G1; numeric parameters are G3.</t>
        </is>
      </c>
      <c r="V64" s="6" t="inlineStr">
        <is>
          <t>Arm table and comparison contract fixed in writing; unset numbers deferred to a pilot only with Joaa's agreement.</t>
        </is>
      </c>
      <c r="W64" s="6" t="inlineStr">
        <is>
          <t>C-D01, C-D02, C-D03, C-D05</t>
        </is>
      </c>
      <c r="X64" s="6" t="inlineStr">
        <is>
          <t>C-D11</t>
        </is>
      </c>
      <c r="Y64" s="6" t="inlineStr">
        <is>
          <t>Q-J01, Q-J16, Q-J20, Q-U06</t>
        </is>
      </c>
      <c r="Z64" s="6" t="inlineStr">
        <is>
          <t>USER-DECISION, DESK-ANALYSIS</t>
        </is>
      </c>
      <c r="AA64" s="6" t="inlineStr">
        <is>
          <t>K11 End-to-end comparison</t>
        </is>
      </c>
      <c r="AB64" s="6" t="inlineStr">
        <is>
          <t>DEC+DATA</t>
        </is>
      </c>
      <c r="AC64" s="6" t="inlineStr">
        <is>
          <t>PARTLY ANSWERED - OPEN</t>
        </is>
      </c>
      <c r="AD64" s="6" t="inlineStr">
        <is>
          <t>UNCHANGED</t>
        </is>
      </c>
      <c r="AE64" s="6" t="inlineStr">
        <is>
          <t>2026-10-19</t>
        </is>
      </c>
      <c r="AF64" s="6" t="inlineStr">
        <is>
          <t>v4-02 sections 5-7; CAVEATS row 6</t>
        </is>
      </c>
      <c r="AG64" s="6" t="inlineStr"/>
      <c r="AH64" s="6" t="inlineStr">
        <is>
          <t>No</t>
        </is>
      </c>
      <c r="AI64" s="6" t="inlineStr"/>
      <c r="AJ64" s="6" t="inlineStr">
        <is>
          <t>SRC-11 canonical</t>
        </is>
      </c>
      <c r="AK64" s="6" t="inlineStr">
        <is>
          <t>SRC-06 D10, SRC-06 D11, v1-A9, v3-04 section 5</t>
        </is>
      </c>
      <c r="AL64" s="6" t="inlineStr">
        <is>
          <t>S08</t>
        </is>
      </c>
    </row>
    <row r="65" ht="240.5" customHeight="1">
      <c r="A65" s="5" t="inlineStr">
        <is>
          <t>C-E05</t>
        </is>
      </c>
      <c r="B65" s="6" t="inlineStr">
        <is>
          <t>Provider prices and implementation change; the repo's price evidence is dated 2026-10-11 (SRC-11 reports a ...</t>
        </is>
      </c>
      <c r="C65" s="6" t="inlineStr">
        <is>
          <t>PARTLY ANSWERED</t>
        </is>
      </c>
      <c r="D65" s="6">
        <f>IFERROR(INDEX(Lists!$B$2:$B$14,MATCH(C65,Lists!$A$2:$A$14,0)),"?")</f>
        <v/>
      </c>
      <c r="E65" s="6">
        <f>IF(COUNTIFS(Links!$B$2:$B$600,A65,Links!$E$2:$E$600,"Yes")&gt;0,"REVISE","")</f>
        <v/>
      </c>
      <c r="F65" s="6">
        <f>COUNTIFS(Links!$B$2:$B$600,A65,Links!$D$2:$D$600,"No",Links!$C$2:$C$600,"&lt;&gt;INFORMS")</f>
        <v/>
      </c>
      <c r="G65" s="15" t="inlineStr">
        <is>
          <t>TIME-RECHECK</t>
        </is>
      </c>
      <c r="H65" s="6" t="inlineStr">
        <is>
          <t>K15 Expiring provider facts</t>
        </is>
      </c>
      <c r="I65" s="6" t="inlineStr">
        <is>
          <t>G2 Before the affected pilot/arm</t>
        </is>
      </c>
      <c r="J65" s="6" t="inlineStr">
        <is>
          <t>High</t>
        </is>
      </c>
      <c r="K65" s="6" t="n">
        <v>74</v>
      </c>
      <c r="L65" s="6" t="inlineStr">
        <is>
          <t>W2 Desk work (no model runs)</t>
        </is>
      </c>
      <c r="M65" s="6" t="inlineStr">
        <is>
          <t>S10</t>
        </is>
      </c>
      <c r="N65" s="6" t="inlineStr">
        <is>
          <t>Lead (web) with a dated table</t>
        </is>
      </c>
      <c r="O65" s="6" t="inlineStr">
        <is>
          <t>Recheck at claim time</t>
        </is>
      </c>
      <c r="P65" s="6" t="inlineStr">
        <is>
          <t>Partly</t>
        </is>
      </c>
      <c r="Q65" s="6" t="inlineStr">
        <is>
          <t>Source check</t>
        </is>
      </c>
      <c r="R65" s="6" t="inlineStr">
        <is>
          <t>Item</t>
        </is>
      </c>
      <c r="S65" s="6" t="inlineStr"/>
      <c r="T65" s="6" t="inlineStr">
        <is>
          <t>Provider prices and implementation change; the repo's price evidence is dated 2026-10-11 (SRC-11 reports a 17-18 Oct check).</t>
        </is>
      </c>
      <c r="U65"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65" s="6" t="inlineStr">
        <is>
          <t>A dated price table now (before Pilot A); repeat at step S24 before any current-price claim, because prices expire.</t>
        </is>
      </c>
      <c r="W65" s="6" t="inlineStr">
        <is>
          <t>N-5, C-D02</t>
        </is>
      </c>
      <c r="X65" s="6" t="inlineStr"/>
      <c r="Y65" s="6" t="inlineStr">
        <is>
          <t>Q-J03, Q-J24, Q-U21</t>
        </is>
      </c>
      <c r="Z65" s="6" t="inlineStr">
        <is>
          <t>SOURCE-REREAD</t>
        </is>
      </c>
      <c r="AA65" s="6" t="inlineStr">
        <is>
          <t>K9 Cache &amp; billing</t>
        </is>
      </c>
      <c r="AB65" s="6" t="inlineStr">
        <is>
          <t>TIME+SOURCE</t>
        </is>
      </c>
      <c r="AC65" s="6" t="inlineStr">
        <is>
          <t>BOUNDARY - OPEN</t>
        </is>
      </c>
      <c r="AD65" s="6" t="inlineStr">
        <is>
          <t>UNCHANGED</t>
        </is>
      </c>
      <c r="AE65" s="6" t="inlineStr">
        <is>
          <t>2026-10-19</t>
        </is>
      </c>
      <c r="AF65" s="6" t="inlineStr">
        <is>
          <t>evidence/literature-20261019/price-*-20261019 and MANIFEST.jsonl (the manifest's 'auth' field says AUTH-013 because the pinned fetch helper hard-codes it; the fetch was made under AUTH-016); EXT-0085, EXT-0086, EXT-0089</t>
        </is>
      </c>
      <c r="AG65" s="6" t="inlineStr">
        <is>
          <t>Before any current-price claim, and whenever a provider/model is chosen or the bill becomes the objective</t>
        </is>
      </c>
      <c r="AH65" s="6" t="inlineStr">
        <is>
          <t>No (AUTH-016 covers web fetches for this item)</t>
        </is>
      </c>
      <c r="AI65" s="6" t="inlineStr"/>
      <c r="AJ65" s="6" t="inlineStr">
        <is>
          <t>SRC-11 canonical</t>
        </is>
      </c>
      <c r="AK65" s="6" t="inlineStr">
        <is>
          <t>SRC-07 31</t>
        </is>
      </c>
      <c r="AL65" s="6" t="inlineStr">
        <is>
          <t>S10</t>
        </is>
      </c>
    </row>
    <row r="66" ht="240.5" customHeight="1">
      <c r="A66" s="5" t="inlineStr">
        <is>
          <t>AS-07</t>
        </is>
      </c>
      <c r="B66" s="6" t="inlineStr">
        <is>
          <t>Supervisor assertion A7: 'Executor' exposes connection prefixes and meta-tools (tool search, details, results) instead of listing all tools</t>
        </is>
      </c>
      <c r="C66" s="6" t="inlineStr">
        <is>
          <t>PARTLY ANSWERED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75</v>
      </c>
      <c r="L66" s="6" t="inlineStr">
        <is>
          <t>W2 Desk work (no model runs)</t>
        </is>
      </c>
      <c r="M66" s="6" t="inlineStr">
        <is>
          <t>S11</t>
        </is>
      </c>
      <c r="N66" s="6" t="inlineStr">
        <is>
          <t>Lead / team</t>
        </is>
      </c>
      <c r="O66" s="6" t="inlineStr">
        <is>
          <t>Read the linked docs pages only if the default surface matters; identity question stays with Joaa (Q-J16)</t>
        </is>
      </c>
      <c r="P66" s="6" t="inlineStr">
        <is>
          <t>Yes - stored text, unread</t>
        </is>
      </c>
      <c r="Q66" s="6" t="inlineStr">
        <is>
          <t>Claim to test</t>
        </is>
      </c>
      <c r="R66" s="6" t="inlineStr">
        <is>
          <t>Item</t>
        </is>
      </c>
      <c r="S66" s="6" t="inlineStr"/>
      <c r="T66" s="6" t="inlineStr">
        <is>
          <t>REQ-A1 A7: 'Executor' exposes connection prefixes and meta-tools (tool search, details, results) instead of listing all tools. Product identity and behaviour must be checked at source; Executor docs/code are stored (r4-executor-*).</t>
        </is>
      </c>
      <c r="U66"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66" s="6" t="inlineStr">
        <is>
          <t>Product identity and behaviour must be checked at source; Executor docs/code are stored (r4-executor-*).</t>
        </is>
      </c>
      <c r="W66" s="6" t="inlineStr"/>
      <c r="X66" s="6" t="inlineStr"/>
      <c r="Y66" s="6" t="inlineStr">
        <is>
          <t>Q-J16</t>
        </is>
      </c>
      <c r="Z66" s="6" t="inlineStr"/>
      <c r="AA66" s="6" t="inlineStr"/>
      <c r="AB66" s="6" t="inlineStr">
        <is>
          <t>SOURCE</t>
        </is>
      </c>
      <c r="AC66" s="6" t="inlineStr">
        <is>
          <t>n/a (REGISTER E)</t>
        </is>
      </c>
      <c r="AD66" s="6" t="inlineStr">
        <is>
          <t>NEW (repo sweep)</t>
        </is>
      </c>
      <c r="AE66" s="6" t="inlineStr">
        <is>
          <t>2026-10-19</t>
        </is>
      </c>
      <c r="AF66" s="6" t="inlineStr">
        <is>
          <t>FND-0010 (findings/SUM-0012); FND-0013 (findings/SUM-0015); EXT-0124, EXT-0127, EXT-0168, EXT-0170, EXT-0172</t>
        </is>
      </c>
      <c r="AG66" s="6" t="inlineStr"/>
      <c r="AH66" s="6" t="inlineStr">
        <is>
          <t>No</t>
        </is>
      </c>
      <c r="AI66" s="6" t="inlineStr"/>
      <c r="AJ66" s="6" t="inlineStr">
        <is>
          <t>repo: REGISTER section E / EXT-0004</t>
        </is>
      </c>
      <c r="AK66" s="6" t="inlineStr">
        <is>
          <t>REQ-A1 A7</t>
        </is>
      </c>
      <c r="AL66" s="6" t="inlineStr">
        <is>
          <t>S11</t>
        </is>
      </c>
    </row>
    <row r="67" ht="53" customHeight="1">
      <c r="A67" s="5" t="inlineStr">
        <is>
          <t>C-E01</t>
        </is>
      </c>
      <c r="B67" s="6" t="inlineStr">
        <is>
          <t>Ten disputed or unverified paper/vendor claims and propagation defects (e.g., the 292K flat-catalogue figure).</t>
        </is>
      </c>
      <c r="C67" s="6" t="inlineStr">
        <is>
          <t>PARTLY ANSWERED</t>
        </is>
      </c>
      <c r="D67" s="6">
        <f>IFERROR(INDEX(Lists!$B$2:$B$14,MATCH(C67,Lists!$A$2:$A$14,0)),"?")</f>
        <v/>
      </c>
      <c r="E67" s="6">
        <f>IF(COUNTIFS(Links!$B$2:$B$600,A67,Links!$E$2:$E$600,"Yes")&gt;0,"REVISE","")</f>
        <v/>
      </c>
      <c r="F67" s="6">
        <f>COUNTIFS(Links!$B$2:$B$600,A67,Links!$D$2:$D$600,"No",Links!$C$2:$C$600,"&lt;&gt;INFORMS")</f>
        <v/>
      </c>
      <c r="G67" s="14" t="inlineStr">
        <is>
          <t>SOURCE-REREAD</t>
        </is>
      </c>
      <c r="H67" s="6" t="inlineStr">
        <is>
          <t>K14 Source &amp; vendor verification</t>
        </is>
      </c>
      <c r="I67" s="6" t="inlineStr">
        <is>
          <t>G4 Before claims</t>
        </is>
      </c>
      <c r="J67" s="6" t="inlineStr">
        <is>
          <t>Normal</t>
        </is>
      </c>
      <c r="K67" s="6" t="n">
        <v>76</v>
      </c>
      <c r="L67" s="6" t="inlineStr">
        <is>
          <t>W2 Desk work (no model runs)</t>
        </is>
      </c>
      <c r="M67" s="6" t="inlineStr">
        <is>
          <t>S11</t>
        </is>
      </c>
      <c r="N67" s="6" t="inlineStr">
        <is>
          <t>Lead + steward (authors for table conflicts)</t>
        </is>
      </c>
      <c r="O67" s="6" t="inlineStr">
        <is>
          <t>Read the stored text first (tools/origin_extract.py)</t>
        </is>
      </c>
      <c r="P67" s="6" t="inlineStr">
        <is>
          <t>Yes - stored text, unread</t>
        </is>
      </c>
      <c r="Q67" s="6" t="inlineStr">
        <is>
          <t>Source check</t>
        </is>
      </c>
      <c r="R67" s="6" t="inlineStr">
        <is>
          <t>Item</t>
        </is>
      </c>
      <c r="S67" s="6" t="inlineStr"/>
      <c r="T67" s="6" t="inlineStr">
        <is>
          <t>Ten disputed or unverified paper/vendor claims and propagation defects (e.g., the 292K flat-catalogue figure).</t>
        </is>
      </c>
      <c r="U67" s="6" t="inlineStr">
        <is>
          <t>One sub-claim (292K figure) traced to the benchmark repo's development document, not the paper (v4-03 section 2); the others concern the Phase 1 dossier outside the repo.</t>
        </is>
      </c>
      <c r="V67" s="6" t="inlineStr">
        <is>
          <t>Original versions/tables opened; derivative claims corrected; unreplicable vendor data labelled.</t>
        </is>
      </c>
      <c r="W67" s="6" t="inlineStr"/>
      <c r="X67" s="6" t="inlineStr">
        <is>
          <t>C-D01, C-D08</t>
        </is>
      </c>
      <c r="Y67" s="6" t="inlineStr"/>
      <c r="Z67" s="6" t="inlineStr">
        <is>
          <t>AUTHOR-OR-VENDOR, RECORDS-AT-HAND</t>
        </is>
      </c>
      <c r="AA67" s="6" t="inlineStr"/>
      <c r="AB67" s="6" t="inlineStr">
        <is>
          <t>SOURCE+RECORD+AUTHOR</t>
        </is>
      </c>
      <c r="AC67" s="6" t="inlineStr">
        <is>
          <t>OPEN</t>
        </is>
      </c>
      <c r="AD67" s="6" t="inlineStr">
        <is>
          <t>NARROWED</t>
        </is>
      </c>
      <c r="AE67" s="6" t="inlineStr">
        <is>
          <t>2026-10-19</t>
        </is>
      </c>
      <c r="AF67" s="6" t="inlineStr">
        <is>
          <t>v4-03 section 2; EXT-0084</t>
        </is>
      </c>
      <c r="AG67" s="6" t="inlineStr"/>
      <c r="AH67" s="6" t="inlineStr">
        <is>
          <t>No (AUTH-016 covers web fetches for this item)</t>
        </is>
      </c>
      <c r="AI67" s="6" t="inlineStr"/>
      <c r="AJ67" s="6" t="inlineStr">
        <is>
          <t>SRC-11 canonical</t>
        </is>
      </c>
      <c r="AK67" s="6" t="inlineStr">
        <is>
          <t>SRC-06 E01-E10</t>
        </is>
      </c>
      <c r="AL67" s="6" t="inlineStr">
        <is>
          <t>S11</t>
        </is>
      </c>
    </row>
    <row r="68" ht="65.5" customHeight="1">
      <c r="A68" s="5" t="inlineStr">
        <is>
          <t>C-E01/E02</t>
        </is>
      </c>
      <c r="B68" s="6" t="inlineStr">
        <is>
          <t>Toollery replay library, selector comparability, pricing protocol unstated</t>
        </is>
      </c>
      <c r="C68" s="6" t="inlineStr">
        <is>
          <t>NOT LOCATED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G4 Before claims</t>
        </is>
      </c>
      <c r="J68" s="6" t="inlineStr">
        <is>
          <t>Normal</t>
        </is>
      </c>
      <c r="K68" s="6" t="n">
        <v>79</v>
      </c>
      <c r="L68" s="6" t="inlineStr">
        <is>
          <t>W2 Desk work (no model runs)</t>
        </is>
      </c>
      <c r="M68" s="6" t="inlineStr">
        <is>
          <t>S11</t>
        </is>
      </c>
      <c r="N68" s="6" t="inlineStr">
        <is>
          <t>Authors</t>
        </is>
      </c>
      <c r="O68" s="6" t="inlineStr">
        <is>
          <t>You send the drafted ask (design/ledger/notes/AUTHOR-ASKS-DRAFT-20261020.md, section 4) and record the reply; until then it waits on the authors</t>
        </is>
      </c>
      <c r="P68" s="6" t="inlineStr">
        <is>
          <t>Partly</t>
        </is>
      </c>
      <c r="Q68" s="6" t="inlineStr">
        <is>
          <t>Source check</t>
        </is>
      </c>
      <c r="R68" s="6" t="inlineStr">
        <is>
          <t>Sub-item</t>
        </is>
      </c>
      <c r="S68" s="6" t="inlineStr">
        <is>
          <t>C-E01</t>
        </is>
      </c>
      <c r="T68" s="6" t="inlineStr">
        <is>
          <t>SRC-06 E02: Toollery's replay library, selector comparability and pricing protocol are unstated in the stored text.</t>
        </is>
      </c>
      <c r="U68" s="6" t="inlineStr">
        <is>
          <t>The repo confirms the stored text lacks them; the fitted multiplier is treated as study-specific.</t>
        </is>
      </c>
      <c r="V68" s="6" t="inlineStr">
        <is>
          <t>Authors answer, or 'not provided' recorded and the number labelled study-specific.</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2026-10-20</t>
        </is>
      </c>
      <c r="AF68" s="6" t="inlineStr">
        <is>
          <t>v3-01 section 5: 'the model, pricing and candidate-list construction are not in the stored text'; sources.json s4b-wd-toollery</t>
        </is>
      </c>
      <c r="AG68" s="6" t="inlineStr"/>
      <c r="AH68" s="6" t="inlineStr">
        <is>
          <t>No (AUTH-016 covers web fetches for this item)</t>
        </is>
      </c>
      <c r="AI68" s="6" t="inlineStr"/>
      <c r="AJ68" s="6" t="inlineStr">
        <is>
          <t>SRC-11 section D1</t>
        </is>
      </c>
      <c r="AK68" s="6" t="inlineStr">
        <is>
          <t>SRC-06 E02</t>
        </is>
      </c>
      <c r="AL68" s="6" t="inlineStr">
        <is>
          <t>S11</t>
        </is>
      </c>
    </row>
    <row r="69" ht="53" customHeight="1">
      <c r="A69" s="5" t="inlineStr">
        <is>
          <t>C-E01/E05</t>
        </is>
      </c>
      <c r="B69" s="6" t="inlineStr">
        <is>
          <t>Did the earlier body use the MCP-Bench distractor-server result?</t>
        </is>
      </c>
      <c r="C69" s="6" t="inlineStr">
        <is>
          <t>OPEN</t>
        </is>
      </c>
      <c r="D69" s="6">
        <f>IFERROR(INDEX(Lists!$B$2:$B$14,MATCH(C69,Lists!$A$2:$A$14,0)),"?")</f>
        <v/>
      </c>
      <c r="E69" s="6">
        <f>IF(COUNTIFS(Links!$B$2:$B$600,A69,Links!$E$2:$E$600,"Yes")&gt;0,"REVISE","")</f>
        <v/>
      </c>
      <c r="F69" s="6">
        <f>COUNTIFS(Links!$B$2:$B$600,A69,Links!$D$2:$D$600,"No",Links!$C$2:$C$600,"&lt;&gt;INFORMS")</f>
        <v/>
      </c>
      <c r="G69" s="8" t="inlineStr">
        <is>
          <t>RECORDS-AT-HAND</t>
        </is>
      </c>
      <c r="H69" s="6" t="inlineStr">
        <is>
          <t>K14 Source &amp; vendor verification</t>
        </is>
      </c>
      <c r="I69" s="6" t="inlineStr">
        <is>
          <t>G4 Before claims</t>
        </is>
      </c>
      <c r="J69" s="6" t="inlineStr">
        <is>
          <t>Normal</t>
        </is>
      </c>
      <c r="K69" s="6" t="n">
        <v>82</v>
      </c>
      <c r="L69" s="6" t="inlineStr">
        <is>
          <t>W2 Desk work (no model runs)</t>
        </is>
      </c>
      <c r="M69" s="6" t="inlineStr">
        <is>
          <t>S11</t>
        </is>
      </c>
      <c r="N69" s="6" t="inlineStr">
        <is>
          <t>You (Phase 1 records)</t>
        </is>
      </c>
      <c r="O69" s="6" t="inlineStr">
        <is>
          <t>Lead drafts the fix; you approve</t>
        </is>
      </c>
      <c r="P69" s="6" t="inlineStr">
        <is>
          <t>No</t>
        </is>
      </c>
      <c r="Q69" s="6" t="inlineStr">
        <is>
          <t>Source check</t>
        </is>
      </c>
      <c r="R69" s="6" t="inlineStr">
        <is>
          <t>Sub-item</t>
        </is>
      </c>
      <c r="S69" s="6" t="inlineStr">
        <is>
          <t>C-E01</t>
        </is>
      </c>
      <c r="T69" s="6" t="inlineStr">
        <is>
          <t>SRC-06 E05: unknown whether the earlier body incorporated the MCP-Bench distractor-server result (audit-history question).</t>
        </is>
      </c>
      <c r="U69" s="6" t="inlineStr">
        <is>
          <t>Outside the repo.</t>
        </is>
      </c>
      <c r="V69" s="6" t="inlineStr">
        <is>
          <t>Original record and paper checked; audit-history recorded.</t>
        </is>
      </c>
      <c r="W69" s="6" t="inlineStr"/>
      <c r="X69" s="6" t="inlineStr"/>
      <c r="Y69" s="6" t="inlineStr"/>
      <c r="Z69" s="6" t="inlineStr"/>
      <c r="AA69" s="6" t="inlineStr"/>
      <c r="AB69" s="6" t="inlineStr">
        <is>
          <t>RECORD+SOURCE</t>
        </is>
      </c>
      <c r="AC69" s="6" t="inlineStr">
        <is>
          <t>n/a (sub-item)</t>
        </is>
      </c>
      <c r="AD69" s="6" t="inlineStr">
        <is>
          <t>NEW (SRC-11 sub-row)</t>
        </is>
      </c>
      <c r="AE69" s="6" t="inlineStr">
        <is>
          <t>2026-10-19</t>
        </is>
      </c>
      <c r="AF69" s="6" t="inlineStr">
        <is>
          <t>Concerns the independent Phase 1 body (outside repo); r3-mcpbench is stored</t>
        </is>
      </c>
      <c r="AG69" s="6" t="inlineStr"/>
      <c r="AH69" s="6" t="inlineStr">
        <is>
          <t>No (AUTH-016 covers web fetches for this item)</t>
        </is>
      </c>
      <c r="AI69" s="6" t="inlineStr"/>
      <c r="AJ69" s="6" t="inlineStr">
        <is>
          <t>SRC-11 section D1</t>
        </is>
      </c>
      <c r="AK69" s="6" t="inlineStr">
        <is>
          <t>SRC-06 E05</t>
        </is>
      </c>
      <c r="AL69" s="6" t="inlineStr">
        <is>
          <t>S11</t>
        </is>
      </c>
    </row>
    <row r="70" ht="300" customHeight="1">
      <c r="A70" s="5" t="inlineStr">
        <is>
          <t>C-E01/E08</t>
        </is>
      </c>
      <c r="B70" s="6" t="inlineStr">
        <is>
          <t>CAPC lazy-tools scope, ToolMenuBench sizes, ProMCP figures not fully verified</t>
        </is>
      </c>
      <c r="C70" s="6" t="inlineStr">
        <is>
          <t>DEFERRED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G4 Before claims</t>
        </is>
      </c>
      <c r="J70" s="6" t="inlineStr">
        <is>
          <t>Normal</t>
        </is>
      </c>
      <c r="K70" s="6" t="n">
        <v>86</v>
      </c>
      <c r="L70" s="6" t="inlineStr">
        <is>
          <t>W2 Desk work (no model runs)</t>
        </is>
      </c>
      <c r="M70" s="6" t="inlineStr">
        <is>
          <t>S11</t>
        </is>
      </c>
      <c r="N70" s="6" t="inlineStr">
        <is>
          <t>Lead + steward</t>
        </is>
      </c>
      <c r="O70" s="6" t="inlineStr">
        <is>
          <t>none until the trigger fires</t>
        </is>
      </c>
      <c r="P70" s="6" t="inlineStr">
        <is>
          <t>Partly</t>
        </is>
      </c>
      <c r="Q70" s="6" t="inlineStr">
        <is>
          <t>Source check</t>
        </is>
      </c>
      <c r="R70" s="6" t="inlineStr">
        <is>
          <t>Sub-item</t>
        </is>
      </c>
      <c r="S70" s="6" t="inlineStr">
        <is>
          <t>C-E01</t>
        </is>
      </c>
      <c r="T70" s="6" t="inlineStr">
        <is>
          <t>SRC-06 E08: CAPC lazy-tools scope, ToolMenuBench sizes and ProMCP figures are not fully verified.</t>
        </is>
      </c>
      <c r="U70"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70" s="6" t="inlineStr">
        <is>
          <t>Each table/setting checked separately.</t>
        </is>
      </c>
      <c r="W70" s="6" t="inlineStr"/>
      <c r="X70" s="6" t="inlineStr"/>
      <c r="Y70" s="6" t="inlineStr"/>
      <c r="Z70" s="6" t="inlineStr"/>
      <c r="AA70" s="6" t="inlineStr"/>
      <c r="AB70" s="6" t="inlineStr">
        <is>
          <t>SOURCE</t>
        </is>
      </c>
      <c r="AC70" s="6" t="inlineStr">
        <is>
          <t>n/a (sub-item)</t>
        </is>
      </c>
      <c r="AD70" s="6" t="inlineStr">
        <is>
          <t>NEW (SRC-11 sub-row)</t>
        </is>
      </c>
      <c r="AE70" s="6" t="inlineStr">
        <is>
          <t>2026-10-20</t>
        </is>
      </c>
      <c r="AF70" s="6" t="inlineStr">
        <is>
          <t>grep of design/package-v3 and design/package-v4 01-05 (lead, 2026-10-20)</t>
        </is>
      </c>
      <c r="AG70" s="6" t="inlineStr">
        <is>
          <t>A document quotes a ProMCP figure</t>
        </is>
      </c>
      <c r="AH70" s="6" t="inlineStr">
        <is>
          <t>No (AUTH-016 covers web fetches for this item)</t>
        </is>
      </c>
      <c r="AI70" s="6" t="inlineStr"/>
      <c r="AJ70" s="6" t="inlineStr">
        <is>
          <t>SRC-11 section D1</t>
        </is>
      </c>
      <c r="AK70" s="6" t="inlineStr">
        <is>
          <t>SRC-06 E08</t>
        </is>
      </c>
      <c r="AL70" s="6" t="inlineStr">
        <is>
          <t>S11</t>
        </is>
      </c>
    </row>
    <row r="71" ht="53" customHeight="1">
      <c r="A71" s="5" t="inlineStr">
        <is>
          <t>C-E01/E09</t>
        </is>
      </c>
      <c r="B71" s="6" t="inlineStr">
        <is>
          <t>Frozen Copilot cache-hit row mixes serving and client telemetry</t>
        </is>
      </c>
      <c r="C71" s="6" t="inlineStr">
        <is>
          <t>OPEN</t>
        </is>
      </c>
      <c r="D71" s="6">
        <f>IFERROR(INDEX(Lists!$B$2:$B$14,MATCH(C71,Lists!$A$2:$A$14,0)),"?")</f>
        <v/>
      </c>
      <c r="E71" s="6">
        <f>IF(COUNTIFS(Links!$B$2:$B$600,A71,Links!$E$2:$E$600,"Yes")&gt;0,"REVISE","")</f>
        <v/>
      </c>
      <c r="F71" s="6">
        <f>COUNTIFS(Links!$B$2:$B$600,A71,Links!$D$2:$D$600,"No",Links!$C$2:$C$600,"&lt;&gt;INFORMS")</f>
        <v/>
      </c>
      <c r="G71" s="8" t="inlineStr">
        <is>
          <t>RECORDS-AT-HAND</t>
        </is>
      </c>
      <c r="H71" s="6" t="inlineStr">
        <is>
          <t>K14 Source &amp; vendor verification</t>
        </is>
      </c>
      <c r="I71" s="6" t="inlineStr">
        <is>
          <t>G4 Before claims</t>
        </is>
      </c>
      <c r="J71" s="6" t="inlineStr">
        <is>
          <t>Normal</t>
        </is>
      </c>
      <c r="K71" s="6" t="n">
        <v>87</v>
      </c>
      <c r="L71" s="6" t="inlineStr">
        <is>
          <t>W2 Desk work (no model runs)</t>
        </is>
      </c>
      <c r="M71" s="6" t="inlineStr">
        <is>
          <t>S11</t>
        </is>
      </c>
      <c r="N71" s="6" t="inlineStr">
        <is>
          <t>You</t>
        </is>
      </c>
      <c r="O71" s="6" t="inlineStr">
        <is>
          <t>Lead drafts the fix; you approve</t>
        </is>
      </c>
      <c r="P71" s="6" t="inlineStr">
        <is>
          <t>No</t>
        </is>
      </c>
      <c r="Q71" s="6" t="inlineStr">
        <is>
          <t>Source check</t>
        </is>
      </c>
      <c r="R71" s="6" t="inlineStr">
        <is>
          <t>Sub-item</t>
        </is>
      </c>
      <c r="S71" s="6" t="inlineStr">
        <is>
          <t>C-E01</t>
        </is>
      </c>
      <c r="T71" s="6" t="inlineStr">
        <is>
          <t>SRC-06 E09: the frozen dossier's Copilot cache-hit row mixes serving and client telemetry; a correction exists elsewhere, not in the frozen record.</t>
        </is>
      </c>
      <c r="U71" s="6" t="inlineStr">
        <is>
          <t>Outside the repo.</t>
        </is>
      </c>
      <c r="V71" s="6" t="inlineStr">
        <is>
          <t>Dated correction issued alongside the frozen artefact.</t>
        </is>
      </c>
      <c r="W71" s="6" t="inlineStr"/>
      <c r="X71" s="6" t="inlineStr"/>
      <c r="Y71" s="6" t="inlineStr"/>
      <c r="Z71" s="6" t="inlineStr"/>
      <c r="AA71" s="6" t="inlineStr"/>
      <c r="AB71" s="6" t="inlineStr">
        <is>
          <t>RECORD+SOURCE</t>
        </is>
      </c>
      <c r="AC71" s="6" t="inlineStr">
        <is>
          <t>n/a (sub-item)</t>
        </is>
      </c>
      <c r="AD71" s="6" t="inlineStr">
        <is>
          <t>NEW (SRC-11 sub-row)</t>
        </is>
      </c>
      <c r="AE71" s="6" t="inlineStr">
        <is>
          <t>2026-10-19</t>
        </is>
      </c>
      <c r="AF71" s="6" t="inlineStr">
        <is>
          <t>Phase 1 dossier outside repo; stored s4-copilottraces-2608-00101 and r4-github-copilot-fewer-tools</t>
        </is>
      </c>
      <c r="AG71" s="6" t="inlineStr"/>
      <c r="AH71" s="6" t="inlineStr">
        <is>
          <t>No (AUTH-016 covers web fetches for this item)</t>
        </is>
      </c>
      <c r="AI71" s="6" t="inlineStr"/>
      <c r="AJ71" s="6" t="inlineStr">
        <is>
          <t>SRC-11 section D1</t>
        </is>
      </c>
      <c r="AK71" s="6" t="inlineStr">
        <is>
          <t>SRC-06 E09</t>
        </is>
      </c>
      <c r="AL71" s="6" t="inlineStr">
        <is>
          <t>S11</t>
        </is>
      </c>
    </row>
    <row r="72" ht="53" customHeight="1">
      <c r="A72" s="5" t="inlineStr">
        <is>
          <t>C-E01/E10</t>
        </is>
      </c>
      <c r="B72" s="6" t="inlineStr">
        <is>
          <t>Phase 1 frozen dossier retains later-contradicted claims</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G4 Before claims</t>
        </is>
      </c>
      <c r="J72" s="6" t="inlineStr">
        <is>
          <t>Normal</t>
        </is>
      </c>
      <c r="K72" s="6" t="n">
        <v>88</v>
      </c>
      <c r="L72" s="6" t="inlineStr">
        <is>
          <t>W2 Desk work (no model runs)</t>
        </is>
      </c>
      <c r="M72" s="6" t="inlineStr">
        <is>
          <t>S11</t>
        </is>
      </c>
      <c r="N72" s="6" t="inlineStr">
        <is>
          <t>You</t>
        </is>
      </c>
      <c r="O72" s="6" t="inlineStr">
        <is>
          <t>Lead drafts the fix; you approve</t>
        </is>
      </c>
      <c r="P72" s="6" t="inlineStr">
        <is>
          <t>No</t>
        </is>
      </c>
      <c r="Q72" s="6" t="inlineStr">
        <is>
          <t>Source check</t>
        </is>
      </c>
      <c r="R72" s="6" t="inlineStr">
        <is>
          <t>Sub-item</t>
        </is>
      </c>
      <c r="S72" s="6" t="inlineStr">
        <is>
          <t>C-E01</t>
        </is>
      </c>
      <c r="T72" s="6" t="inlineStr">
        <is>
          <t>SRC-06 E10: the frozen Phase 1 dossier retains claims later contradicted or unsupported (trajectory-only, caching, 56.7%, 85%, paraphrased 'verbatim' quotes, MCPVerse wording, version drift).</t>
        </is>
      </c>
      <c r="U72" s="6" t="inlineStr">
        <is>
          <t>Outside the repo.</t>
        </is>
      </c>
      <c r="V72" s="6" t="inlineStr">
        <is>
          <t>Explicit errata linked to each statement; frozen original preserved.</t>
        </is>
      </c>
      <c r="W72" s="6" t="inlineStr"/>
      <c r="X72" s="6" t="inlineStr"/>
      <c r="Y72" s="6" t="inlineStr"/>
      <c r="Z72" s="6" t="inlineStr"/>
      <c r="AA72" s="6" t="inlineStr"/>
      <c r="AB72" s="6" t="inlineStr">
        <is>
          <t>RECORD+SOURCE</t>
        </is>
      </c>
      <c r="AC72" s="6" t="inlineStr">
        <is>
          <t>n/a (sub-item)</t>
        </is>
      </c>
      <c r="AD72" s="6" t="inlineStr">
        <is>
          <t>NEW (SRC-11 sub-row)</t>
        </is>
      </c>
      <c r="AE72" s="6" t="inlineStr">
        <is>
          <t>2026-10-19</t>
        </is>
      </c>
      <c r="AF72" s="6" t="inlineStr">
        <is>
          <t>Outside repo</t>
        </is>
      </c>
      <c r="AG72" s="6" t="inlineStr"/>
      <c r="AH72" s="6" t="inlineStr">
        <is>
          <t>No (AUTH-016 covers web fetches for this item)</t>
        </is>
      </c>
      <c r="AI72" s="6" t="inlineStr"/>
      <c r="AJ72" s="6" t="inlineStr">
        <is>
          <t>SRC-11 section D1</t>
        </is>
      </c>
      <c r="AK72" s="6" t="inlineStr">
        <is>
          <t>SRC-06 E10</t>
        </is>
      </c>
      <c r="AL72" s="6" t="inlineStr">
        <is>
          <t>S11</t>
        </is>
      </c>
    </row>
    <row r="73" ht="240.5" customHeight="1">
      <c r="A73" s="5" t="inlineStr">
        <is>
          <t>C-E02</t>
        </is>
      </c>
      <c r="B73" s="6" t="inlineStr">
        <is>
          <t>Fifteen groups of unread, partial, snippet-only or unreadable sources; historical 'not found' searches were...</t>
        </is>
      </c>
      <c r="C73" s="6" t="inlineStr">
        <is>
          <t>PARTLY ANSWERED</t>
        </is>
      </c>
      <c r="D73" s="6">
        <f>IFERROR(INDEX(Lists!$B$2:$B$14,MATCH(C73,Lists!$A$2:$A$14,0)),"?")</f>
        <v/>
      </c>
      <c r="E73" s="6">
        <f>IF(COUNTIFS(Links!$B$2:$B$600,A73,Links!$E$2:$E$600,"Yes")&gt;0,"REVISE","")</f>
        <v/>
      </c>
      <c r="F73" s="6">
        <f>COUNTIFS(Links!$B$2:$B$600,A73,Links!$D$2:$D$600,"No",Links!$C$2:$C$600,"&lt;&gt;INFORMS")</f>
        <v/>
      </c>
      <c r="G73" s="14" t="inlineStr">
        <is>
          <t>SOURCE-REREAD</t>
        </is>
      </c>
      <c r="H73" s="6" t="inlineStr">
        <is>
          <t>K14 Source &amp; vendor verification</t>
        </is>
      </c>
      <c r="I73" s="6" t="inlineStr">
        <is>
          <t>G4 Before claims</t>
        </is>
      </c>
      <c r="J73" s="6" t="inlineStr">
        <is>
          <t>Normal</t>
        </is>
      </c>
      <c r="K73" s="6" t="n">
        <v>89</v>
      </c>
      <c r="L73" s="6" t="inlineStr">
        <is>
          <t>W2 Desk work (no model runs)</t>
        </is>
      </c>
      <c r="M73" s="6" t="inlineStr">
        <is>
          <t>S11</t>
        </is>
      </c>
      <c r="N73" s="6" t="inlineStr">
        <is>
          <t>Lead + steward</t>
        </is>
      </c>
      <c r="O73" s="6" t="inlineStr">
        <is>
          <t>E30 needs your list (Q-U23); UNREADLEADS in progress (memory survey read in batch 13); then close this item</t>
        </is>
      </c>
      <c r="P73" s="6" t="inlineStr">
        <is>
          <t>Yes - stored text, unread</t>
        </is>
      </c>
      <c r="Q73" s="6" t="inlineStr">
        <is>
          <t>Source check</t>
        </is>
      </c>
      <c r="R73" s="6" t="inlineStr">
        <is>
          <t>Item</t>
        </is>
      </c>
      <c r="S73" s="6" t="inlineStr"/>
      <c r="T73" s="6" t="inlineStr">
        <is>
          <t>Fifteen groups of unread, partial, snippet-only or unreadable sources; historical 'not found' searches were bounded.</t>
        </is>
      </c>
      <c r="U73"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73" s="6" t="inlineStr">
        <is>
          <t>Pivotal originals read; non-pivotal ones deferred with a reason and trigger.</t>
        </is>
      </c>
      <c r="W73" s="6" t="inlineStr"/>
      <c r="X73" s="6" t="inlineStr">
        <is>
          <t>C-D01, C-D08</t>
        </is>
      </c>
      <c r="Y73" s="6" t="inlineStr"/>
      <c r="Z73" s="6" t="inlineStr">
        <is>
          <t>LITERATURE-DIRECTED, ACCEPT-LIMITATION</t>
        </is>
      </c>
      <c r="AA73" s="6" t="inlineStr"/>
      <c r="AB73" s="6" t="inlineStr">
        <is>
          <t>SOURCE+ACCESS+RECORD</t>
        </is>
      </c>
      <c r="AC73" s="6" t="inlineStr">
        <is>
          <t>OPEN</t>
        </is>
      </c>
      <c r="AD73" s="6" t="inlineStr">
        <is>
          <t>NARROWED</t>
        </is>
      </c>
      <c r="AE73" s="6" t="inlineStr">
        <is>
          <t>2026-10-20</t>
        </is>
      </c>
      <c r="AF73" s="6" t="inlineStr">
        <is>
          <t>see the child rows</t>
        </is>
      </c>
      <c r="AG73" s="6" t="inlineStr">
        <is>
          <t>When a skipped source becomes pivotal or a paper version changes</t>
        </is>
      </c>
      <c r="AH73" s="6" t="inlineStr">
        <is>
          <t>No (AUTH-016 covers web fetches for this item)</t>
        </is>
      </c>
      <c r="AI73" s="6" t="inlineStr"/>
      <c r="AJ73" s="6" t="inlineStr">
        <is>
          <t>SRC-11 canonical</t>
        </is>
      </c>
      <c r="AK73" s="6" t="inlineStr">
        <is>
          <t>SRC-06 E20-E34, SRC-07 28</t>
        </is>
      </c>
      <c r="AL73" s="6" t="inlineStr">
        <is>
          <t>S11</t>
        </is>
      </c>
    </row>
    <row r="74" ht="300" customHeight="1">
      <c r="A74" s="5" t="inlineStr">
        <is>
          <t>C-E02/E21</t>
        </is>
      </c>
      <c r="B74" s="6" t="inlineStr">
        <is>
          <t>Hajdas post, Cursor cap docs, Claude Code changelog not opened; 55K attribution</t>
        </is>
      </c>
      <c r="C74" s="6" t="inlineStr">
        <is>
          <t>DEFERRED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92</v>
      </c>
      <c r="L74" s="6" t="inlineStr">
        <is>
          <t>W2 Desk work (no model runs)</t>
        </is>
      </c>
      <c r="M74" s="6" t="inlineStr">
        <is>
          <t>S11</t>
        </is>
      </c>
      <c r="N74" s="6" t="inlineStr">
        <is>
          <t>Lead + steward</t>
        </is>
      </c>
      <c r="O74" s="6" t="inlineStr">
        <is>
          <t>none until the trigger fires</t>
        </is>
      </c>
      <c r="P74" s="6" t="inlineStr">
        <is>
          <t>Partly</t>
        </is>
      </c>
      <c r="Q74" s="6" t="inlineStr">
        <is>
          <t>Source check</t>
        </is>
      </c>
      <c r="R74" s="6" t="inlineStr">
        <is>
          <t>Sub-item</t>
        </is>
      </c>
      <c r="S74" s="6" t="inlineStr">
        <is>
          <t>C-E02</t>
        </is>
      </c>
      <c r="T74" s="6" t="inlineStr">
        <is>
          <t>SRC-06 E21: the Hajdas post, Cursor cap docs and Claude Code changelog were not opened; the 55K attribution is uncertain.</t>
        </is>
      </c>
      <c r="U74"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74" s="6" t="inlineStr">
        <is>
          <t>Original read; claims it affects revised or marked unverified.</t>
        </is>
      </c>
      <c r="W74" s="6" t="inlineStr"/>
      <c r="X74" s="6" t="inlineStr"/>
      <c r="Y74" s="6" t="inlineStr"/>
      <c r="Z74" s="6" t="inlineStr"/>
      <c r="AA74" s="6" t="inlineStr"/>
      <c r="AB74" s="6" t="inlineStr">
        <is>
          <t>SOURCE+ACCESS</t>
        </is>
      </c>
      <c r="AC74" s="6" t="inlineStr">
        <is>
          <t>n/a (sub-item)</t>
        </is>
      </c>
      <c r="AD74" s="6" t="inlineStr">
        <is>
          <t>NEW (SRC-11 sub-row)</t>
        </is>
      </c>
      <c r="AE74" s="6" t="inlineStr">
        <is>
          <t>2026-10-20</t>
        </is>
      </c>
      <c r="AF74" s="6" t="inlineStr">
        <is>
          <t>grep of design/package-v3 and design/package-v4 01-05 (lead, 2026-10-20); see also this row's earlier basis</t>
        </is>
      </c>
      <c r="AG74" s="6" t="inlineStr">
        <is>
          <t>A document quotes the Cursor tool cap, the 55K attribution or the Hajdas post</t>
        </is>
      </c>
      <c r="AH74" s="6" t="inlineStr">
        <is>
          <t>No (AUTH-016 covers web fetches for this item)</t>
        </is>
      </c>
      <c r="AI74" s="6" t="inlineStr"/>
      <c r="AJ74" s="6" t="inlineStr">
        <is>
          <t>SRC-11 section D2</t>
        </is>
      </c>
      <c r="AK74" s="6" t="inlineStr">
        <is>
          <t>SRC-06 E21</t>
        </is>
      </c>
      <c r="AL74" s="6" t="inlineStr">
        <is>
          <t>S11</t>
        </is>
      </c>
    </row>
    <row r="75" ht="300" customHeight="1">
      <c r="A75" s="5" t="inlineStr">
        <is>
          <t>C-E02/E22</t>
        </is>
      </c>
      <c r="B75" s="6" t="inlineStr">
        <is>
          <t>Anthropic programmatic-tool docs partial; prompt-cache tail, pricing, MCP pages not read in full</t>
        </is>
      </c>
      <c r="C75" s="6" t="inlineStr">
        <is>
          <t>DEFERRED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93</v>
      </c>
      <c r="L75" s="6" t="inlineStr">
        <is>
          <t>W2 Desk work (no model runs)</t>
        </is>
      </c>
      <c r="M75" s="6" t="inlineStr">
        <is>
          <t>S11</t>
        </is>
      </c>
      <c r="N75" s="6" t="inlineStr">
        <is>
          <t>Lead + steward</t>
        </is>
      </c>
      <c r="O75" s="6" t="inlineStr">
        <is>
          <t>none until the trigger fires</t>
        </is>
      </c>
      <c r="P75" s="6" t="inlineStr">
        <is>
          <t>Yes - stored text, unread</t>
        </is>
      </c>
      <c r="Q75" s="6" t="inlineStr">
        <is>
          <t>Source check</t>
        </is>
      </c>
      <c r="R75" s="6" t="inlineStr">
        <is>
          <t>Sub-item</t>
        </is>
      </c>
      <c r="S75" s="6" t="inlineStr">
        <is>
          <t>C-E02</t>
        </is>
      </c>
      <c r="T75" s="6" t="inlineStr">
        <is>
          <t>SRC-06 E22: Anthropic programmatic docs partial; prompt-cache tail, pricing and MCP pages not read in full.</t>
        </is>
      </c>
      <c r="U75"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75" s="6" t="inlineStr">
        <is>
          <t>Original read; claims it affects revised or marked unverified.</t>
        </is>
      </c>
      <c r="W75" s="6" t="inlineStr"/>
      <c r="X75" s="6" t="inlineStr"/>
      <c r="Y75" s="6" t="inlineStr"/>
      <c r="Z75" s="6" t="inlineStr"/>
      <c r="AA75" s="6" t="inlineStr"/>
      <c r="AB75" s="6" t="inlineStr">
        <is>
          <t>SOURCE+ACCESS</t>
        </is>
      </c>
      <c r="AC75" s="6" t="inlineStr">
        <is>
          <t>n/a (sub-item)</t>
        </is>
      </c>
      <c r="AD75" s="6" t="inlineStr">
        <is>
          <t>NEW (SRC-11 sub-row)</t>
        </is>
      </c>
      <c r="AE75" s="6" t="inlineStr">
        <is>
          <t>2026-10-20</t>
        </is>
      </c>
      <c r="AF75" s="6" t="inlineStr">
        <is>
          <t>grep of design/package-v3 and design/package-v4 01-05 (lead, 2026-10-20); see also this row's earlier basis</t>
        </is>
      </c>
      <c r="AG75" s="6" t="inlineStr">
        <is>
          <t>A claim depends on the unread body of the programmatic page or the tail of the prompt-caching page</t>
        </is>
      </c>
      <c r="AH75" s="6" t="inlineStr">
        <is>
          <t>No (AUTH-016 covers web fetches for this item)</t>
        </is>
      </c>
      <c r="AI75" s="6" t="inlineStr"/>
      <c r="AJ75" s="6" t="inlineStr">
        <is>
          <t>SRC-11 section D2</t>
        </is>
      </c>
      <c r="AK75" s="6" t="inlineStr">
        <is>
          <t>SRC-06 E22</t>
        </is>
      </c>
      <c r="AL75" s="6" t="inlineStr">
        <is>
          <t>S11</t>
        </is>
      </c>
    </row>
    <row r="76" ht="300" customHeight="1">
      <c r="A76" s="5" t="inlineStr">
        <is>
          <t>C-E02/E23</t>
        </is>
      </c>
      <c r="B76" s="6" t="inlineStr">
        <is>
          <t>CE-MCP figures, ToolRet Figure 6, ToolShed trade-off not rendered</t>
        </is>
      </c>
      <c r="C76" s="6" t="inlineStr">
        <is>
          <t>DEFERRED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94</v>
      </c>
      <c r="L76" s="6" t="inlineStr">
        <is>
          <t>W2 Desk work (no model runs)</t>
        </is>
      </c>
      <c r="M76" s="6" t="inlineStr">
        <is>
          <t>S11</t>
        </is>
      </c>
      <c r="N76" s="6" t="inlineStr">
        <is>
          <t>Lead + steward</t>
        </is>
      </c>
      <c r="O76" s="6" t="inlineStr">
        <is>
          <t>none until the trigger fires</t>
        </is>
      </c>
      <c r="P76" s="6" t="inlineStr">
        <is>
          <t>Partly</t>
        </is>
      </c>
      <c r="Q76" s="6" t="inlineStr">
        <is>
          <t>Source check</t>
        </is>
      </c>
      <c r="R76" s="6" t="inlineStr">
        <is>
          <t>Sub-item</t>
        </is>
      </c>
      <c r="S76" s="6" t="inlineStr">
        <is>
          <t>C-E02</t>
        </is>
      </c>
      <c r="T76" s="6" t="inlineStr">
        <is>
          <t>SRC-06 E23: CE-MCP figures, ToolRet Figure 6 and the ToolShed trade-off were not rendered.</t>
        </is>
      </c>
      <c r="U76"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76" s="6" t="inlineStr">
        <is>
          <t>Original read; claims it affects revised or marked unverified.</t>
        </is>
      </c>
      <c r="W76" s="6" t="inlineStr"/>
      <c r="X76" s="6" t="inlineStr"/>
      <c r="Y76" s="6" t="inlineStr">
        <is>
          <t>Q-U22</t>
        </is>
      </c>
      <c r="Z76" s="6" t="inlineStr"/>
      <c r="AA76" s="6" t="inlineStr"/>
      <c r="AB76" s="6" t="inlineStr">
        <is>
          <t>SOURCE+ACCESS</t>
        </is>
      </c>
      <c r="AC76" s="6" t="inlineStr">
        <is>
          <t>n/a (sub-item)</t>
        </is>
      </c>
      <c r="AD76" s="6" t="inlineStr">
        <is>
          <t>NEW (SRC-11 sub-row)</t>
        </is>
      </c>
      <c r="AE76" s="6" t="inlineStr">
        <is>
          <t>2026-10-20</t>
        </is>
      </c>
      <c r="AF76" s="6" t="inlineStr">
        <is>
          <t>grep of design/package-v3 and design/package-v4 01-05 (lead, 2026-10-20); see also this row's earlier basis</t>
        </is>
      </c>
      <c r="AG76" s="6" t="inlineStr">
        <is>
          <t>A document quotes a G2 or G3 oracle value, or Figure 6</t>
        </is>
      </c>
      <c r="AH76" s="6" t="inlineStr">
        <is>
          <t>No (AUTH-016 covers web fetches for this item)</t>
        </is>
      </c>
      <c r="AI76" s="6" t="inlineStr"/>
      <c r="AJ76" s="6" t="inlineStr">
        <is>
          <t>SRC-11 section D2</t>
        </is>
      </c>
      <c r="AK76" s="6" t="inlineStr">
        <is>
          <t>SRC-06 E23</t>
        </is>
      </c>
      <c r="AL76" s="6" t="inlineStr">
        <is>
          <t>S11</t>
        </is>
      </c>
    </row>
    <row r="77" ht="115.5" customHeight="1">
      <c r="A77" s="5" t="inlineStr">
        <is>
          <t>C-E02/E24</t>
        </is>
      </c>
      <c r="B77" s="6" t="inlineStr">
        <is>
          <t>Speakeasy tables and Composio/Zapier/Pipedream/Smithery measurements missing</t>
        </is>
      </c>
      <c r="C77" s="6" t="inlineStr">
        <is>
          <t>DEFERRED</t>
        </is>
      </c>
      <c r="D77" s="6">
        <f>IFERROR(INDEX(Lists!$B$2:$B$14,MATCH(C77,Lists!$A$2:$A$14,0)),"?")</f>
        <v/>
      </c>
      <c r="E77" s="6">
        <f>IF(COUNTIFS(Links!$B$2:$B$600,A77,Links!$E$2:$E$600,"Yes")&gt;0,"REVISE","")</f>
        <v/>
      </c>
      <c r="F77" s="6">
        <f>COUNTIFS(Links!$B$2:$B$600,A77,Links!$D$2:$D$600,"No",Links!$C$2:$C$600,"&lt;&gt;INFORMS")</f>
        <v/>
      </c>
      <c r="G77" s="16" t="inlineStr">
        <is>
          <t>AUTHOR-OR-VENDOR</t>
        </is>
      </c>
      <c r="H77" s="6" t="inlineStr">
        <is>
          <t>K14 Source &amp; vendor verification</t>
        </is>
      </c>
      <c r="I77" s="6" t="inlineStr">
        <is>
          <t>G4 Before claims</t>
        </is>
      </c>
      <c r="J77" s="6" t="inlineStr">
        <is>
          <t>Normal</t>
        </is>
      </c>
      <c r="K77" s="6" t="n">
        <v>95</v>
      </c>
      <c r="L77" s="6" t="inlineStr">
        <is>
          <t>W2 Desk work (no model runs)</t>
        </is>
      </c>
      <c r="M77" s="6" t="inlineStr">
        <is>
          <t>S11</t>
        </is>
      </c>
      <c r="N77" s="6" t="inlineStr">
        <is>
          <t>Lead + steward</t>
        </is>
      </c>
      <c r="O77" s="6" t="inlineStr">
        <is>
          <t>none until the trigger fires</t>
        </is>
      </c>
      <c r="P77" s="6" t="inlineStr">
        <is>
          <t>Partly</t>
        </is>
      </c>
      <c r="Q77" s="6" t="inlineStr">
        <is>
          <t>Source check</t>
        </is>
      </c>
      <c r="R77" s="6" t="inlineStr">
        <is>
          <t>Sub-item</t>
        </is>
      </c>
      <c r="S77" s="6" t="inlineStr">
        <is>
          <t>C-E02</t>
        </is>
      </c>
      <c r="T77" s="6" t="inlineStr">
        <is>
          <t>SRC-06 E24: Speakeasy tables and Composio/Zapier/Pipedream/Smithery measurements were missing from fetched pages.</t>
        </is>
      </c>
      <c r="U77"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77" s="6" t="inlineStr">
        <is>
          <t>Original read; claims it affects revised or marked unverified.</t>
        </is>
      </c>
      <c r="W77" s="6" t="inlineStr"/>
      <c r="X77" s="6" t="inlineStr"/>
      <c r="Y77" s="6" t="inlineStr"/>
      <c r="Z77" s="6" t="inlineStr"/>
      <c r="AA77" s="6" t="inlineStr"/>
      <c r="AB77" s="6" t="inlineStr">
        <is>
          <t>SOURCE+ACCESS</t>
        </is>
      </c>
      <c r="AC77" s="6" t="inlineStr">
        <is>
          <t>n/a (sub-item)</t>
        </is>
      </c>
      <c r="AD77" s="6" t="inlineStr">
        <is>
          <t>NEW (SRC-11 sub-row)</t>
        </is>
      </c>
      <c r="AE77" s="6" t="inlineStr">
        <is>
          <t>2026-10-20</t>
        </is>
      </c>
      <c r="AF77" s="6" t="inlineStr">
        <is>
          <t>grep of design/package-v3 and design/package-v4 01-05 (lead, 2026-10-20); see also this row's earlier basis</t>
        </is>
      </c>
      <c r="AG77" s="6" t="inlineStr">
        <is>
          <t>A document quotes a measurement from Composio, Zapier, Pipedream or Smithery</t>
        </is>
      </c>
      <c r="AH77" s="6" t="inlineStr">
        <is>
          <t>No (AUTH-016 covers web fetches for this item)</t>
        </is>
      </c>
      <c r="AI77" s="6" t="inlineStr"/>
      <c r="AJ77" s="6" t="inlineStr">
        <is>
          <t>SRC-11 section D2</t>
        </is>
      </c>
      <c r="AK77" s="6" t="inlineStr">
        <is>
          <t>SRC-06 E24</t>
        </is>
      </c>
      <c r="AL77" s="6" t="inlineStr">
        <is>
          <t>S11</t>
        </is>
      </c>
    </row>
    <row r="78" ht="190.5" customHeight="1">
      <c r="A78" s="5" t="inlineStr">
        <is>
          <t>C-E02/E25</t>
        </is>
      </c>
      <c r="B78" s="6" t="inlineStr">
        <is>
          <t>Claude Code deferral bug reports known by title only</t>
        </is>
      </c>
      <c r="C78" s="6" t="inlineStr">
        <is>
          <t>PARTLY ANSWERED</t>
        </is>
      </c>
      <c r="D78" s="6">
        <f>IFERROR(INDEX(Lists!$B$2:$B$14,MATCH(C78,Lists!$A$2:$A$14,0)),"?")</f>
        <v/>
      </c>
      <c r="E78" s="6">
        <f>IF(COUNTIFS(Links!$B$2:$B$600,A78,Links!$E$2:$E$600,"Yes")&gt;0,"REVISE","")</f>
        <v/>
      </c>
      <c r="F78" s="6">
        <f>COUNTIFS(Links!$B$2:$B$600,A78,Links!$D$2:$D$600,"No",Links!$C$2:$C$600,"&lt;&gt;INFORMS")</f>
        <v/>
      </c>
      <c r="G78" s="16" t="inlineStr">
        <is>
          <t>AUTHOR-OR-VENDOR</t>
        </is>
      </c>
      <c r="H78" s="6" t="inlineStr">
        <is>
          <t>K14 Source &amp; vendor verification</t>
        </is>
      </c>
      <c r="I78" s="6" t="inlineStr">
        <is>
          <t>G4 Before claims</t>
        </is>
      </c>
      <c r="J78" s="6" t="inlineStr">
        <is>
          <t>Normal</t>
        </is>
      </c>
      <c r="K78" s="6" t="n">
        <v>96</v>
      </c>
      <c r="L78" s="6" t="inlineStr">
        <is>
          <t>W2 Desk work (no model runs)</t>
        </is>
      </c>
      <c r="M78" s="6" t="inlineStr">
        <is>
          <t>S11</t>
        </is>
      </c>
      <c r="N78" s="6" t="inlineStr">
        <is>
          <t>Reporters / lead</t>
        </is>
      </c>
      <c r="O78" s="6" t="inlineStr">
        <is>
          <t>Treat as a user report; verify only if the anecdote is used</t>
        </is>
      </c>
      <c r="P78" s="6" t="inlineStr">
        <is>
          <t>No</t>
        </is>
      </c>
      <c r="Q78" s="6" t="inlineStr">
        <is>
          <t>Source check</t>
        </is>
      </c>
      <c r="R78" s="6" t="inlineStr">
        <is>
          <t>Sub-item</t>
        </is>
      </c>
      <c r="S78" s="6" t="inlineStr">
        <is>
          <t>C-E02</t>
        </is>
      </c>
      <c r="T78" s="6" t="inlineStr">
        <is>
          <t>SRC-06 E25: Claude Code deferral bug reports known by titles only; the cache-read inflation anecdote is unverified.</t>
        </is>
      </c>
      <c r="U78"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78" s="6" t="inlineStr">
        <is>
          <t>Original read; claims it affects revised or marked unverified.</t>
        </is>
      </c>
      <c r="W78" s="6" t="inlineStr"/>
      <c r="X78" s="6" t="inlineStr"/>
      <c r="Y78" s="6" t="inlineStr"/>
      <c r="Z78" s="6" t="inlineStr"/>
      <c r="AA78" s="6" t="inlineStr"/>
      <c r="AB78" s="6" t="inlineStr">
        <is>
          <t>SOURCE+ACCESS</t>
        </is>
      </c>
      <c r="AC78" s="6" t="inlineStr">
        <is>
          <t>n/a (sub-item)</t>
        </is>
      </c>
      <c r="AD78" s="6" t="inlineStr">
        <is>
          <t>NEW (SRC-11 sub-row)</t>
        </is>
      </c>
      <c r="AE78" s="6" t="inlineStr">
        <is>
          <t>2026-10-19</t>
        </is>
      </c>
      <c r="AF78" s="6" t="inlineStr">
        <is>
          <t>FND-0019 (findings/SUM-0021); stored texts evidence/literature-20261019/lit-cursor-forum-*.txt (3), lit-ccissue-59650-deferred-cache-reads.txt, lit-ccissue-30920-defer-cachecontrol.txt, lit-toolhop-2501.02506v4.txt</t>
        </is>
      </c>
      <c r="AG78" s="6" t="inlineStr"/>
      <c r="AH78" s="6" t="inlineStr">
        <is>
          <t>No (AUTH-016 covers web fetches for this item)</t>
        </is>
      </c>
      <c r="AI78" s="6" t="inlineStr"/>
      <c r="AJ78" s="6" t="inlineStr">
        <is>
          <t>SRC-11 section D2</t>
        </is>
      </c>
      <c r="AK78" s="6" t="inlineStr">
        <is>
          <t>SRC-06 E25</t>
        </is>
      </c>
      <c r="AL78" s="6" t="inlineStr">
        <is>
          <t>S11</t>
        </is>
      </c>
    </row>
    <row r="79" ht="203" customHeight="1">
      <c r="A79" s="5" t="inlineStr">
        <is>
          <t>C-E02/E26</t>
        </is>
      </c>
      <c r="B79" s="6" t="inlineStr">
        <is>
          <t>ToolHop repo 404, Schlapbach PDF unreadable, other agent docs not fetched</t>
        </is>
      </c>
      <c r="C79" s="6" t="inlineStr">
        <is>
          <t>DEFERRED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97</v>
      </c>
      <c r="L79" s="6" t="inlineStr">
        <is>
          <t>W2 Desk work (no model runs)</t>
        </is>
      </c>
      <c r="M79" s="6" t="inlineStr">
        <is>
          <t>S11</t>
        </is>
      </c>
      <c r="N79" s="6" t="inlineStr">
        <is>
          <t>Lead + steward</t>
        </is>
      </c>
      <c r="O79" s="6" t="inlineStr">
        <is>
          <t>none until the trigger fires</t>
        </is>
      </c>
      <c r="P79" s="6" t="inlineStr">
        <is>
          <t>Partly</t>
        </is>
      </c>
      <c r="Q79" s="6" t="inlineStr">
        <is>
          <t>Source check</t>
        </is>
      </c>
      <c r="R79" s="6" t="inlineStr">
        <is>
          <t>Sub-item</t>
        </is>
      </c>
      <c r="S79" s="6" t="inlineStr">
        <is>
          <t>C-E02</t>
        </is>
      </c>
      <c r="T79" s="6" t="inlineStr">
        <is>
          <t>SRC-06 E26: ToolHop repo 404, Schlapbach PDF unreadable, other agent docs not fetched.</t>
        </is>
      </c>
      <c r="U79"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79" s="6" t="inlineStr">
        <is>
          <t>Original read; claims it affects revised or marked unverified.</t>
        </is>
      </c>
      <c r="W79" s="6" t="inlineStr"/>
      <c r="X79" s="6" t="inlineStr"/>
      <c r="Y79" s="6" t="inlineStr"/>
      <c r="Z79" s="6" t="inlineStr"/>
      <c r="AA79" s="6" t="inlineStr"/>
      <c r="AB79" s="6" t="inlineStr">
        <is>
          <t>SOURCE+ACCESS</t>
        </is>
      </c>
      <c r="AC79" s="6" t="inlineStr">
        <is>
          <t>n/a (sub-item)</t>
        </is>
      </c>
      <c r="AD79" s="6" t="inlineStr">
        <is>
          <t>NEW (SRC-11 sub-row)</t>
        </is>
      </c>
      <c r="AE79" s="6" t="inlineStr">
        <is>
          <t>2026-10-20</t>
        </is>
      </c>
      <c r="AF79" s="6" t="inlineStr">
        <is>
          <t>grep of design/package-v3 and design/package-v4 01-05 (lead, 2026-10-20); see also this row's earlier basis</t>
        </is>
      </c>
      <c r="AG79" s="6" t="inlineStr">
        <is>
          <t>A document quotes the Schlapbach PDF or an agent-framework doc that is not stored</t>
        </is>
      </c>
      <c r="AH79" s="6" t="inlineStr">
        <is>
          <t>No (AUTH-016 covers web fetches for this item)</t>
        </is>
      </c>
      <c r="AI79" s="6" t="inlineStr"/>
      <c r="AJ79" s="6" t="inlineStr">
        <is>
          <t>SRC-11 section D2</t>
        </is>
      </c>
      <c r="AK79" s="6" t="inlineStr">
        <is>
          <t>SRC-06 E26</t>
        </is>
      </c>
      <c r="AL79" s="6" t="inlineStr">
        <is>
          <t>S11</t>
        </is>
      </c>
    </row>
    <row r="80" ht="128" customHeight="1">
      <c r="A80" s="5" t="inlineStr">
        <is>
          <t>C-E02/E29-OTHERS</t>
        </is>
      </c>
      <c r="B80" s="6" t="inlineStr">
        <is>
          <t>Papers in the garbled-table group that no live document quotes: Re-Invoke, Shi, ToolTweak, MCP-SafetyBench, CE-MCP, ToolShed trade-off</t>
        </is>
      </c>
      <c r="C80" s="6" t="inlineStr">
        <is>
          <t>DEFERRED</t>
        </is>
      </c>
      <c r="D80" s="6">
        <f>IFERROR(INDEX(Lists!$B$2:$B$14,MATCH(C80,Lists!$A$2:$A$14,0)),"?")</f>
        <v/>
      </c>
      <c r="E80" s="6">
        <f>IF(COUNTIFS(Links!$B$2:$B$600,A80,Links!$E$2:$E$600,"Yes")&gt;0,"REVISE","")</f>
        <v/>
      </c>
      <c r="F80" s="6">
        <f>COUNTIFS(Links!$B$2:$B$600,A80,Links!$D$2:$D$600,"No",Links!$C$2:$C$600,"&lt;&gt;INFORMS")</f>
        <v/>
      </c>
      <c r="G80" s="14" t="inlineStr">
        <is>
          <t>SOURCE-REREAD</t>
        </is>
      </c>
      <c r="H80" s="6" t="inlineStr">
        <is>
          <t>K14 Source &amp; vendor verification</t>
        </is>
      </c>
      <c r="I80" s="6" t="inlineStr">
        <is>
          <t>G5 Housekeeping / no block</t>
        </is>
      </c>
      <c r="J80" s="6" t="inlineStr">
        <is>
          <t>Low</t>
        </is>
      </c>
      <c r="K80" s="6" t="n">
        <v>101</v>
      </c>
      <c r="L80" s="6" t="inlineStr">
        <is>
          <t>W2 Desk work (no model runs)</t>
        </is>
      </c>
      <c r="M80" s="6" t="inlineStr">
        <is>
          <t>S11</t>
        </is>
      </c>
      <c r="N80" s="6" t="inlineStr">
        <is>
          <t>Lead + steward</t>
        </is>
      </c>
      <c r="O80" s="6" t="inlineStr">
        <is>
          <t>Render the table pages only if a claim quotes them</t>
        </is>
      </c>
      <c r="P80" s="6" t="inlineStr">
        <is>
          <t>Partly</t>
        </is>
      </c>
      <c r="Q80" s="6" t="inlineStr">
        <is>
          <t>Source check</t>
        </is>
      </c>
      <c r="R80" s="6" t="inlineStr">
        <is>
          <t>Sub-item</t>
        </is>
      </c>
      <c r="S80" s="6" t="inlineStr">
        <is>
          <t>C-E02</t>
        </is>
      </c>
      <c r="T80"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80" s="6" t="inlineStr">
        <is>
          <t>Deferred 2026-10-19 with reason and trigger, as the C-E02 criterion allows ('non-pivotal ones deferred with a reason and trigger'). The determination 'no live document quotes them' is the lead's grep and may miss a paraphrase.</t>
        </is>
      </c>
      <c r="V80" s="6" t="inlineStr">
        <is>
          <t>Reopened and read on rendered pages if any document quotes a figure from these papers; otherwise stays deferred.</t>
        </is>
      </c>
      <c r="W80" s="6" t="inlineStr"/>
      <c r="X80" s="6" t="inlineStr"/>
      <c r="Y80" s="6" t="inlineStr"/>
      <c r="Z80" s="6" t="inlineStr"/>
      <c r="AA80" s="6" t="inlineStr"/>
      <c r="AB80" s="6" t="inlineStr">
        <is>
          <t>SOURCE</t>
        </is>
      </c>
      <c r="AC80" s="6" t="inlineStr">
        <is>
          <t>n/a (sub-item)</t>
        </is>
      </c>
      <c r="AD80" s="6" t="inlineStr">
        <is>
          <t>NEW (repo sweep)</t>
        </is>
      </c>
      <c r="AE80" s="6" t="inlineStr">
        <is>
          <t>2026-10-19</t>
        </is>
      </c>
      <c r="AF80" s="6" t="inlineStr">
        <is>
          <t>grep of the live documents by the lead (2026-10-19); FND-0024 (findings/SUM-0026); EXT-0211; evidence/literature-20261019/pages/INDEX.md (page images with SHA-256; raw PDF hashes match the manifest)</t>
        </is>
      </c>
      <c r="AG80" s="6" t="inlineStr">
        <is>
          <t>Any live document, brief or thesis text quotes a figure, table or trade-off from Re-Invoke, Shi, ToolTweak, MCP-SafetyBench, CE-MCP or ToolShed</t>
        </is>
      </c>
      <c r="AH80" s="6" t="inlineStr">
        <is>
          <t>No (AUTH-016 covers web fetches for this item)</t>
        </is>
      </c>
      <c r="AI80" s="6" t="inlineStr"/>
      <c r="AJ80" s="6" t="inlineStr">
        <is>
          <t>Batch 8 split of C-E02/E23 and C-E02/E29</t>
        </is>
      </c>
      <c r="AK80" s="6" t="inlineStr"/>
      <c r="AL80" s="6" t="inlineStr">
        <is>
          <t>S11</t>
        </is>
      </c>
    </row>
    <row r="81" ht="53" customHeight="1">
      <c r="A81" s="5" t="inlineStr">
        <is>
          <t>C-E02/E30</t>
        </is>
      </c>
      <c r="B81" s="6" t="inlineStr">
        <is>
          <t>Eight listed prior-art leads never fetched</t>
        </is>
      </c>
      <c r="C81" s="6" t="inlineStr">
        <is>
          <t>OPEN</t>
        </is>
      </c>
      <c r="D81" s="6">
        <f>IFERROR(INDEX(Lists!$B$2:$B$14,MATCH(C81,Lists!$A$2:$A$14,0)),"?")</f>
        <v/>
      </c>
      <c r="E81" s="6">
        <f>IF(COUNTIFS(Links!$B$2:$B$600,A81,Links!$E$2:$E$600,"Yes")&gt;0,"REVISE","")</f>
        <v/>
      </c>
      <c r="F81" s="6">
        <f>COUNTIFS(Links!$B$2:$B$600,A81,Links!$D$2:$D$600,"No",Links!$C$2:$C$600,"&lt;&gt;INFORMS")</f>
        <v/>
      </c>
      <c r="G81" s="11" t="inlineStr">
        <is>
          <t>LITERATURE-DIRECTED</t>
        </is>
      </c>
      <c r="H81" s="6" t="inlineStr">
        <is>
          <t>K14 Source &amp; vendor verification</t>
        </is>
      </c>
      <c r="I81" s="6" t="inlineStr">
        <is>
          <t>G4 Before claims</t>
        </is>
      </c>
      <c r="J81" s="6" t="inlineStr">
        <is>
          <t>Normal</t>
        </is>
      </c>
      <c r="K81" s="6" t="n">
        <v>102</v>
      </c>
      <c r="L81" s="6" t="inlineStr">
        <is>
          <t>W2 Desk work (no model runs)</t>
        </is>
      </c>
      <c r="M81" s="6" t="inlineStr">
        <is>
          <t>S11</t>
        </is>
      </c>
      <c r="N81" s="6" t="inlineStr">
        <is>
          <t>You (supply the list) then lead</t>
        </is>
      </c>
      <c r="O81" s="6" t="inlineStr">
        <is>
          <t>Directed search (needs scope)</t>
        </is>
      </c>
      <c r="P81" s="6" t="inlineStr">
        <is>
          <t>No</t>
        </is>
      </c>
      <c r="Q81" s="6" t="inlineStr">
        <is>
          <t>Source check</t>
        </is>
      </c>
      <c r="R81" s="6" t="inlineStr">
        <is>
          <t>Sub-item</t>
        </is>
      </c>
      <c r="S81" s="6" t="inlineStr">
        <is>
          <t>C-E02</t>
        </is>
      </c>
      <c r="T81" s="6" t="inlineStr">
        <is>
          <t>SRC-06 E30: eight listed prior-art leads were never fetched by the earlier body.</t>
        </is>
      </c>
      <c r="U81" s="6" t="inlineStr">
        <is>
          <t>Names not available from SRC-11; cannot check against the repo.</t>
        </is>
      </c>
      <c r="V81" s="6" t="inlineStr">
        <is>
          <t>Original read; claims it affects revised or marked unverified.</t>
        </is>
      </c>
      <c r="W81" s="6" t="inlineStr"/>
      <c r="X81" s="6" t="inlineStr"/>
      <c r="Y81" s="6" t="inlineStr">
        <is>
          <t>Q-U23</t>
        </is>
      </c>
      <c r="Z81" s="6" t="inlineStr"/>
      <c r="AA81" s="6" t="inlineStr"/>
      <c r="AB81" s="6" t="inlineStr">
        <is>
          <t>SOURCE+ACCESS</t>
        </is>
      </c>
      <c r="AC81" s="6" t="inlineStr">
        <is>
          <t>n/a (sub-item)</t>
        </is>
      </c>
      <c r="AD81" s="6" t="inlineStr">
        <is>
          <t>NEW (SRC-11 sub-row)</t>
        </is>
      </c>
      <c r="AE81" s="6" t="inlineStr">
        <is>
          <t>2026-10-19</t>
        </is>
      </c>
      <c r="AF81" s="6" t="inlineStr">
        <is>
          <t>the list is in SRC-08 (not in .workspace)</t>
        </is>
      </c>
      <c r="AG81" s="6" t="inlineStr"/>
      <c r="AH81" s="6" t="inlineStr">
        <is>
          <t>No (AUTH-016 covers web fetches for this item)</t>
        </is>
      </c>
      <c r="AI81" s="6" t="inlineStr"/>
      <c r="AJ81" s="6" t="inlineStr">
        <is>
          <t>SRC-11 section D2</t>
        </is>
      </c>
      <c r="AK81" s="6" t="inlineStr">
        <is>
          <t>SRC-06 E30</t>
        </is>
      </c>
      <c r="AL81" s="6" t="inlineStr">
        <is>
          <t>S11</t>
        </is>
      </c>
    </row>
    <row r="82" ht="153" customHeight="1">
      <c r="A82" s="5" t="inlineStr">
        <is>
          <t>C-E02/E31</t>
        </is>
      </c>
      <c r="B82" s="6" t="inlineStr">
        <is>
          <t>ScaleMCP/MemTool/Toolshed/Manus/HAL/tau-bench and Spring AI/langgraph-bigtool: follow-up status unclear</t>
        </is>
      </c>
      <c r="C82" s="6" t="inlineStr">
        <is>
          <t>DEFERRED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103</v>
      </c>
      <c r="L82" s="6" t="inlineStr">
        <is>
          <t>W2 Desk work (no model runs)</t>
        </is>
      </c>
      <c r="M82" s="6" t="inlineStr">
        <is>
          <t>S11</t>
        </is>
      </c>
      <c r="N82" s="6" t="inlineStr">
        <is>
          <t>Lead + steward</t>
        </is>
      </c>
      <c r="O82" s="6" t="inlineStr">
        <is>
          <t>none until the trigger fires</t>
        </is>
      </c>
      <c r="P82" s="6" t="inlineStr">
        <is>
          <t>Partly</t>
        </is>
      </c>
      <c r="Q82" s="6" t="inlineStr">
        <is>
          <t>Source check</t>
        </is>
      </c>
      <c r="R82" s="6" t="inlineStr">
        <is>
          <t>Sub-item</t>
        </is>
      </c>
      <c r="S82" s="6" t="inlineStr">
        <is>
          <t>C-E02</t>
        </is>
      </c>
      <c r="T82" s="6" t="inlineStr">
        <is>
          <t>SRC-06 E31: ScaleMCP, MemTool, Toolshed, Manus, HAL and tau-bench groups and Spring AI / langgraph-bigtool code; follow-up status is unclear.</t>
        </is>
      </c>
      <c r="U82"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t>
        </is>
      </c>
      <c r="V82" s="6" t="inlineStr">
        <is>
          <t>Original read; claims it affects revised or marked unverified.</t>
        </is>
      </c>
      <c r="W82" s="6" t="inlineStr"/>
      <c r="X82" s="6" t="inlineStr"/>
      <c r="Y82" s="6" t="inlineStr"/>
      <c r="Z82" s="6" t="inlineStr"/>
      <c r="AA82" s="6" t="inlineStr"/>
      <c r="AB82" s="6" t="inlineStr">
        <is>
          <t>SOURCE+ACCESS</t>
        </is>
      </c>
      <c r="AC82" s="6" t="inlineStr">
        <is>
          <t>n/a (sub-item)</t>
        </is>
      </c>
      <c r="AD82" s="6" t="inlineStr">
        <is>
          <t>NEW (SRC-11 sub-row)</t>
        </is>
      </c>
      <c r="AE82" s="6" t="inlineStr">
        <is>
          <t>2026-10-20</t>
        </is>
      </c>
      <c r="AF82" s="6" t="inlineStr">
        <is>
          <t>grep of design/package-v3 and design/package-v4 01-05 (lead, 2026-10-20); see also this row's earlier basis</t>
        </is>
      </c>
      <c r="AG82" s="6" t="inlineStr">
        <is>
          <t>A document quotes Manus, HAL, tau-bench, Spring AI, langgraph-bigtool or Toolshed</t>
        </is>
      </c>
      <c r="AH82" s="6" t="inlineStr">
        <is>
          <t>No (AUTH-016 covers web fetches for this item)</t>
        </is>
      </c>
      <c r="AI82" s="6" t="inlineStr"/>
      <c r="AJ82" s="6" t="inlineStr">
        <is>
          <t>SRC-11 section D2</t>
        </is>
      </c>
      <c r="AK82" s="6" t="inlineStr">
        <is>
          <t>SRC-06 E31</t>
        </is>
      </c>
      <c r="AL82" s="6" t="inlineStr">
        <is>
          <t>S11</t>
        </is>
      </c>
    </row>
    <row r="83" ht="115.5" customHeight="1">
      <c r="A83" s="5" t="inlineStr">
        <is>
          <t>C-E02/E32</t>
        </is>
      </c>
      <c r="B83" s="6" t="inlineStr">
        <is>
          <t>95 near-miss stored texts: abstracts read, ~12 read deeper</t>
        </is>
      </c>
      <c r="C83" s="6" t="inlineStr">
        <is>
          <t>DEFERRED</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104</v>
      </c>
      <c r="L83" s="6" t="inlineStr">
        <is>
          <t>W2 Desk work (no model runs)</t>
        </is>
      </c>
      <c r="M83" s="6" t="inlineStr">
        <is>
          <t>S11</t>
        </is>
      </c>
      <c r="N83" s="6" t="inlineStr">
        <is>
          <t>Lead + steward</t>
        </is>
      </c>
      <c r="O83" s="6" t="inlineStr">
        <is>
          <t>none until the trigger fires</t>
        </is>
      </c>
      <c r="P83" s="6" t="inlineStr">
        <is>
          <t>Partly</t>
        </is>
      </c>
      <c r="Q83" s="6" t="inlineStr">
        <is>
          <t>Source check</t>
        </is>
      </c>
      <c r="R83" s="6" t="inlineStr">
        <is>
          <t>Sub-item</t>
        </is>
      </c>
      <c r="S83" s="6" t="inlineStr">
        <is>
          <t>C-E02</t>
        </is>
      </c>
      <c r="T83" s="6" t="inlineStr">
        <is>
          <t>SRC-06 E32: 95 near-miss stored texts had abstracts read; only about 12 were read deeper.</t>
        </is>
      </c>
      <c r="U83"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83" s="6" t="inlineStr">
        <is>
          <t>Decisive ones prioritised; broad absence claims not made.</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2026-10-20</t>
        </is>
      </c>
      <c r="AF83" s="6" t="inlineStr">
        <is>
          <t>grep of design/package-v3 and design/package-v4 01-05 (lead, 2026-10-20); see also this row's earlier basis</t>
        </is>
      </c>
      <c r="AG83" s="6" t="inlineStr">
        <is>
          <t>A broad absence claim is about to be made, or a decisive near-miss text is identified</t>
        </is>
      </c>
      <c r="AH83" s="6" t="inlineStr">
        <is>
          <t>No (AUTH-016 covers web fetches for this item)</t>
        </is>
      </c>
      <c r="AI83" s="6" t="inlineStr"/>
      <c r="AJ83" s="6" t="inlineStr">
        <is>
          <t>SRC-11 section D2</t>
        </is>
      </c>
      <c r="AK83" s="6" t="inlineStr">
        <is>
          <t>SRC-06 E32</t>
        </is>
      </c>
      <c r="AL83" s="6" t="inlineStr">
        <is>
          <t>S11</t>
        </is>
      </c>
    </row>
    <row r="84" ht="140.5" customHeight="1">
      <c r="A84" s="5" t="inlineStr">
        <is>
          <t>C-E02/E33</t>
        </is>
      </c>
      <c r="B84" s="6" t="inlineStr">
        <is>
          <t>Historical web fetches were model-generated extracts; 'verbatim' may be paraphrase</t>
        </is>
      </c>
      <c r="C84" s="6" t="inlineStr">
        <is>
          <t>DEFERRED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105</v>
      </c>
      <c r="L84" s="6" t="inlineStr">
        <is>
          <t>W2 Desk work (no model runs)</t>
        </is>
      </c>
      <c r="M84" s="6" t="inlineStr">
        <is>
          <t>S11</t>
        </is>
      </c>
      <c r="N84" s="6" t="inlineStr">
        <is>
          <t>Lead + steward</t>
        </is>
      </c>
      <c r="O84" s="6" t="inlineStr">
        <is>
          <t>none until the trigger fires</t>
        </is>
      </c>
      <c r="P84" s="6" t="inlineStr">
        <is>
          <t>Partly</t>
        </is>
      </c>
      <c r="Q84" s="6" t="inlineStr">
        <is>
          <t>Source check</t>
        </is>
      </c>
      <c r="R84" s="6" t="inlineStr">
        <is>
          <t>Sub-item</t>
        </is>
      </c>
      <c r="S84" s="6" t="inlineStr">
        <is>
          <t>C-E02</t>
        </is>
      </c>
      <c r="T84" s="6" t="inlineStr">
        <is>
          <t>SRC-06 E33: historical web fetches were model-generated extracts, so 'verbatim' quotes may be paraphrase.</t>
        </is>
      </c>
      <c r="U84"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84" s="6" t="inlineStr">
        <is>
          <t>Raw original used before any direct quote.</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2026-10-20</t>
        </is>
      </c>
      <c r="AF84" s="6" t="inlineStr">
        <is>
          <t>grep of design/package-v3 and design/package-v4 01-05 (lead, 2026-10-20); see also this row's earlier basis</t>
        </is>
      </c>
      <c r="AG84" s="6" t="inlineStr">
        <is>
          <t>Before any direct quote from a web page stored in the origin (r4-* pages): compare it with a fresh litfetch copy</t>
        </is>
      </c>
      <c r="AH84" s="6" t="inlineStr">
        <is>
          <t>No (AUTH-016 covers web fetches for this item)</t>
        </is>
      </c>
      <c r="AI84" s="6" t="inlineStr"/>
      <c r="AJ84" s="6" t="inlineStr">
        <is>
          <t>SRC-11 section D2</t>
        </is>
      </c>
      <c r="AK84" s="6" t="inlineStr">
        <is>
          <t>SRC-06 E33</t>
        </is>
      </c>
      <c r="AL84" s="6" t="inlineStr">
        <is>
          <t>S11</t>
        </is>
      </c>
    </row>
    <row r="85" ht="90.5" customHeight="1">
      <c r="A85" s="5" t="inlineStr">
        <is>
          <t>C-E02/E34</t>
        </is>
      </c>
      <c r="B85" s="6" t="inlineStr">
        <is>
          <t>Historical 'not found' claims used only 2-3 queries</t>
        </is>
      </c>
      <c r="C85" s="6" t="inlineStr">
        <is>
          <t>PARTLY ANSWERED</t>
        </is>
      </c>
      <c r="D85" s="6">
        <f>IFERROR(INDEX(Lists!$B$2:$B$14,MATCH(C85,Lists!$A$2:$A$14,0)),"?")</f>
        <v/>
      </c>
      <c r="E85" s="6">
        <f>IF(COUNTIFS(Links!$B$2:$B$600,A85,Links!$E$2:$E$600,"Yes")&gt;0,"REVISE","")</f>
        <v/>
      </c>
      <c r="F85" s="6">
        <f>COUNTIFS(Links!$B$2:$B$600,A85,Links!$D$2:$D$600,"No",Links!$C$2:$C$600,"&lt;&gt;INFORMS")</f>
        <v/>
      </c>
      <c r="G85" s="11" t="inlineStr">
        <is>
          <t>LITERATURE-DIRECTED</t>
        </is>
      </c>
      <c r="H85" s="6" t="inlineStr">
        <is>
          <t>K14 Source &amp; vendor verification</t>
        </is>
      </c>
      <c r="I85" s="6" t="inlineStr">
        <is>
          <t>G4 Before claims</t>
        </is>
      </c>
      <c r="J85" s="6" t="inlineStr">
        <is>
          <t>Normal</t>
        </is>
      </c>
      <c r="K85" s="6" t="n">
        <v>106</v>
      </c>
      <c r="L85" s="6" t="inlineStr">
        <is>
          <t>W2 Desk work (no model runs)</t>
        </is>
      </c>
      <c r="M85" s="6" t="inlineStr">
        <is>
          <t>S11</t>
        </is>
      </c>
      <c r="N85" s="6" t="inlineStr">
        <is>
          <t>Lead + steward</t>
        </is>
      </c>
      <c r="O85" s="6" t="inlineStr">
        <is>
          <t>Directed search (needs scope)</t>
        </is>
      </c>
      <c r="P85" s="6" t="inlineStr">
        <is>
          <t>Partly</t>
        </is>
      </c>
      <c r="Q85" s="6" t="inlineStr">
        <is>
          <t>Source check</t>
        </is>
      </c>
      <c r="R85" s="6" t="inlineStr">
        <is>
          <t>Sub-item</t>
        </is>
      </c>
      <c r="S85" s="6" t="inlineStr">
        <is>
          <t>C-E02</t>
        </is>
      </c>
      <c r="T85" s="6" t="inlineStr">
        <is>
          <t>SRC-06 E34: historical 'not found' claims used only 2-3 queries and missed stored sources.</t>
        </is>
      </c>
      <c r="U85"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85" s="6" t="inlineStr">
        <is>
          <t>Each absence claim carries a bounded search log.</t>
        </is>
      </c>
      <c r="W85" s="6" t="inlineStr"/>
      <c r="X85" s="6" t="inlineStr"/>
      <c r="Y85" s="6" t="inlineStr"/>
      <c r="Z85" s="6" t="inlineStr"/>
      <c r="AA85" s="6" t="inlineStr"/>
      <c r="AB85" s="6" t="inlineStr">
        <is>
          <t>SOURCE+ACCESS</t>
        </is>
      </c>
      <c r="AC85" s="6" t="inlineStr">
        <is>
          <t>n/a (sub-item)</t>
        </is>
      </c>
      <c r="AD85" s="6" t="inlineStr">
        <is>
          <t>NEW (SRC-11 sub-row)</t>
        </is>
      </c>
      <c r="AE85" s="6" t="inlineStr">
        <is>
          <t>2026-10-19</t>
        </is>
      </c>
      <c r="AF85" s="6" t="inlineStr">
        <is>
          <t>ops/threads/T-20261019-102/TASK.md</t>
        </is>
      </c>
      <c r="AG85" s="6" t="inlineStr"/>
      <c r="AH85" s="6" t="inlineStr">
        <is>
          <t>No (AUTH-016 covers web fetches for this item)</t>
        </is>
      </c>
      <c r="AI85" s="6" t="inlineStr"/>
      <c r="AJ85" s="6" t="inlineStr">
        <is>
          <t>SRC-11 section D2</t>
        </is>
      </c>
      <c r="AK85" s="6" t="inlineStr">
        <is>
          <t>SRC-06 E34</t>
        </is>
      </c>
      <c r="AL85" s="6" t="inlineStr">
        <is>
          <t>S11</t>
        </is>
      </c>
    </row>
    <row r="86" ht="300" customHeight="1">
      <c r="A86" s="5" t="inlineStr">
        <is>
          <t>C-E02/STEWARDUNREAD</t>
        </is>
      </c>
      <c r="B86" s="6" t="inlineStr">
        <is>
          <t>Steward did not read appendices of TheMCPCompany, LiveMCPBench, When2Call, SING, the cache study</t>
        </is>
      </c>
      <c r="C86" s="6" t="inlineStr">
        <is>
          <t>DEFERRED</t>
        </is>
      </c>
      <c r="D86" s="6">
        <f>IFERROR(INDEX(Lists!$B$2:$B$14,MATCH(C86,Lists!$A$2:$A$14,0)),"?")</f>
        <v/>
      </c>
      <c r="E86" s="6">
        <f>IF(COUNTIFS(Links!$B$2:$B$600,A86,Links!$E$2:$E$600,"Yes")&gt;0,"REVISE","")</f>
        <v/>
      </c>
      <c r="F86" s="6">
        <f>COUNTIFS(Links!$B$2:$B$600,A86,Links!$D$2:$D$600,"No",Links!$C$2:$C$600,"&lt;&gt;INFORMS")</f>
        <v/>
      </c>
      <c r="G86" s="14" t="inlineStr">
        <is>
          <t>SOURCE-REREAD</t>
        </is>
      </c>
      <c r="H86" s="6" t="inlineStr">
        <is>
          <t>K14 Source &amp; vendor verification</t>
        </is>
      </c>
      <c r="I86" s="6" t="inlineStr">
        <is>
          <t>G4 Before claims</t>
        </is>
      </c>
      <c r="J86" s="6" t="inlineStr">
        <is>
          <t>Normal</t>
        </is>
      </c>
      <c r="K86" s="6" t="n">
        <v>107</v>
      </c>
      <c r="L86" s="6" t="inlineStr">
        <is>
          <t>W2 Desk work (no model runs)</t>
        </is>
      </c>
      <c r="M86" s="6" t="inlineStr">
        <is>
          <t>S11</t>
        </is>
      </c>
      <c r="N86" s="6" t="inlineStr">
        <is>
          <t>Lead + fresh reviewer</t>
        </is>
      </c>
      <c r="O86" s="6" t="inlineStr">
        <is>
          <t>none until the trigger fires</t>
        </is>
      </c>
      <c r="P86" s="6" t="inlineStr">
        <is>
          <t>Yes - stored text, unread</t>
        </is>
      </c>
      <c r="Q86" s="6" t="inlineStr">
        <is>
          <t>Record fix</t>
        </is>
      </c>
      <c r="R86" s="6" t="inlineStr">
        <is>
          <t>Sub-item</t>
        </is>
      </c>
      <c r="S86" s="6" t="inlineStr">
        <is>
          <t>C-E02</t>
        </is>
      </c>
      <c r="T86" s="6" t="inlineStr">
        <is>
          <t>v4-05 section 5: TheMCPCompany trajectories and appendices, LiveMCPBench appendices other than cited, When2Call appendices, SING appendices (prompts) and the cache-study appendices were not read.</t>
        </is>
      </c>
      <c r="U86"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86" s="6" t="inlineStr">
        <is>
          <t>Read if a claim depends on them.</t>
        </is>
      </c>
      <c r="W86" s="6" t="inlineStr"/>
      <c r="X86" s="6" t="inlineStr"/>
      <c r="Y86" s="6" t="inlineStr"/>
      <c r="Z86" s="6" t="inlineStr"/>
      <c r="AA86" s="6" t="inlineStr"/>
      <c r="AB86" s="6" t="inlineStr">
        <is>
          <t>RECORD+SOURCE</t>
        </is>
      </c>
      <c r="AC86" s="6" t="inlineStr">
        <is>
          <t>n/a (sub-item)</t>
        </is>
      </c>
      <c r="AD86" s="6" t="inlineStr">
        <is>
          <t>NEW (repo sweep)</t>
        </is>
      </c>
      <c r="AE86" s="6" t="inlineStr">
        <is>
          <t>2026-10-20</t>
        </is>
      </c>
      <c r="AF86" s="6" t="inlineStr">
        <is>
          <t>grep of design/package-v3 and design/package-v4 01-05 (lead, 2026-10-20); see also this row's earlier basis</t>
        </is>
      </c>
      <c r="AG86" s="6" t="inlineStr">
        <is>
          <t>A claim depends on an unread trajectory or appendix</t>
        </is>
      </c>
      <c r="AH86" s="6" t="inlineStr">
        <is>
          <t>No (AUTH-016 covers web fetches for this item)</t>
        </is>
      </c>
      <c r="AI86" s="6" t="inlineStr"/>
      <c r="AJ86" s="6" t="inlineStr">
        <is>
          <t>repo: v4-03 section 6 / RV-0005 / RV-0007</t>
        </is>
      </c>
      <c r="AK86" s="6" t="inlineStr"/>
      <c r="AL86" s="6" t="inlineStr">
        <is>
          <t>S11</t>
        </is>
      </c>
    </row>
    <row r="87" ht="128" customHeight="1">
      <c r="A87" s="5" t="inlineStr">
        <is>
          <t>C-X09</t>
        </is>
      </c>
      <c r="B87" s="6" t="inlineStr">
        <is>
          <t>Re-read decisive papers/tables or ask authors (the check behind C-E01..E03 and C-S19).</t>
        </is>
      </c>
      <c r="C87" s="6" t="inlineStr">
        <is>
          <t>PARTLY ANSWERED</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109</v>
      </c>
      <c r="L87" s="6" t="inlineStr">
        <is>
          <t>W2 Desk work (no model runs)</t>
        </is>
      </c>
      <c r="M87" s="6" t="inlineStr">
        <is>
          <t>S11</t>
        </is>
      </c>
      <c r="N87" s="6" t="inlineStr">
        <is>
          <t>Lead + steward</t>
        </is>
      </c>
      <c r="O87" s="6" t="inlineStr">
        <is>
          <t>You send the author asks; approve 06 row 3.29</t>
        </is>
      </c>
      <c r="P87" s="6" t="inlineStr">
        <is>
          <t>Yes - stored text, unread</t>
        </is>
      </c>
      <c r="Q87" s="6" t="inlineStr">
        <is>
          <t>Test</t>
        </is>
      </c>
      <c r="R87" s="6" t="inlineStr">
        <is>
          <t>Check</t>
        </is>
      </c>
      <c r="S87" s="6" t="inlineStr"/>
      <c r="T87" s="6" t="inlineStr">
        <is>
          <t>Re-read decisive papers/tables or ask authors (the check behind C-E01..E03 and C-S19).</t>
        </is>
      </c>
      <c r="U87"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87" s="6" t="inlineStr">
        <is>
          <t>Pivotal sources read and cited with version; authors asked where needed.</t>
        </is>
      </c>
      <c r="W87" s="6" t="inlineStr"/>
      <c r="X87" s="6" t="inlineStr">
        <is>
          <t>C-D01</t>
        </is>
      </c>
      <c r="Y87" s="6" t="inlineStr"/>
      <c r="Z87" s="6" t="inlineStr">
        <is>
          <t>AUTHOR-OR-VENDOR</t>
        </is>
      </c>
      <c r="AA87" s="6" t="inlineStr"/>
      <c r="AB87" s="6" t="inlineStr">
        <is>
          <t>SOURCE</t>
        </is>
      </c>
      <c r="AC87" s="6" t="inlineStr">
        <is>
          <t>PARTLY DONE - OPEN</t>
        </is>
      </c>
      <c r="AD87" s="6" t="inlineStr">
        <is>
          <t>NARROWED</t>
        </is>
      </c>
      <c r="AE87" s="6" t="inlineStr">
        <is>
          <t>2026-10-20</t>
        </is>
      </c>
      <c r="AF87" s="6" t="inlineStr">
        <is>
          <t>SUM-0005..0009</t>
        </is>
      </c>
      <c r="AG87" s="6" t="inlineStr"/>
      <c r="AH87" s="6" t="inlineStr">
        <is>
          <t>No (AUTH-016 covers web fetches for this item)</t>
        </is>
      </c>
      <c r="AI87" s="6" t="inlineStr"/>
      <c r="AJ87" s="6" t="inlineStr">
        <is>
          <t>SRC-11 canonical</t>
        </is>
      </c>
      <c r="AK87" s="6" t="inlineStr">
        <is>
          <t>SRC-06 X09</t>
        </is>
      </c>
      <c r="AL87" s="6" t="inlineStr">
        <is>
          <t>S11</t>
        </is>
      </c>
    </row>
    <row r="88" ht="65.5" customHeight="1">
      <c r="A88" s="5" t="inlineStr">
        <is>
          <t>C-S05</t>
        </is>
      </c>
      <c r="B88" s="6" t="inlineStr">
        <is>
          <t>Vendor tool-search gain (49% to 74%) has no public method or sample and is unreplicated.</t>
        </is>
      </c>
      <c r="C88" s="6" t="inlineStr">
        <is>
          <t>NOT LOCATED</t>
        </is>
      </c>
      <c r="D88" s="6">
        <f>IFERROR(INDEX(Lists!$B$2:$B$14,MATCH(C88,Lists!$A$2:$A$14,0)),"?")</f>
        <v/>
      </c>
      <c r="E88" s="6">
        <f>IF(COUNTIFS(Links!$B$2:$B$600,A88,Links!$E$2:$E$600,"Yes")&gt;0,"REVISE","")</f>
        <v/>
      </c>
      <c r="F88" s="6">
        <f>COUNTIFS(Links!$B$2:$B$600,A88,Links!$D$2:$D$600,"No",Links!$C$2:$C$600,"&lt;&gt;INFORMS")</f>
        <v/>
      </c>
      <c r="G88" s="16" t="inlineStr">
        <is>
          <t>AUTHOR-OR-VENDOR</t>
        </is>
      </c>
      <c r="H88" s="6" t="inlineStr">
        <is>
          <t>K14 Source &amp; vendor verification</t>
        </is>
      </c>
      <c r="I88" s="6" t="inlineStr">
        <is>
          <t>G4 Before claims</t>
        </is>
      </c>
      <c r="J88" s="6" t="inlineStr">
        <is>
          <t>Normal</t>
        </is>
      </c>
      <c r="K88" s="6" t="n">
        <v>111</v>
      </c>
      <c r="L88" s="6" t="inlineStr">
        <is>
          <t>W2 Desk work (no model runs)</t>
        </is>
      </c>
      <c r="M88" s="6" t="inlineStr">
        <is>
          <t>S12</t>
        </is>
      </c>
      <c r="N88" s="6" t="inlineStr">
        <is>
          <t>Vendor (or an independent benchmark)</t>
        </is>
      </c>
      <c r="O88" s="6" t="inlineStr">
        <is>
          <t>You send the drafted ask (design/ledger/notes/AUTHOR-ASKS-DRAFT-20261020.md, section 3) and record the reply; until then it waits on the authors</t>
        </is>
      </c>
      <c r="P88" s="6" t="inlineStr">
        <is>
          <t>No</t>
        </is>
      </c>
      <c r="Q88" s="6" t="inlineStr">
        <is>
          <t>Source check</t>
        </is>
      </c>
      <c r="R88" s="6" t="inlineStr">
        <is>
          <t>Item</t>
        </is>
      </c>
      <c r="S88" s="6" t="inlineStr"/>
      <c r="T88" s="6" t="inlineStr">
        <is>
          <t>Vendor tool-search gain (49% to 74%) has no public method or sample and is unreplicated.</t>
        </is>
      </c>
      <c r="U88" s="6" t="inlineStr">
        <is>
          <t>Three differently worded searches found no third-party measurement (not located is not 'does not exist').</t>
        </is>
      </c>
      <c r="V88" s="6" t="inlineStr">
        <is>
          <t>Method/data supplied, or recorded as 'not provided' and cited as a vendor claim.</t>
        </is>
      </c>
      <c r="W88" s="6" t="inlineStr"/>
      <c r="X88" s="6" t="inlineStr">
        <is>
          <t>C-S02</t>
        </is>
      </c>
      <c r="Y88" s="6" t="inlineStr"/>
      <c r="Z88" s="6" t="inlineStr">
        <is>
          <t>TEST-PILOT</t>
        </is>
      </c>
      <c r="AA88" s="6" t="inlineStr">
        <is>
          <t>K11 End-to-end comparison</t>
        </is>
      </c>
      <c r="AB88" s="6" t="inlineStr">
        <is>
          <t>SOURCE+DATA</t>
        </is>
      </c>
      <c r="AC88" s="6" t="inlineStr">
        <is>
          <t>OPEN</t>
        </is>
      </c>
      <c r="AD88" s="6" t="inlineStr">
        <is>
          <t>NOT LOCATED</t>
        </is>
      </c>
      <c r="AE88" s="6" t="inlineStr">
        <is>
          <t>2026-10-20</t>
        </is>
      </c>
      <c r="AF88" s="6" t="inlineStr">
        <is>
          <t>v4-05 section 1B and saturation note; EXT-0074</t>
        </is>
      </c>
      <c r="AG88" s="6" t="inlineStr"/>
      <c r="AH88" s="6" t="inlineStr">
        <is>
          <t>No for the ask</t>
        </is>
      </c>
      <c r="AI88" s="6" t="inlineStr"/>
      <c r="AJ88" s="6" t="inlineStr">
        <is>
          <t>SRC-11 canonical</t>
        </is>
      </c>
      <c r="AK88" s="6" t="inlineStr">
        <is>
          <t>SRC-06 S09</t>
        </is>
      </c>
      <c r="AL88" s="6" t="inlineStr">
        <is>
          <t>S12</t>
        </is>
      </c>
    </row>
    <row r="89" ht="103" customHeight="1">
      <c r="A89" s="5" t="inlineStr">
        <is>
          <t>C-S19</t>
        </is>
      </c>
      <c r="B89" s="6" t="inlineStr">
        <is>
          <t>MCPVerse v1/v2 discrepancies (score shift, copied v2 Table 4 cells, denominators, pool, reproduction, nativ...</t>
        </is>
      </c>
      <c r="C89" s="6" t="inlineStr">
        <is>
          <t>PARTLY ANSWERED</t>
        </is>
      </c>
      <c r="D89" s="6">
        <f>IFERROR(INDEX(Lists!$B$2:$B$14,MATCH(C89,Lists!$A$2:$A$14,0)),"?")</f>
        <v/>
      </c>
      <c r="E89" s="6">
        <f>IF(COUNTIFS(Links!$B$2:$B$600,A89,Links!$E$2:$E$600,"Yes")&gt;0,"REVISE","")</f>
        <v/>
      </c>
      <c r="F89" s="6">
        <f>COUNTIFS(Links!$B$2:$B$600,A89,Links!$D$2:$D$600,"No",Links!$C$2:$C$600,"&lt;&gt;INFORMS")</f>
        <v/>
      </c>
      <c r="G89" s="16" t="inlineStr">
        <is>
          <t>AUTHOR-OR-VENDOR</t>
        </is>
      </c>
      <c r="H89" s="6" t="inlineStr">
        <is>
          <t>K14 Source &amp; vendor verification</t>
        </is>
      </c>
      <c r="I89" s="6" t="inlineStr">
        <is>
          <t>G5 Housekeeping / no block</t>
        </is>
      </c>
      <c r="J89" s="6" t="inlineStr">
        <is>
          <t>Low</t>
        </is>
      </c>
      <c r="K89" s="6" t="n">
        <v>112</v>
      </c>
      <c r="L89" s="6" t="inlineStr">
        <is>
          <t>W2 Desk work (no model runs)</t>
        </is>
      </c>
      <c r="M89" s="6" t="inlineStr">
        <is>
          <t>S12</t>
        </is>
      </c>
      <c r="N89" s="6" t="inlineStr">
        <is>
          <t>Authors; or defer</t>
        </is>
      </c>
      <c r="O89" s="6" t="inlineStr">
        <is>
          <t>Author asks (S40, S41, S43 judge identity)</t>
        </is>
      </c>
      <c r="P89" s="6" t="inlineStr">
        <is>
          <t>Yes - stored text, unread</t>
        </is>
      </c>
      <c r="Q89" s="6" t="inlineStr">
        <is>
          <t>Source check</t>
        </is>
      </c>
      <c r="R89" s="6" t="inlineStr">
        <is>
          <t>Item</t>
        </is>
      </c>
      <c r="S89" s="6" t="inlineStr"/>
      <c r="T89" s="6" t="inlineStr">
        <is>
          <t>MCPVerse v1/v2 discrepancies (score shift, copied v2 Table 4 cells, denominators, pool, reproduction, native vs prompt calling).</t>
        </is>
      </c>
      <c r="U89"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89" s="6" t="inlineStr">
        <is>
          <t>Author reply or 'author unavailable' recorded; defer unless it becomes a cited premise.</t>
        </is>
      </c>
      <c r="W89" s="6" t="inlineStr"/>
      <c r="X89" s="6" t="inlineStr"/>
      <c r="Y89" s="6" t="inlineStr"/>
      <c r="Z89" s="6" t="inlineStr">
        <is>
          <t>SOURCE-REREAD, ACCEPT-LIMITATION</t>
        </is>
      </c>
      <c r="AA89" s="6" t="inlineStr"/>
      <c r="AB89" s="6" t="inlineStr">
        <is>
          <t>SOURCE+AUTHOR+DATA</t>
        </is>
      </c>
      <c r="AC89" s="6" t="inlineStr">
        <is>
          <t>PARTLY ANSWERED - OPEN</t>
        </is>
      </c>
      <c r="AD89" s="6" t="inlineStr">
        <is>
          <t>UNCHANGED</t>
        </is>
      </c>
      <c r="AE89" s="6" t="inlineStr">
        <is>
          <t>2026-10-19</t>
        </is>
      </c>
      <c r="AF89" s="6" t="inlineStr">
        <is>
          <t>FND-0026 (findings/SUM-0028); EXT-0203, EXT-0204; evidence/literature-20261019/pages/INDEX.md (MCPVerse v2 pages 5, 7, 9)</t>
        </is>
      </c>
      <c r="AG89" s="6" t="inlineStr">
        <is>
          <t>If MCPVerse becomes a cited premise</t>
        </is>
      </c>
      <c r="AH89" s="6" t="inlineStr">
        <is>
          <t>No</t>
        </is>
      </c>
      <c r="AI89" s="6" t="inlineStr"/>
      <c r="AJ89" s="6" t="inlineStr">
        <is>
          <t>SRC-11 canonical</t>
        </is>
      </c>
      <c r="AK89" s="6" t="inlineStr">
        <is>
          <t>SRC-06 S40-S46, SRC-07 23, SRC-07 24</t>
        </is>
      </c>
      <c r="AL89" s="6" t="inlineStr">
        <is>
          <t>S12</t>
        </is>
      </c>
    </row>
    <row r="90" ht="278" customHeight="1">
      <c r="A90" s="5" t="inlineStr">
        <is>
          <t>C-S19/S40</t>
        </is>
      </c>
      <c r="B90" s="6" t="inlineStr">
        <is>
          <t>Cause of the v1/v2 Claude score shift (judge change insufficient)</t>
        </is>
      </c>
      <c r="C90" s="6" t="inlineStr">
        <is>
          <t>PARTLY ANSWERED</t>
        </is>
      </c>
      <c r="D90" s="6">
        <f>IFERROR(INDEX(Lists!$B$2:$B$14,MATCH(C90,Lists!$A$2:$A$14,0)),"?")</f>
        <v/>
      </c>
      <c r="E90" s="6">
        <f>IF(COUNTIFS(Links!$B$2:$B$600,A90,Links!$E$2:$E$600,"Yes")&gt;0,"REVISE","")</f>
        <v/>
      </c>
      <c r="F90" s="6">
        <f>COUNTIFS(Links!$B$2:$B$600,A90,Links!$D$2:$D$600,"No",Links!$C$2:$C$600,"&lt;&gt;INFORMS")</f>
        <v/>
      </c>
      <c r="G90" s="16" t="inlineStr">
        <is>
          <t>AUTHOR-OR-VENDOR</t>
        </is>
      </c>
      <c r="H90" s="6" t="inlineStr">
        <is>
          <t>K14 Source &amp; vendor verification</t>
        </is>
      </c>
      <c r="I90" s="6" t="inlineStr">
        <is>
          <t>G5 Housekeeping / no block</t>
        </is>
      </c>
      <c r="J90" s="6" t="inlineStr">
        <is>
          <t>Low</t>
        </is>
      </c>
      <c r="K90" s="6" t="n">
        <v>113</v>
      </c>
      <c r="L90" s="6" t="inlineStr">
        <is>
          <t>W2 Desk work (no model runs)</t>
        </is>
      </c>
      <c r="M90" s="6" t="inlineStr">
        <is>
          <t>S12</t>
        </is>
      </c>
      <c r="N90" s="6" t="inlineStr">
        <is>
          <t>Authors / team</t>
        </is>
      </c>
      <c r="O90" s="6" t="inlineStr">
        <is>
          <t>You send the drafted ask (design/ledger/notes/AUTHOR-ASKS-DRAFT-20261020.md, section 1) and record the reply; until then it waits on the authors</t>
        </is>
      </c>
      <c r="P90" s="6" t="inlineStr">
        <is>
          <t>Partly</t>
        </is>
      </c>
      <c r="Q90" s="6" t="inlineStr">
        <is>
          <t>Source check</t>
        </is>
      </c>
      <c r="R90" s="6" t="inlineStr">
        <is>
          <t>Sub-item</t>
        </is>
      </c>
      <c r="S90" s="6" t="inlineStr">
        <is>
          <t>C-S19</t>
        </is>
      </c>
      <c r="T90" s="6" t="inlineStr">
        <is>
          <t>SRC-06 S40 / SRC-07 23: a judge change does not explain the v1/v2 Claude shift; the actual cause (protocol, task/model mix, reruns) is open.</t>
        </is>
      </c>
      <c r="U90"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90" s="6" t="inlineStr">
        <is>
          <t>Authors / raw logs / reproduction.</t>
        </is>
      </c>
      <c r="W90" s="6" t="inlineStr"/>
      <c r="X90" s="6" t="inlineStr"/>
      <c r="Y90" s="6" t="inlineStr"/>
      <c r="Z90" s="6" t="inlineStr"/>
      <c r="AA90" s="6" t="inlineStr"/>
      <c r="AB90" s="6" t="inlineStr">
        <is>
          <t>SOURCE+AUTHOR</t>
        </is>
      </c>
      <c r="AC90" s="6" t="inlineStr">
        <is>
          <t>n/a (sub-item)</t>
        </is>
      </c>
      <c r="AD90" s="6" t="inlineStr">
        <is>
          <t>NEW (SRC-11 sub-row)</t>
        </is>
      </c>
      <c r="AE90" s="6" t="inlineStr">
        <is>
          <t>2026-10-20</t>
        </is>
      </c>
      <c r="AF90" s="6" t="inlineStr">
        <is>
          <t>FND-0026 (findings/SUM-0028); EXT-0203, EXT-0204; evidence/literature-20261019/pages/INDEX.md (MCPVerse v2 pages 5, 7, 9); EXT-0204</t>
        </is>
      </c>
      <c r="AG90" s="6" t="inlineStr"/>
      <c r="AH90" s="6" t="inlineStr">
        <is>
          <t>No</t>
        </is>
      </c>
      <c r="AI90" s="6" t="inlineStr"/>
      <c r="AJ90" s="6" t="inlineStr">
        <is>
          <t>SRC-11 section D3</t>
        </is>
      </c>
      <c r="AK90" s="6" t="inlineStr">
        <is>
          <t>SRC-06 S40</t>
        </is>
      </c>
      <c r="AL90" s="6" t="inlineStr">
        <is>
          <t>S12</t>
        </is>
      </c>
    </row>
    <row r="91" ht="140.5" customHeight="1">
      <c r="A91" s="5" t="inlineStr">
        <is>
          <t>C-S19/S41</t>
        </is>
      </c>
      <c r="B91" s="6" t="inlineStr">
        <is>
          <t>Copied cells in v2 Table 4 (Claude/Gemini)</t>
        </is>
      </c>
      <c r="C91" s="6" t="inlineStr">
        <is>
          <t>PARTLY ANSWERED</t>
        </is>
      </c>
      <c r="D91" s="6">
        <f>IFERROR(INDEX(Lists!$B$2:$B$14,MATCH(C91,Lists!$A$2:$A$14,0)),"?")</f>
        <v/>
      </c>
      <c r="E91" s="6">
        <f>IF(COUNTIFS(Links!$B$2:$B$600,A91,Links!$E$2:$E$600,"Yes")&gt;0,"REVISE","")</f>
        <v/>
      </c>
      <c r="F91" s="6">
        <f>COUNTIFS(Links!$B$2:$B$600,A91,Links!$D$2:$D$600,"No",Links!$C$2:$C$600,"&lt;&gt;INFORMS")</f>
        <v/>
      </c>
      <c r="G91" s="16" t="inlineStr">
        <is>
          <t>AUTHOR-OR-VENDOR</t>
        </is>
      </c>
      <c r="H91" s="6" t="inlineStr">
        <is>
          <t>K14 Source &amp; vendor verification</t>
        </is>
      </c>
      <c r="I91" s="6" t="inlineStr">
        <is>
          <t>G5 Housekeeping / no block</t>
        </is>
      </c>
      <c r="J91" s="6" t="inlineStr">
        <is>
          <t>Low</t>
        </is>
      </c>
      <c r="K91" s="6" t="n">
        <v>114</v>
      </c>
      <c r="L91" s="6" t="inlineStr">
        <is>
          <t>W2 Desk work (no model runs)</t>
        </is>
      </c>
      <c r="M91" s="6" t="inlineStr">
        <is>
          <t>S12</t>
        </is>
      </c>
      <c r="N91" s="6" t="inlineStr">
        <is>
          <t>Authors / team</t>
        </is>
      </c>
      <c r="O91" s="6" t="inlineStr">
        <is>
          <t>You send the drafted ask (design/ledger/notes/AUTHOR-ASKS-DRAFT-20261020.md, section 1) and record the reply; until then it waits on the authors</t>
        </is>
      </c>
      <c r="P91" s="6" t="inlineStr">
        <is>
          <t>Partly</t>
        </is>
      </c>
      <c r="Q91" s="6" t="inlineStr">
        <is>
          <t>Source check</t>
        </is>
      </c>
      <c r="R91" s="6" t="inlineStr">
        <is>
          <t>Sub-item</t>
        </is>
      </c>
      <c r="S91" s="6" t="inlineStr">
        <is>
          <t>C-S19</t>
        </is>
      </c>
      <c r="T91" s="6" t="inlineStr">
        <is>
          <t>SRC-06 S41 / SRC-07 24: apparent copied cells identified; the correct v2 Table 4 Claude/Gemini cells are unknown.</t>
        </is>
      </c>
      <c r="U91"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91" s="6" t="inlineStr">
        <is>
          <t>Authors / raw logs / reproduction.</t>
        </is>
      </c>
      <c r="W91" s="6" t="inlineStr"/>
      <c r="X91" s="6" t="inlineStr"/>
      <c r="Y91" s="6" t="inlineStr"/>
      <c r="Z91" s="6" t="inlineStr"/>
      <c r="AA91" s="6" t="inlineStr"/>
      <c r="AB91" s="6" t="inlineStr">
        <is>
          <t>SOURCE+AUTHOR</t>
        </is>
      </c>
      <c r="AC91" s="6" t="inlineStr">
        <is>
          <t>n/a (sub-item)</t>
        </is>
      </c>
      <c r="AD91" s="6" t="inlineStr">
        <is>
          <t>NEW (SRC-11 sub-row)</t>
        </is>
      </c>
      <c r="AE91" s="6" t="inlineStr">
        <is>
          <t>2026-10-20</t>
        </is>
      </c>
      <c r="AF91" s="6" t="inlineStr">
        <is>
          <t>FND-0026 (findings/SUM-0028); EXT-0203, EXT-0204; evidence/literature-20261019/pages/INDEX.md (MCPVerse v2 pages 5, 7, 9)</t>
        </is>
      </c>
      <c r="AG91" s="6" t="inlineStr"/>
      <c r="AH91" s="6" t="inlineStr">
        <is>
          <t>No</t>
        </is>
      </c>
      <c r="AI91" s="6" t="inlineStr"/>
      <c r="AJ91" s="6" t="inlineStr">
        <is>
          <t>SRC-11 section D3</t>
        </is>
      </c>
      <c r="AK91" s="6" t="inlineStr">
        <is>
          <t>SRC-06 S41</t>
        </is>
      </c>
      <c r="AL91" s="6" t="inlineStr">
        <is>
          <t>S12</t>
        </is>
      </c>
    </row>
    <row r="92" ht="300" customHeight="1">
      <c r="A92" s="5" t="inlineStr">
        <is>
          <t>C-S19/S42</t>
        </is>
      </c>
      <c r="B92" s="6" t="inlineStr">
        <is>
          <t>Printed per-level counts and 250-vs-311 mismatch</t>
        </is>
      </c>
      <c r="C92" s="6" t="inlineStr">
        <is>
          <t>PARTLY ANSWERED</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G5 Housekeeping / no block</t>
        </is>
      </c>
      <c r="J92" s="6" t="inlineStr">
        <is>
          <t>Low</t>
        </is>
      </c>
      <c r="K92" s="6" t="n">
        <v>115</v>
      </c>
      <c r="L92" s="6" t="inlineStr">
        <is>
          <t>W2 Desk work (no model runs)</t>
        </is>
      </c>
      <c r="M92" s="6" t="inlineStr">
        <is>
          <t>S12</t>
        </is>
      </c>
      <c r="N92" s="6" t="inlineStr">
        <is>
          <t>Authors / team</t>
        </is>
      </c>
      <c r="O92" s="6" t="inlineStr">
        <is>
          <t>You send the drafted ask (design/ledger/notes/AUTHOR-ASKS-DRAFT-20261020.md, section 1) and record the reply; until then it waits on the authors</t>
        </is>
      </c>
      <c r="P92" s="6" t="inlineStr">
        <is>
          <t>Partly</t>
        </is>
      </c>
      <c r="Q92" s="6" t="inlineStr">
        <is>
          <t>Source check</t>
        </is>
      </c>
      <c r="R92" s="6" t="inlineStr">
        <is>
          <t>Sub-item</t>
        </is>
      </c>
      <c r="S92" s="6" t="inlineStr">
        <is>
          <t>C-S19</t>
        </is>
      </c>
      <c r="T92" s="6" t="inlineStr">
        <is>
          <t>SRC-06 S42: printed per-level counts and a 250-vs-311 mismatch; denominators unknown.</t>
        </is>
      </c>
      <c r="U92"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92" s="6" t="inlineStr">
        <is>
          <t>Authors / raw logs / reproduction.</t>
        </is>
      </c>
      <c r="W92" s="6" t="inlineStr"/>
      <c r="X92" s="6" t="inlineStr"/>
      <c r="Y92" s="6" t="inlineStr">
        <is>
          <t>Q-U22</t>
        </is>
      </c>
      <c r="Z92" s="6" t="inlineStr"/>
      <c r="AA92" s="6" t="inlineStr"/>
      <c r="AB92" s="6" t="inlineStr">
        <is>
          <t>SOURCE+AUTHOR</t>
        </is>
      </c>
      <c r="AC92" s="6" t="inlineStr">
        <is>
          <t>n/a (sub-item)</t>
        </is>
      </c>
      <c r="AD92" s="6" t="inlineStr">
        <is>
          <t>NEW (SRC-11 sub-row)</t>
        </is>
      </c>
      <c r="AE92" s="6" t="inlineStr">
        <is>
          <t>2026-10-20</t>
        </is>
      </c>
      <c r="AF92" s="6" t="inlineStr">
        <is>
          <t>FND-0026 (findings/SUM-0028); EXT-0203, EXT-0204; evidence/literature-20261019/pages/INDEX.md (MCPVerse v2 pages 5, 7, 9)</t>
        </is>
      </c>
      <c r="AG92" s="6" t="inlineStr"/>
      <c r="AH92" s="6" t="inlineStr">
        <is>
          <t>No</t>
        </is>
      </c>
      <c r="AI92" s="6" t="inlineStr"/>
      <c r="AJ92" s="6" t="inlineStr">
        <is>
          <t>SRC-11 section D3</t>
        </is>
      </c>
      <c r="AK92" s="6" t="inlineStr">
        <is>
          <t>SRC-06 S42</t>
        </is>
      </c>
      <c r="AL92" s="6" t="inlineStr">
        <is>
          <t>S12</t>
        </is>
      </c>
    </row>
    <row r="93" ht="300" customHeight="1">
      <c r="A93" s="5" t="inlineStr">
        <is>
          <t>C-S19/S43</t>
        </is>
      </c>
      <c r="B93" s="6" t="inlineStr">
        <is>
          <t>Retrieve pool (32/65) and retrieve-mode judge behaviour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G5 Housekeeping / no block</t>
        </is>
      </c>
      <c r="J93" s="6" t="inlineStr">
        <is>
          <t>Low</t>
        </is>
      </c>
      <c r="K93" s="6" t="n">
        <v>116</v>
      </c>
      <c r="L93" s="6" t="inlineStr">
        <is>
          <t>W2 Desk work (no model runs)</t>
        </is>
      </c>
      <c r="M93" s="6" t="inlineStr">
        <is>
          <t>S12</t>
        </is>
      </c>
      <c r="N93" s="6" t="inlineStr">
        <is>
          <t>Authors / team</t>
        </is>
      </c>
      <c r="O93" s="6" t="inlineStr">
        <is>
          <t>You send the drafted ask (design/ledger/notes/AUTHOR-ASKS-DRAFT-20261020.md, section 1) and record the reply; until then it waits on the authors</t>
        </is>
      </c>
      <c r="P93" s="6" t="inlineStr">
        <is>
          <t>Yes - stored text, unread</t>
        </is>
      </c>
      <c r="Q93" s="6" t="inlineStr">
        <is>
          <t>Source check</t>
        </is>
      </c>
      <c r="R93" s="6" t="inlineStr">
        <is>
          <t>Sub-item</t>
        </is>
      </c>
      <c r="S93" s="6" t="inlineStr">
        <is>
          <t>C-S19</t>
        </is>
      </c>
      <c r="T93" s="6" t="inlineStr">
        <is>
          <t>SRC-06 S43: the retrieve pool (32/65) and retrieve-mode judge behaviour are unknown.</t>
        </is>
      </c>
      <c r="U93"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93" s="6" t="inlineStr">
        <is>
          <t>Authors / raw logs / reproduction.</t>
        </is>
      </c>
      <c r="W93" s="6" t="inlineStr"/>
      <c r="X93" s="6" t="inlineStr"/>
      <c r="Y93" s="6" t="inlineStr"/>
      <c r="Z93" s="6" t="inlineStr"/>
      <c r="AA93" s="6" t="inlineStr"/>
      <c r="AB93" s="6" t="inlineStr">
        <is>
          <t>SOURCE+AUTHOR</t>
        </is>
      </c>
      <c r="AC93" s="6" t="inlineStr">
        <is>
          <t>n/a (sub-item)</t>
        </is>
      </c>
      <c r="AD93" s="6" t="inlineStr">
        <is>
          <t>NEW (SRC-11 sub-row)</t>
        </is>
      </c>
      <c r="AE93" s="6" t="inlineStr">
        <is>
          <t>2026-10-20</t>
        </is>
      </c>
      <c r="AF93" s="6" t="inlineStr">
        <is>
          <t>FND-0026 (findings/SUM-0028); EXT-0203, EXT-0204; evidence/literature-20261019/pages/INDEX.md (MCPVerse v2 pages 5, 7, 9)</t>
        </is>
      </c>
      <c r="AG93" s="6" t="inlineStr"/>
      <c r="AH93" s="6" t="inlineStr">
        <is>
          <t>No</t>
        </is>
      </c>
      <c r="AI93" s="6" t="inlineStr"/>
      <c r="AJ93" s="6" t="inlineStr">
        <is>
          <t>SRC-11 section D3</t>
        </is>
      </c>
      <c r="AK93" s="6" t="inlineStr">
        <is>
          <t>SRC-06 S43</t>
        </is>
      </c>
      <c r="AL93" s="6" t="inlineStr">
        <is>
          <t>S12</t>
        </is>
      </c>
    </row>
    <row r="94" ht="28" customHeight="1">
      <c r="A94" s="5" t="inlineStr">
        <is>
          <t>C-S19/S44</t>
        </is>
      </c>
      <c r="B94" s="6" t="inlineStr">
        <is>
          <t>Does the released repo reproduce the paper numbers?</t>
        </is>
      </c>
      <c r="C94" s="6" t="inlineStr">
        <is>
          <t>OPEN</t>
        </is>
      </c>
      <c r="D94" s="6">
        <f>IFERROR(INDEX(Lists!$B$2:$B$14,MATCH(C94,Lists!$A$2:$A$14,0)),"?")</f>
        <v/>
      </c>
      <c r="E94" s="6">
        <f>IF(COUNTIFS(Links!$B$2:$B$600,A94,Links!$E$2:$E$600,"Yes")&gt;0,"REVISE","")</f>
        <v/>
      </c>
      <c r="F94" s="6">
        <f>COUNTIFS(Links!$B$2:$B$600,A94,Links!$D$2:$D$600,"No",Links!$C$2:$C$600,"&lt;&gt;INFORMS")</f>
        <v/>
      </c>
      <c r="G94" s="17" t="inlineStr">
        <is>
          <t>TEST-PILOT</t>
        </is>
      </c>
      <c r="H94" s="6" t="inlineStr">
        <is>
          <t>K14 Source &amp; vendor verification</t>
        </is>
      </c>
      <c r="I94" s="6" t="inlineStr">
        <is>
          <t>G5 Housekeeping / no block</t>
        </is>
      </c>
      <c r="J94" s="6" t="inlineStr">
        <is>
          <t>Low</t>
        </is>
      </c>
      <c r="K94" s="6" t="n">
        <v>117</v>
      </c>
      <c r="L94" s="6" t="inlineStr">
        <is>
          <t>W2 Desk work (no model runs)</t>
        </is>
      </c>
      <c r="M94" s="6" t="inlineStr">
        <is>
          <t>S12</t>
        </is>
      </c>
      <c r="N94" s="6" t="inlineStr">
        <is>
          <t>Authors / team</t>
        </is>
      </c>
      <c r="O94" s="6" t="inlineStr">
        <is>
          <t>Needs an AUTH and a protocol</t>
        </is>
      </c>
      <c r="P94" s="6" t="inlineStr">
        <is>
          <t>No</t>
        </is>
      </c>
      <c r="Q94" s="6" t="inlineStr">
        <is>
          <t>Source check</t>
        </is>
      </c>
      <c r="R94" s="6" t="inlineStr">
        <is>
          <t>Sub-item</t>
        </is>
      </c>
      <c r="S94" s="6" t="inlineStr">
        <is>
          <t>C-S19</t>
        </is>
      </c>
      <c r="T94" s="6" t="inlineStr">
        <is>
          <t>SRC-06 S44: whether the released repository reproduces the paper's numbers is unknown (no reproduction in reviewed material).</t>
        </is>
      </c>
      <c r="U94" s="6" t="inlineStr">
        <is>
          <t>No reproduction anywhere in the repo.</t>
        </is>
      </c>
      <c r="V94" s="6" t="inlineStr">
        <is>
          <t>Authors / raw logs / reproduction.</t>
        </is>
      </c>
      <c r="W94" s="6" t="inlineStr"/>
      <c r="X94" s="6" t="inlineStr"/>
      <c r="Y94" s="6" t="inlineStr"/>
      <c r="Z94" s="6" t="inlineStr"/>
      <c r="AA94" s="6" t="inlineStr"/>
      <c r="AB94" s="6" t="inlineStr">
        <is>
          <t>DATA</t>
        </is>
      </c>
      <c r="AC94" s="6" t="inlineStr">
        <is>
          <t>n/a (sub-item)</t>
        </is>
      </c>
      <c r="AD94" s="6" t="inlineStr">
        <is>
          <t>NEW (SRC-11 sub-row)</t>
        </is>
      </c>
      <c r="AE94" s="6" t="inlineStr">
        <is>
          <t>2026-10-19</t>
        </is>
      </c>
      <c r="AF94" s="6" t="inlineStr">
        <is>
          <t>needs code download</t>
        </is>
      </c>
      <c r="AG94" s="6" t="inlineStr"/>
      <c r="AH94" s="6" t="inlineStr">
        <is>
          <t>No</t>
        </is>
      </c>
      <c r="AI94" s="6" t="inlineStr"/>
      <c r="AJ94" s="6" t="inlineStr">
        <is>
          <t>SRC-11 section D3</t>
        </is>
      </c>
      <c r="AK94" s="6" t="inlineStr">
        <is>
          <t>SRC-06 S44</t>
        </is>
      </c>
      <c r="AL94" s="6" t="inlineStr">
        <is>
          <t>S12</t>
        </is>
      </c>
    </row>
    <row r="95" ht="28" customHeight="1">
      <c r="A95" s="5" t="inlineStr">
        <is>
          <t>C-S19/S46</t>
        </is>
      </c>
      <c r="B95" s="6" t="inlineStr">
        <is>
          <t>Native vs prompt calling: frozen report's 'workaround' wording</t>
        </is>
      </c>
      <c r="C95" s="6" t="inlineStr">
        <is>
          <t>OPEN</t>
        </is>
      </c>
      <c r="D95" s="6">
        <f>IFERROR(INDEX(Lists!$B$2:$B$14,MATCH(C95,Lists!$A$2:$A$14,0)),"?")</f>
        <v/>
      </c>
      <c r="E95" s="6">
        <f>IF(COUNTIFS(Links!$B$2:$B$600,A95,Links!$E$2:$E$600,"Yes")&gt;0,"REVISE","")</f>
        <v/>
      </c>
      <c r="F95" s="6">
        <f>COUNTIFS(Links!$B$2:$B$600,A95,Links!$D$2:$D$600,"No",Links!$C$2:$C$600,"&lt;&gt;INFORMS")</f>
        <v/>
      </c>
      <c r="G95" s="8" t="inlineStr">
        <is>
          <t>RECORDS-AT-HAND</t>
        </is>
      </c>
      <c r="H95" s="6" t="inlineStr">
        <is>
          <t>K14 Source &amp; vendor verification</t>
        </is>
      </c>
      <c r="I95" s="6" t="inlineStr">
        <is>
          <t>G5 Housekeeping / no block</t>
        </is>
      </c>
      <c r="J95" s="6" t="inlineStr">
        <is>
          <t>Low</t>
        </is>
      </c>
      <c r="K95" s="6" t="n">
        <v>119</v>
      </c>
      <c r="L95" s="6" t="inlineStr">
        <is>
          <t>W2 Desk work (no model runs)</t>
        </is>
      </c>
      <c r="M95" s="6" t="inlineStr">
        <is>
          <t>S12</t>
        </is>
      </c>
      <c r="N95" s="6" t="inlineStr">
        <is>
          <t>Authors / team</t>
        </is>
      </c>
      <c r="O95" s="6" t="inlineStr">
        <is>
          <t>Lead drafts the fix; you approve</t>
        </is>
      </c>
      <c r="P95" s="6" t="inlineStr">
        <is>
          <t>No</t>
        </is>
      </c>
      <c r="Q95" s="6" t="inlineStr">
        <is>
          <t>Source check</t>
        </is>
      </c>
      <c r="R95" s="6" t="inlineStr">
        <is>
          <t>Sub-item</t>
        </is>
      </c>
      <c r="S95" s="6" t="inlineStr">
        <is>
          <t>C-S19</t>
        </is>
      </c>
      <c r="T95" s="6" t="inlineStr">
        <is>
          <t>SRC-06 S46: native versus prompt calling is a different treatment; the frozen report's 'workaround' wording needs correcting.</t>
        </is>
      </c>
      <c r="U95" s="6" t="inlineStr">
        <is>
          <t>Outside the repo.</t>
        </is>
      </c>
      <c r="V95" s="6" t="inlineStr">
        <is>
          <t>Authors / raw logs / reproduction.</t>
        </is>
      </c>
      <c r="W95" s="6" t="inlineStr"/>
      <c r="X95" s="6" t="inlineStr"/>
      <c r="Y95" s="6" t="inlineStr"/>
      <c r="Z95" s="6" t="inlineStr"/>
      <c r="AA95" s="6" t="inlineStr"/>
      <c r="AB95" s="6" t="inlineStr">
        <is>
          <t>RECORD</t>
        </is>
      </c>
      <c r="AC95" s="6" t="inlineStr">
        <is>
          <t>n/a (sub-item)</t>
        </is>
      </c>
      <c r="AD95" s="6" t="inlineStr">
        <is>
          <t>NEW (SRC-11 sub-row)</t>
        </is>
      </c>
      <c r="AE95" s="6" t="inlineStr">
        <is>
          <t>2026-10-19</t>
        </is>
      </c>
      <c r="AF95" s="6" t="inlineStr">
        <is>
          <t>Phase 1 report outside repo</t>
        </is>
      </c>
      <c r="AG95" s="6" t="inlineStr"/>
      <c r="AH95" s="6" t="inlineStr">
        <is>
          <t>No</t>
        </is>
      </c>
      <c r="AI95" s="6" t="inlineStr"/>
      <c r="AJ95" s="6" t="inlineStr">
        <is>
          <t>SRC-11 section D3</t>
        </is>
      </c>
      <c r="AK95" s="6" t="inlineStr">
        <is>
          <t>SRC-06 S46</t>
        </is>
      </c>
      <c r="AL95" s="6" t="inlineStr">
        <is>
          <t>S12</t>
        </is>
      </c>
    </row>
    <row r="96" ht="290.5" customHeight="1">
      <c r="A96" s="5" t="inlineStr">
        <is>
          <t>AS-09</t>
        </is>
      </c>
      <c r="B96" s="6" t="inlineStr">
        <is>
          <t>Supervisor assertion A9: The partial-information idea comes from another party's documentation</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G5 Housekeeping / no block</t>
        </is>
      </c>
      <c r="J96" s="6" t="inlineStr">
        <is>
          <t>Low</t>
        </is>
      </c>
      <c r="K96" s="6" t="n">
        <v>124</v>
      </c>
      <c r="L96" s="6" t="inlineStr">
        <is>
          <t>W2 Desk work (no model runs)</t>
        </is>
      </c>
      <c r="M96" s="6" t="inlineStr">
        <is>
          <t>S13</t>
        </is>
      </c>
      <c r="N96" s="6" t="inlineStr">
        <is>
          <t>Lead / team</t>
        </is>
      </c>
      <c r="O96" s="6" t="inlineStr">
        <is>
          <t>Q-J28 (Joaa names the documentation)</t>
        </is>
      </c>
      <c r="P96" s="6" t="inlineStr">
        <is>
          <t>No</t>
        </is>
      </c>
      <c r="Q96" s="6" t="inlineStr">
        <is>
          <t>Claim to test</t>
        </is>
      </c>
      <c r="R96" s="6" t="inlineStr">
        <is>
          <t>Item</t>
        </is>
      </c>
      <c r="S96" s="6" t="inlineStr"/>
      <c r="T96" s="6" t="inlineStr">
        <is>
          <t>REQ-A1 A9: The partial-information idea comes from another party's documentation. Source unnamed; prior art to locate.</t>
        </is>
      </c>
      <c r="U96"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t>
        </is>
      </c>
      <c r="V96" s="6" t="inlineStr">
        <is>
          <t>Source unnamed; prior art to locate.</t>
        </is>
      </c>
      <c r="W96" s="6" t="inlineStr"/>
      <c r="X96" s="6" t="inlineStr"/>
      <c r="Y96" s="6" t="inlineStr">
        <is>
          <t>Q-J28</t>
        </is>
      </c>
      <c r="Z96" s="6" t="inlineStr"/>
      <c r="AA96" s="6" t="inlineStr"/>
      <c r="AB96" s="6" t="inlineStr">
        <is>
          <t>SOURCE</t>
        </is>
      </c>
      <c r="AC96" s="6" t="inlineStr">
        <is>
          <t>n/a (REGISTER E)</t>
        </is>
      </c>
      <c r="AD96" s="6" t="inlineStr">
        <is>
          <t>NEW (repo sweep)</t>
        </is>
      </c>
      <c r="AE96" s="6" t="inlineStr">
        <is>
          <t>2026-10-20</t>
        </is>
      </c>
      <c r="AF96" s="6" t="inlineStr">
        <is>
          <t>FND-0030 (findings/SUM-0032)</t>
        </is>
      </c>
      <c r="AG96" s="6" t="inlineStr"/>
      <c r="AH96" s="6" t="inlineStr">
        <is>
          <t>No</t>
        </is>
      </c>
      <c r="AI96" s="6" t="inlineStr"/>
      <c r="AJ96" s="6" t="inlineStr">
        <is>
          <t>repo: REGISTER section E / EXT-0004</t>
        </is>
      </c>
      <c r="AK96" s="6" t="inlineStr">
        <is>
          <t>REQ-A1 A9</t>
        </is>
      </c>
      <c r="AL96" s="6" t="inlineStr">
        <is>
          <t>S11</t>
        </is>
      </c>
    </row>
    <row r="97" ht="300" customHeight="1">
      <c r="A97" s="5" t="inlineStr">
        <is>
          <t>C-E02/UNREADLEADS</t>
        </is>
      </c>
      <c r="B97" s="6" t="inlineStr">
        <is>
          <t>Reference lists (KAIST, cache study), agent-memory survey 2602.06052 not read</t>
        </is>
      </c>
      <c r="C97" s="6" t="inlineStr">
        <is>
          <t>DEFERRED</t>
        </is>
      </c>
      <c r="D97" s="6">
        <f>IFERROR(INDEX(Lists!$B$2:$B$14,MATCH(C97,Lists!$A$2:$A$14,0)),"?")</f>
        <v/>
      </c>
      <c r="E97" s="6">
        <f>IF(COUNTIFS(Links!$B$2:$B$600,A97,Links!$E$2:$E$600,"Yes")&gt;0,"REVISE","")</f>
        <v/>
      </c>
      <c r="F97" s="6">
        <f>COUNTIFS(Links!$B$2:$B$600,A97,Links!$D$2:$D$600,"No",Links!$C$2:$C$600,"&lt;&gt;INFORMS")</f>
        <v/>
      </c>
      <c r="G97" s="11" t="inlineStr">
        <is>
          <t>LITERATURE-DIRECTED</t>
        </is>
      </c>
      <c r="H97" s="6" t="inlineStr">
        <is>
          <t>K14 Source &amp; vendor verification</t>
        </is>
      </c>
      <c r="I97" s="6" t="inlineStr">
        <is>
          <t>G4 Before claims</t>
        </is>
      </c>
      <c r="J97" s="6" t="inlineStr">
        <is>
          <t>Normal</t>
        </is>
      </c>
      <c r="K97" s="6" t="n">
        <v>125</v>
      </c>
      <c r="L97" s="6" t="inlineStr">
        <is>
          <t>W2 Desk work (no model runs)</t>
        </is>
      </c>
      <c r="M97" s="6" t="inlineStr">
        <is>
          <t>S13</t>
        </is>
      </c>
      <c r="N97" s="6" t="inlineStr">
        <is>
          <t>Lead + fresh reviewer</t>
        </is>
      </c>
      <c r="O97" s="6" t="inlineStr">
        <is>
          <t>none until the trigger fires</t>
        </is>
      </c>
      <c r="P97" s="6" t="inlineStr">
        <is>
          <t>Partly</t>
        </is>
      </c>
      <c r="Q97" s="6" t="inlineStr">
        <is>
          <t>Record fix</t>
        </is>
      </c>
      <c r="R97" s="6" t="inlineStr">
        <is>
          <t>Sub-item</t>
        </is>
      </c>
      <c r="S97" s="6" t="inlineStr">
        <is>
          <t>C-E02</t>
        </is>
      </c>
      <c r="T97" s="6" t="inlineStr">
        <is>
          <t>v4-05 section 5 'not done': reference lists of KAIST and the cache study and the agent-memory survey (arXiv 2602.06052) were not read.</t>
        </is>
      </c>
      <c r="U97"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97" s="6" t="inlineStr">
        <is>
          <t>Read or marked out of scope.</t>
        </is>
      </c>
      <c r="W97" s="6" t="inlineStr"/>
      <c r="X97" s="6" t="inlineStr"/>
      <c r="Y97" s="6" t="inlineStr">
        <is>
          <t>Q-U21</t>
        </is>
      </c>
      <c r="Z97" s="6" t="inlineStr"/>
      <c r="AA97" s="6" t="inlineStr"/>
      <c r="AB97" s="6" t="inlineStr">
        <is>
          <t>RECORD+SOURCE</t>
        </is>
      </c>
      <c r="AC97" s="6" t="inlineStr">
        <is>
          <t>n/a (sub-item)</t>
        </is>
      </c>
      <c r="AD97" s="6" t="inlineStr">
        <is>
          <t>NEW (repo sweep)</t>
        </is>
      </c>
      <c r="AE97" s="6" t="inlineStr">
        <is>
          <t>2026-10-20</t>
        </is>
      </c>
      <c r="AF97" s="6" t="inlineStr">
        <is>
          <t>FND-0032 (findings/SUM-0034); evidence/literature-20261019/pdf-memory-survey-2602.06052.txt</t>
        </is>
      </c>
      <c r="AG97" s="6" t="inlineStr">
        <is>
          <t>A claim depends on a paper cited in the KAIST or cache-study reference lists, or on a survey section not read (lines 560-1015, 1777-2340, 2500-3005, 3065-3370)</t>
        </is>
      </c>
      <c r="AH97" s="6" t="inlineStr">
        <is>
          <t>No (AUTH-016 covers web fetches for this item)</t>
        </is>
      </c>
      <c r="AI97" s="6" t="inlineStr"/>
      <c r="AJ97" s="6" t="inlineStr">
        <is>
          <t>repo: v4-03 section 6 / RV-0005 / RV-0007</t>
        </is>
      </c>
      <c r="AK97" s="6" t="inlineStr"/>
      <c r="AL97" s="6" t="inlineStr">
        <is>
          <t>S13</t>
        </is>
      </c>
    </row>
    <row r="98" ht="300" customHeight="1">
      <c r="A98" s="5" t="inlineStr">
        <is>
          <t>N-19</t>
        </is>
      </c>
      <c r="B98" s="6" t="inlineStr">
        <is>
          <t>Stale counts and safeguard text in records</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G5 Housekeeping / no block</t>
        </is>
      </c>
      <c r="J98" s="6" t="inlineStr">
        <is>
          <t>Low</t>
        </is>
      </c>
      <c r="K98" s="6" t="n">
        <v>128</v>
      </c>
      <c r="L98" s="6" t="inlineStr">
        <is>
          <t>W2 Desk work (no model runs)</t>
        </is>
      </c>
      <c r="M98" s="6" t="inlineStr">
        <is>
          <t>S15</t>
        </is>
      </c>
      <c r="N98" s="6" t="inlineStr">
        <is>
          <t>Lead (STATE, v4-05); you (pinned files)</t>
        </is>
      </c>
      <c r="O98" s="6" t="inlineStr">
        <is>
          <t>You decide whether the proposed wording for CLAUDE.md and SAFEGUARDS rows 5 and 17 may be applied</t>
        </is>
      </c>
      <c r="P98" s="6" t="inlineStr">
        <is>
          <t>Answered (see basis)</t>
        </is>
      </c>
      <c r="Q98" s="6" t="inlineStr">
        <is>
          <t>Record fix</t>
        </is>
      </c>
      <c r="R98" s="6" t="inlineStr">
        <is>
          <t>Item</t>
        </is>
      </c>
      <c r="S98" s="6" t="inlineStr"/>
      <c r="T98" s="6" t="inlineStr">
        <is>
          <t>STATE says AUTH-013 had 23 searches / 32 sources; v4-05 section 5 says 18 / 28 while its header says 27 / 37 (manifest has 37 rows); SAFEGUARDS rows 5 and 17 and CLAUDE.md predate AUTH-012/014/015.</t>
        </is>
      </c>
      <c r="U98"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98" s="6" t="inlineStr">
        <is>
          <t>Counts and safeguard text updated.</t>
        </is>
      </c>
      <c r="W98" s="6" t="inlineStr"/>
      <c r="X98" s="6" t="inlineStr"/>
      <c r="Y98" s="6" t="inlineStr">
        <is>
          <t>Q-U11</t>
        </is>
      </c>
      <c r="Z98" s="6" t="inlineStr"/>
      <c r="AA98" s="6" t="inlineStr"/>
      <c r="AB98" s="6" t="inlineStr">
        <is>
          <t>RECORD</t>
        </is>
      </c>
      <c r="AC98" s="6" t="inlineStr">
        <is>
          <t>n/a (new)</t>
        </is>
      </c>
      <c r="AD98" s="6" t="inlineStr">
        <is>
          <t>NEW (repo sweep)</t>
        </is>
      </c>
      <c r="AE98" s="6" t="inlineStr">
        <is>
          <t>2026-10-20</t>
        </is>
      </c>
      <c r="AF98" s="6" t="inlineStr">
        <is>
          <t>reviews/RV-0015.md; evidence/literature-20261019/README.md</t>
        </is>
      </c>
      <c r="AG98" s="6" t="inlineStr"/>
      <c r="AH98" s="6" t="inlineStr">
        <is>
          <t>No</t>
        </is>
      </c>
      <c r="AI98" s="6" t="inlineStr"/>
      <c r="AJ98" s="6" t="inlineStr">
        <is>
          <t>review 19 Oct section 6.6</t>
        </is>
      </c>
      <c r="AK98" s="6" t="inlineStr"/>
      <c r="AL98" s="6" t="inlineStr">
        <is>
          <t>S03</t>
        </is>
      </c>
    </row>
    <row r="99" ht="165.5" customHeight="1">
      <c r="A99" s="5" t="inlineStr">
        <is>
          <t>C-R01/C03</t>
        </is>
      </c>
      <c r="B99" s="6" t="inlineStr">
        <is>
          <t>R6 timing, query source, recovery assumptions</t>
        </is>
      </c>
      <c r="C99" s="6" t="inlineStr">
        <is>
          <t>PARTLY ANSWERED</t>
        </is>
      </c>
      <c r="D99" s="6">
        <f>IFERROR(INDEX(Lists!$B$2:$B$14,MATCH(C99,Lists!$A$2:$A$14,0)),"?")</f>
        <v/>
      </c>
      <c r="E99" s="6">
        <f>IF(COUNTIFS(Links!$B$2:$B$600,A99,Links!$E$2:$E$600,"Yes")&gt;0,"REVISE","")</f>
        <v/>
      </c>
      <c r="F99" s="6">
        <f>COUNTIFS(Links!$B$2:$B$600,A99,Links!$D$2:$D$600,"No",Links!$C$2:$C$600,"&lt;&gt;INFORMS")</f>
        <v/>
      </c>
      <c r="G99" s="8" t="inlineStr">
        <is>
          <t>RECORDS-AT-HAND</t>
        </is>
      </c>
      <c r="H99" s="6" t="inlineStr">
        <is>
          <t>K17 Record repair &amp; procedure error</t>
        </is>
      </c>
      <c r="I99" s="6" t="inlineStr">
        <is>
          <t>G3 Before confirmatory study</t>
        </is>
      </c>
      <c r="J99" s="6" t="inlineStr">
        <is>
          <t>Normal</t>
        </is>
      </c>
      <c r="K99" s="6" t="n">
        <v>131</v>
      </c>
      <c r="L99" s="6" t="inlineStr">
        <is>
          <t>W2 Desk work (no model runs)</t>
        </is>
      </c>
      <c r="M99" s="6" t="inlineStr">
        <is>
          <t>S15</t>
        </is>
      </c>
      <c r="N99" s="6" t="inlineStr">
        <is>
          <t>Lead + fresh reviewer</t>
        </is>
      </c>
      <c r="O99" s="6" t="inlineStr">
        <is>
          <t>You approve RA14 and choose among the R1TRIG options</t>
        </is>
      </c>
      <c r="P99" s="6" t="inlineStr">
        <is>
          <t>Partly</t>
        </is>
      </c>
      <c r="Q99" s="6" t="inlineStr">
        <is>
          <t>Scientific unknown</t>
        </is>
      </c>
      <c r="R99" s="6" t="inlineStr">
        <is>
          <t>Sub-item</t>
        </is>
      </c>
      <c r="S99" s="6" t="inlineStr">
        <is>
          <t>C-R01</t>
        </is>
      </c>
      <c r="T99" s="6" t="inlineStr">
        <is>
          <t>SRC-06 C03: R6 (trigger) timing, scripted-query provenance, recovery assumptions.</t>
        </is>
      </c>
      <c r="U99"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99" s="6" t="inlineStr">
        <is>
          <t>Independent re-check and a dated fix.</t>
        </is>
      </c>
      <c r="W99" s="6" t="inlineStr"/>
      <c r="X99" s="6" t="inlineStr"/>
      <c r="Y99" s="6" t="inlineStr"/>
      <c r="Z99" s="6" t="inlineStr"/>
      <c r="AA99" s="6" t="inlineStr"/>
      <c r="AB99" s="6" t="inlineStr">
        <is>
          <t>RECORD+DATA</t>
        </is>
      </c>
      <c r="AC99" s="6" t="inlineStr">
        <is>
          <t>n/a (sub-item)</t>
        </is>
      </c>
      <c r="AD99" s="6" t="inlineStr">
        <is>
          <t>NEW (SRC-11 sub-row)</t>
        </is>
      </c>
      <c r="AE99" s="6" t="inlineStr">
        <is>
          <t>2026-10-20</t>
        </is>
      </c>
      <c r="AF99" s="6" t="inlineStr">
        <is>
          <t>reviews/RV-0008.md (fresh reviewer, same model family, read the current text); design/package-v4/06-corrections-proposed.md</t>
        </is>
      </c>
      <c r="AG99" s="6" t="inlineStr"/>
      <c r="AH99" s="6" t="inlineStr">
        <is>
          <t>No</t>
        </is>
      </c>
      <c r="AI99" s="6" t="inlineStr"/>
      <c r="AJ99" s="6" t="inlineStr">
        <is>
          <t>SRC-11 section D4</t>
        </is>
      </c>
      <c r="AK99" s="6" t="inlineStr">
        <is>
          <t>SRC-06 C03, CH-0041</t>
        </is>
      </c>
      <c r="AL99" s="6" t="inlineStr">
        <is>
          <t>S09</t>
        </is>
      </c>
    </row>
    <row r="100" ht="28" customHeight="1">
      <c r="A100" s="5" t="inlineStr">
        <is>
          <t>C-R01/C04</t>
        </is>
      </c>
      <c r="B100" s="6" t="inlineStr">
        <is>
          <t>Outcome-split accounting, provider usage, task shedding</t>
        </is>
      </c>
      <c r="C100" s="6" t="inlineStr">
        <is>
          <t>OPEN</t>
        </is>
      </c>
      <c r="D100" s="6">
        <f>IFERROR(INDEX(Lists!$B$2:$B$14,MATCH(C100,Lists!$A$2:$A$14,0)),"?")</f>
        <v/>
      </c>
      <c r="E100" s="6">
        <f>IF(COUNTIFS(Links!$B$2:$B$600,A100,Links!$E$2:$E$600,"Yes")&gt;0,"REVISE","")</f>
        <v/>
      </c>
      <c r="F100" s="6">
        <f>COUNTIFS(Links!$B$2:$B$600,A100,Links!$D$2:$D$600,"No",Links!$C$2:$C$600,"&lt;&gt;INFORMS")</f>
        <v/>
      </c>
      <c r="G100" s="17" t="inlineStr">
        <is>
          <t>TEST-PILOT</t>
        </is>
      </c>
      <c r="H100" s="6" t="inlineStr">
        <is>
          <t>K17 Record repair &amp; procedure error</t>
        </is>
      </c>
      <c r="I100" s="6" t="inlineStr">
        <is>
          <t>G3 Before confirmatory study</t>
        </is>
      </c>
      <c r="J100" s="6" t="inlineStr">
        <is>
          <t>Normal</t>
        </is>
      </c>
      <c r="K100" s="6" t="n">
        <v>132</v>
      </c>
      <c r="L100" s="6" t="inlineStr">
        <is>
          <t>W2 Desk work (no model runs)</t>
        </is>
      </c>
      <c r="M100" s="6" t="inlineStr">
        <is>
          <t>S15</t>
        </is>
      </c>
      <c r="N100" s="6" t="inlineStr">
        <is>
          <t>Lead + fresh reviewer</t>
        </is>
      </c>
      <c r="O100" s="6" t="inlineStr">
        <is>
          <t>Needs an AUTH and a protocol</t>
        </is>
      </c>
      <c r="P100" s="6" t="inlineStr">
        <is>
          <t>Partly</t>
        </is>
      </c>
      <c r="Q100" s="6" t="inlineStr">
        <is>
          <t>Scientific unknown</t>
        </is>
      </c>
      <c r="R100" s="6" t="inlineStr">
        <is>
          <t>Sub-item</t>
        </is>
      </c>
      <c r="S100" s="6" t="inlineStr">
        <is>
          <t>C-R01</t>
        </is>
      </c>
      <c r="T100" s="6" t="inlineStr">
        <is>
          <t>SRC-06 C04: outcome-split accounting, whether provider usage counts deferred definitions, and expensive-task shedding.</t>
        </is>
      </c>
      <c r="U100" s="6" t="inlineStr">
        <is>
          <t>Stratum guard added; tokens-by-outcome split belongs to E1.</t>
        </is>
      </c>
      <c r="V100" s="6" t="inlineStr">
        <is>
          <t>Independent re-check and a dated fix.</t>
        </is>
      </c>
      <c r="W100" s="6" t="inlineStr"/>
      <c r="X100" s="6" t="inlineStr"/>
      <c r="Y100" s="6" t="inlineStr"/>
      <c r="Z100" s="6" t="inlineStr"/>
      <c r="AA100" s="6" t="inlineStr"/>
      <c r="AB100" s="6" t="inlineStr">
        <is>
          <t>RECORD+DATA</t>
        </is>
      </c>
      <c r="AC100" s="6" t="inlineStr">
        <is>
          <t>n/a (sub-item)</t>
        </is>
      </c>
      <c r="AD100" s="6" t="inlineStr">
        <is>
          <t>NEW (SRC-11 sub-row)</t>
        </is>
      </c>
      <c r="AE100" s="6" t="inlineStr">
        <is>
          <t>2026-10-19</t>
        </is>
      </c>
      <c r="AF100" s="6" t="inlineStr">
        <is>
          <t>v3-04 section 1 (CH-0042 residual); v4-02 section 8</t>
        </is>
      </c>
      <c r="AG100" s="6" t="inlineStr"/>
      <c r="AH100" s="6" t="inlineStr">
        <is>
          <t>No</t>
        </is>
      </c>
      <c r="AI100" s="6" t="inlineStr"/>
      <c r="AJ100" s="6" t="inlineStr">
        <is>
          <t>SRC-11 section D4</t>
        </is>
      </c>
      <c r="AK100" s="6" t="inlineStr">
        <is>
          <t>SRC-06 C04, CH-0042</t>
        </is>
      </c>
      <c r="AL100" s="6" t="inlineStr">
        <is>
          <t>S09</t>
        </is>
      </c>
    </row>
    <row r="101" ht="103" customHeight="1">
      <c r="A101" s="5" t="inlineStr">
        <is>
          <t>C-R01/C06</t>
        </is>
      </c>
      <c r="B101" s="6" t="inlineStr">
        <is>
          <t>No-miss searches; conditional I_disc / tau</t>
        </is>
      </c>
      <c r="C101" s="6" t="inlineStr">
        <is>
          <t>PARTLY ANSWERED</t>
        </is>
      </c>
      <c r="D101" s="6">
        <f>IFERROR(INDEX(Lists!$B$2:$B$14,MATCH(C101,Lists!$A$2:$A$14,0)),"?")</f>
        <v/>
      </c>
      <c r="E101" s="6">
        <f>IF(COUNTIFS(Links!$B$2:$B$600,A101,Links!$E$2:$E$600,"Yes")&gt;0,"REVISE","")</f>
        <v/>
      </c>
      <c r="F101" s="6">
        <f>COUNTIFS(Links!$B$2:$B$600,A101,Links!$D$2:$D$600,"No",Links!$C$2:$C$600,"&lt;&gt;INFORMS")</f>
        <v/>
      </c>
      <c r="G101" s="8" t="inlineStr">
        <is>
          <t>RECORDS-AT-HAND</t>
        </is>
      </c>
      <c r="H101" s="6" t="inlineStr">
        <is>
          <t>K17 Record repair &amp; procedure error</t>
        </is>
      </c>
      <c r="I101" s="6" t="inlineStr">
        <is>
          <t>G3 Before confirmatory study</t>
        </is>
      </c>
      <c r="J101" s="6" t="inlineStr">
        <is>
          <t>Normal</t>
        </is>
      </c>
      <c r="K101" s="6" t="n">
        <v>134</v>
      </c>
      <c r="L101" s="6" t="inlineStr">
        <is>
          <t>W2 Desk work (no model runs)</t>
        </is>
      </c>
      <c r="M101" s="6" t="inlineStr">
        <is>
          <t>S15</t>
        </is>
      </c>
      <c r="N101" s="6" t="inlineStr">
        <is>
          <t>Lead + fresh reviewer</t>
        </is>
      </c>
      <c r="O101" s="6" t="inlineStr">
        <is>
          <t>Specify with C-S08/EVENTS once the pilot design is chosen</t>
        </is>
      </c>
      <c r="P101" s="6" t="inlineStr">
        <is>
          <t>Partly</t>
        </is>
      </c>
      <c r="Q101" s="6" t="inlineStr">
        <is>
          <t>Scientific unknown</t>
        </is>
      </c>
      <c r="R101" s="6" t="inlineStr">
        <is>
          <t>Sub-item</t>
        </is>
      </c>
      <c r="S101" s="6" t="inlineStr">
        <is>
          <t>C-R01</t>
        </is>
      </c>
      <c r="T101" s="6" t="inlineStr">
        <is>
          <t>SRC-06 C06: searches in trajectories that need no deferred tool; I_disc and tau must be conditional on the needed tool.</t>
        </is>
      </c>
      <c r="U101"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101" s="6" t="inlineStr">
        <is>
          <t>Independent re-check and a dated fix.</t>
        </is>
      </c>
      <c r="W101" s="6" t="inlineStr"/>
      <c r="X101" s="6" t="inlineStr"/>
      <c r="Y101" s="6" t="inlineStr"/>
      <c r="Z101" s="6" t="inlineStr"/>
      <c r="AA101" s="6" t="inlineStr"/>
      <c r="AB101" s="6" t="inlineStr">
        <is>
          <t>RECORD+DATA</t>
        </is>
      </c>
      <c r="AC101" s="6" t="inlineStr">
        <is>
          <t>n/a (sub-item)</t>
        </is>
      </c>
      <c r="AD101" s="6" t="inlineStr">
        <is>
          <t>NEW (SRC-11 sub-row)</t>
        </is>
      </c>
      <c r="AE101" s="6" t="inlineStr">
        <is>
          <t>2026-10-20</t>
        </is>
      </c>
      <c r="AF101" s="6" t="inlineStr">
        <is>
          <t>v4 05 line 83; row C-S08/EVENTS</t>
        </is>
      </c>
      <c r="AG101" s="6" t="inlineStr"/>
      <c r="AH101" s="6" t="inlineStr">
        <is>
          <t>No</t>
        </is>
      </c>
      <c r="AI101" s="6" t="inlineStr"/>
      <c r="AJ101" s="6" t="inlineStr">
        <is>
          <t>SRC-11 section D4</t>
        </is>
      </c>
      <c r="AK101" s="6" t="inlineStr">
        <is>
          <t>SRC-06 C06</t>
        </is>
      </c>
      <c r="AL101" s="6" t="inlineStr">
        <is>
          <t>S09</t>
        </is>
      </c>
    </row>
    <row r="102" ht="40.5" customHeight="1">
      <c r="A102" s="5" t="inlineStr">
        <is>
          <t>C-R01</t>
        </is>
      </c>
      <c r="B102" s="6" t="inlineStr">
        <is>
          <t>v3 challenge residuals: D4 arm/multiplicity, substitute reference, trigger timing, outcome-split accounting...</t>
        </is>
      </c>
      <c r="C102" s="6" t="inlineStr">
        <is>
          <t>PARTLY ANSWERED</t>
        </is>
      </c>
      <c r="D102" s="6">
        <f>IFERROR(INDEX(Lists!$B$2:$B$14,MATCH(C102,Lists!$A$2:$A$14,0)),"?")</f>
        <v/>
      </c>
      <c r="E102" s="6">
        <f>IF(COUNTIFS(Links!$B$2:$B$600,A102,Links!$E$2:$E$600,"Yes")&gt;0,"REVISE","")</f>
        <v/>
      </c>
      <c r="F102" s="6">
        <f>COUNTIFS(Links!$B$2:$B$600,A102,Links!$D$2:$D$600,"No",Links!$C$2:$C$600,"&lt;&gt;INFORMS")</f>
        <v/>
      </c>
      <c r="G102" s="8" t="inlineStr">
        <is>
          <t>RECORDS-AT-HAND</t>
        </is>
      </c>
      <c r="H102" s="6" t="inlineStr">
        <is>
          <t>K17 Record repair &amp; procedure error</t>
        </is>
      </c>
      <c r="I102" s="6" t="inlineStr">
        <is>
          <t>G3 Before confirmatory study</t>
        </is>
      </c>
      <c r="J102" s="6" t="inlineStr">
        <is>
          <t>Normal</t>
        </is>
      </c>
      <c r="K102" s="6" t="n">
        <v>135</v>
      </c>
      <c r="L102" s="6" t="inlineStr">
        <is>
          <t>W2 Desk work (no model runs)</t>
        </is>
      </c>
      <c r="M102" s="6" t="inlineStr">
        <is>
          <t>S15</t>
        </is>
      </c>
      <c r="N102" s="6" t="inlineStr">
        <is>
          <t>Lead + fresh reviewer</t>
        </is>
      </c>
      <c r="O102" s="6" t="inlineStr">
        <is>
          <t>Lead drafts the fix; you approve</t>
        </is>
      </c>
      <c r="P102" s="6" t="inlineStr">
        <is>
          <t>Partly</t>
        </is>
      </c>
      <c r="Q102" s="6" t="inlineStr">
        <is>
          <t>Record fix</t>
        </is>
      </c>
      <c r="R102" s="6" t="inlineStr">
        <is>
          <t>Item</t>
        </is>
      </c>
      <c r="S102" s="6" t="inlineStr"/>
      <c r="T102" s="6" t="inlineStr">
        <is>
          <t>v3 challenge residuals: D4 arm/multiplicity, substitute reference, trigger timing, outcome-split accounting, fair baseline, no-miss searches.</t>
        </is>
      </c>
      <c r="U102" s="6" t="inlineStr">
        <is>
          <t>v4 corrected the text; 11 of 13 v4 challenges closed; the last edits were not re-verified by the challenger; figures never rendered.</t>
        </is>
      </c>
      <c r="V102" s="6" t="inlineStr">
        <is>
          <t>Last edits re-checked independently; figures rendered; data residuals tied to their tests.</t>
        </is>
      </c>
      <c r="W102" s="6" t="inlineStr">
        <is>
          <t>C-D08</t>
        </is>
      </c>
      <c r="X102" s="6" t="inlineStr">
        <is>
          <t>C-S14</t>
        </is>
      </c>
      <c r="Y102" s="6" t="inlineStr"/>
      <c r="Z102" s="6" t="inlineStr">
        <is>
          <t>DESK-ANALYSIS, TEST-PILOT</t>
        </is>
      </c>
      <c r="AA102" s="6" t="inlineStr">
        <is>
          <t>K5 Evaluation contract</t>
        </is>
      </c>
      <c r="AB102" s="6" t="inlineStr">
        <is>
          <t>DATA+DEC+RECORD</t>
        </is>
      </c>
      <c r="AC102" s="6" t="inlineStr">
        <is>
          <t>PARTLY ANSWERED - OPEN</t>
        </is>
      </c>
      <c r="AD102" s="6" t="inlineStr">
        <is>
          <t>RE-CHARACTERISED</t>
        </is>
      </c>
      <c r="AE102" s="6" t="inlineStr">
        <is>
          <t>2026-10-19</t>
        </is>
      </c>
      <c r="AF102" s="6" t="inlineStr">
        <is>
          <t>v4-03 sections 5-6; CH-0045..0057; RV-0005</t>
        </is>
      </c>
      <c r="AG102" s="6" t="inlineStr"/>
      <c r="AH102" s="6" t="inlineStr">
        <is>
          <t>No</t>
        </is>
      </c>
      <c r="AI102" s="6" t="inlineStr"/>
      <c r="AJ102" s="6" t="inlineStr">
        <is>
          <t>SRC-11 canonical</t>
        </is>
      </c>
      <c r="AK102" s="6" t="inlineStr">
        <is>
          <t>SRC-06 C01-C06, v4-03 residuals</t>
        </is>
      </c>
      <c r="AL102" s="6" t="inlineStr">
        <is>
          <t>S09</t>
        </is>
      </c>
    </row>
    <row r="103" ht="278" customHeight="1">
      <c r="A103" s="5" t="inlineStr">
        <is>
          <t>C-R01/FIG2</t>
        </is>
      </c>
      <c r="B103" s="6" t="inlineStr">
        <is>
          <t>Figure 2 has no path to the outcome for a Regime B run with no declared margin</t>
        </is>
      </c>
      <c r="C103" s="6" t="inlineStr">
        <is>
          <t>PARTLY ANSWERED</t>
        </is>
      </c>
      <c r="D103" s="6">
        <f>IFERROR(INDEX(Lists!$B$2:$B$14,MATCH(C103,Lists!$A$2:$A$14,0)),"?")</f>
        <v/>
      </c>
      <c r="E103" s="6">
        <f>IF(COUNTIFS(Links!$B$2:$B$600,A103,Links!$E$2:$E$600,"Yes")&gt;0,"REVISE","")</f>
        <v/>
      </c>
      <c r="F103" s="6">
        <f>COUNTIFS(Links!$B$2:$B$600,A103,Links!$D$2:$D$600,"No",Links!$C$2:$C$600,"&lt;&gt;INFORMS")</f>
        <v/>
      </c>
      <c r="G103" s="8" t="inlineStr">
        <is>
          <t>RECORDS-AT-HAND</t>
        </is>
      </c>
      <c r="H103" s="6" t="inlineStr">
        <is>
          <t>K17 Record repair &amp; procedure error</t>
        </is>
      </c>
      <c r="I103" s="6" t="inlineStr">
        <is>
          <t>G1 Before any implementation</t>
        </is>
      </c>
      <c r="J103" s="6" t="inlineStr">
        <is>
          <t>High</t>
        </is>
      </c>
      <c r="K103" s="6" t="n">
        <v>136</v>
      </c>
      <c r="L103" s="6" t="inlineStr">
        <is>
          <t>W2 Desk work (no model runs)</t>
        </is>
      </c>
      <c r="M103" s="6" t="inlineStr">
        <is>
          <t>S15</t>
        </is>
      </c>
      <c r="N103" s="6" t="inlineStr">
        <is>
          <t>Lead drafts, you approve</t>
        </is>
      </c>
      <c r="O103" s="6" t="inlineStr">
        <is>
          <t>You render the block in VS Code and approve or correct it; your approval (in your words) closes this row</t>
        </is>
      </c>
      <c r="P103" s="6" t="inlineStr">
        <is>
          <t>Answered (see basis)</t>
        </is>
      </c>
      <c r="Q103" s="6" t="inlineStr">
        <is>
          <t>Record fix</t>
        </is>
      </c>
      <c r="R103" s="6" t="inlineStr">
        <is>
          <t>Sub-item</t>
        </is>
      </c>
      <c r="S103" s="6" t="inlineStr">
        <is>
          <t>C-R01/V4RES</t>
        </is>
      </c>
      <c r="T103"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103"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103" s="6" t="inlineStr">
        <is>
          <t>Figure 2 (and the brief's copy, if any) has a path to O for every regime and outcome, re-read by a reviewer.</t>
        </is>
      </c>
      <c r="W103" s="6" t="inlineStr"/>
      <c r="X103" s="6" t="inlineStr"/>
      <c r="Y103" s="6" t="inlineStr"/>
      <c r="Z103" s="6" t="inlineStr"/>
      <c r="AA103" s="6" t="inlineStr"/>
      <c r="AB103" s="6" t="inlineStr">
        <is>
          <t>RECORD+DEC</t>
        </is>
      </c>
      <c r="AC103" s="6" t="inlineStr">
        <is>
          <t>n/a (sub-item)</t>
        </is>
      </c>
      <c r="AD103" s="6" t="inlineStr">
        <is>
          <t>NEW (repo sweep)</t>
        </is>
      </c>
      <c r="AE103" s="6" t="inlineStr">
        <is>
          <t>2026-10-20</t>
        </is>
      </c>
      <c r="AF103" s="6" t="inlineStr">
        <is>
          <t>design/package-v4/06-corrections-proposed.md section 1; reviews/RV-0011.md</t>
        </is>
      </c>
      <c r="AG103" s="6" t="inlineStr"/>
      <c r="AH103" s="6" t="inlineStr">
        <is>
          <t>No (editing needs the human's approval)</t>
        </is>
      </c>
      <c r="AI103" s="6" t="inlineStr"/>
      <c r="AJ103" s="6" t="inlineStr">
        <is>
          <t>RV-0009 (Reviewer 6b1), confirmed by the lead</t>
        </is>
      </c>
      <c r="AK103" s="6" t="inlineStr"/>
      <c r="AL103" s="6" t="inlineStr">
        <is>
          <t>S15</t>
        </is>
      </c>
    </row>
    <row r="104" ht="165.5" customHeight="1">
      <c r="A104" s="5" t="inlineStr">
        <is>
          <t>C-R01/FIG2-POINTS</t>
        </is>
      </c>
      <c r="B104" s="6" t="inlineStr">
        <is>
          <t>Four design points the Figure 2 check left unresolved: expose-all in the feasible set, option (b), Regime B decision rule, the regime-size loop</t>
        </is>
      </c>
      <c r="C104" s="6" t="inlineStr">
        <is>
          <t>OPEN</t>
        </is>
      </c>
      <c r="D104" s="6">
        <f>IFERROR(INDEX(Lists!$B$2:$B$14,MATCH(C104,Lists!$A$2:$A$14,0)),"?")</f>
        <v/>
      </c>
      <c r="E104" s="6">
        <f>IF(COUNTIFS(Links!$B$2:$B$600,A104,Links!$E$2:$E$600,"Yes")&gt;0,"REVISE","")</f>
        <v/>
      </c>
      <c r="F104" s="6">
        <f>COUNTIFS(Links!$B$2:$B$600,A104,Links!$D$2:$D$600,"No",Links!$C$2:$C$600,"&lt;&gt;INFORMS")</f>
        <v/>
      </c>
      <c r="G104" s="9" t="inlineStr">
        <is>
          <t>USER-DECISION</t>
        </is>
      </c>
      <c r="H104" s="6" t="inlineStr">
        <is>
          <t>K17 Record repair &amp; procedure error</t>
        </is>
      </c>
      <c r="I104" s="6" t="inlineStr">
        <is>
          <t>G1 Before any implementation</t>
        </is>
      </c>
      <c r="J104" s="6" t="inlineStr">
        <is>
          <t>Normal</t>
        </is>
      </c>
      <c r="K104" s="6" t="n">
        <v>137</v>
      </c>
      <c r="L104" s="6" t="inlineStr">
        <is>
          <t>W2 Desk work (no model runs)</t>
        </is>
      </c>
      <c r="M104" s="6" t="inlineStr">
        <is>
          <t>S15</t>
        </is>
      </c>
      <c r="N104" s="6" t="inlineStr">
        <is>
          <t>You (or Joaa)</t>
        </is>
      </c>
      <c r="O104" s="6" t="inlineStr">
        <is>
          <t>You or Joaa decide the four points, or say they stay open</t>
        </is>
      </c>
      <c r="P104" s="6" t="inlineStr">
        <is>
          <t>Partly</t>
        </is>
      </c>
      <c r="Q104" s="6" t="inlineStr">
        <is>
          <t>Decision</t>
        </is>
      </c>
      <c r="R104" s="6" t="inlineStr">
        <is>
          <t>Sub-item</t>
        </is>
      </c>
      <c r="S104" s="6" t="inlineStr">
        <is>
          <t>C-R01/FIG2</t>
        </is>
      </c>
      <c r="T104"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104" s="6" t="inlineStr">
        <is>
          <t>Found by a fresh reviewer on 2026-10-20; the sources do not settle (a) to (c); (d) is unchanged from the earlier figure. The drafted replacement draws exits the sources support and says in its text that these four points are open.</t>
        </is>
      </c>
      <c r="V104" s="6" t="inlineStr">
        <is>
          <t>Each point decided in the human's or the supervisor's words, or recorded as open.</t>
        </is>
      </c>
      <c r="W104" s="6" t="inlineStr"/>
      <c r="X104" s="6" t="inlineStr"/>
      <c r="Y104" s="6" t="inlineStr"/>
      <c r="Z104" s="6" t="inlineStr"/>
      <c r="AA104" s="6" t="inlineStr"/>
      <c r="AB104" s="6" t="inlineStr">
        <is>
          <t>RECORD+DEC</t>
        </is>
      </c>
      <c r="AC104" s="6" t="inlineStr">
        <is>
          <t>n/a (sub-item)</t>
        </is>
      </c>
      <c r="AD104" s="6" t="inlineStr">
        <is>
          <t>NEW (repo sweep)</t>
        </is>
      </c>
      <c r="AE104" s="6" t="inlineStr">
        <is>
          <t>2026-10-20</t>
        </is>
      </c>
      <c r="AF104" s="6" t="inlineStr">
        <is>
          <t>reviews/RV-0011.md (1c, 1b, 1e); design/package-v4/06-corrections-proposed.md section 1</t>
        </is>
      </c>
      <c r="AG104" s="6" t="inlineStr"/>
      <c r="AH104" s="6" t="inlineStr">
        <is>
          <t>No</t>
        </is>
      </c>
      <c r="AI104" s="6" t="inlineStr"/>
      <c r="AJ104" s="6" t="inlineStr">
        <is>
          <t>RV-0011 (batch 11)</t>
        </is>
      </c>
      <c r="AK104" s="6" t="inlineStr"/>
      <c r="AL104" s="6" t="inlineStr">
        <is>
          <t>S15</t>
        </is>
      </c>
    </row>
    <row r="105" ht="203" customHeight="1">
      <c r="A105" s="5" t="inlineStr">
        <is>
          <t>C-R01/R1TRIG</t>
        </is>
      </c>
      <c r="B105" s="6" t="inlineStr">
        <is>
          <t>A trigger can re-fire on every finish proposal when the budget is exhausted</t>
        </is>
      </c>
      <c r="C105" s="6" t="inlineStr">
        <is>
          <t>PARTLY ANSWERED</t>
        </is>
      </c>
      <c r="D105" s="6">
        <f>IFERROR(INDEX(Lists!$B$2:$B$14,MATCH(C105,Lists!$A$2:$A$14,0)),"?")</f>
        <v/>
      </c>
      <c r="E105" s="6">
        <f>IF(COUNTIFS(Links!$B$2:$B$600,A105,Links!$E$2:$E$600,"Yes")&gt;0,"REVISE","")</f>
        <v/>
      </c>
      <c r="F105" s="6">
        <f>COUNTIFS(Links!$B$2:$B$600,A105,Links!$D$2:$D$600,"No",Links!$C$2:$C$600,"&lt;&gt;INFORMS")</f>
        <v/>
      </c>
      <c r="G105" s="8" t="inlineStr">
        <is>
          <t>RECORDS-AT-HAND</t>
        </is>
      </c>
      <c r="H105" s="6" t="inlineStr">
        <is>
          <t>K17 Record repair &amp; procedure error</t>
        </is>
      </c>
      <c r="I105" s="6" t="inlineStr">
        <is>
          <t>G2 Before the affected pilot/arm</t>
        </is>
      </c>
      <c r="J105" s="6" t="inlineStr">
        <is>
          <t>Normal</t>
        </is>
      </c>
      <c r="K105" s="6" t="n">
        <v>138</v>
      </c>
      <c r="L105" s="6" t="inlineStr">
        <is>
          <t>W2 Desk work (no model runs)</t>
        </is>
      </c>
      <c r="M105" s="6" t="inlineStr">
        <is>
          <t>S15</t>
        </is>
      </c>
      <c r="N105" s="6" t="inlineStr">
        <is>
          <t>Lead drafts, you approve</t>
        </is>
      </c>
      <c r="O105" s="6" t="inlineStr">
        <is>
          <t>You or Joaa choose (a), (b) or (c)</t>
        </is>
      </c>
      <c r="P105" s="6" t="inlineStr">
        <is>
          <t>Answered (see basis)</t>
        </is>
      </c>
      <c r="Q105" s="6" t="inlineStr">
        <is>
          <t>Record fix</t>
        </is>
      </c>
      <c r="R105" s="6" t="inlineStr">
        <is>
          <t>Sub-item</t>
        </is>
      </c>
      <c r="S105" s="6" t="inlineStr">
        <is>
          <t>C-R01/V4RES</t>
        </is>
      </c>
      <c r="T105" s="6" t="inlineStr">
        <is>
          <t>RV-0009 R1 residual: P3/P3f 'yes' still goes to B and B 'no' still returns 'unavailable' to A (02 lines 24, 28, 33), so a trigger can fire on every finish proposal until the call limit; neither 02 nor 03 says what happens when the budget is exhausted.</t>
        </is>
      </c>
      <c r="U105"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105" s="6" t="inlineStr">
        <is>
          <t>The protocol states what the trigger does after the call limit is reached.</t>
        </is>
      </c>
      <c r="W105" s="6" t="inlineStr"/>
      <c r="X105" s="6" t="inlineStr"/>
      <c r="Y105" s="6" t="inlineStr"/>
      <c r="Z105" s="6" t="inlineStr"/>
      <c r="AA105" s="6" t="inlineStr"/>
      <c r="AB105" s="6" t="inlineStr">
        <is>
          <t>RECORD+DEC</t>
        </is>
      </c>
      <c r="AC105" s="6" t="inlineStr">
        <is>
          <t>n/a (sub-item)</t>
        </is>
      </c>
      <c r="AD105" s="6" t="inlineStr">
        <is>
          <t>NEW (repo sweep)</t>
        </is>
      </c>
      <c r="AE105" s="6" t="inlineStr">
        <is>
          <t>2026-10-20</t>
        </is>
      </c>
      <c r="AF105" s="6" t="inlineStr">
        <is>
          <t>design/package-v4/06-corrections-proposed.md section 2; reviews/RV-0012.md</t>
        </is>
      </c>
      <c r="AG105" s="6" t="inlineStr"/>
      <c r="AH105" s="6" t="inlineStr">
        <is>
          <t>No (editing needs the human's approval)</t>
        </is>
      </c>
      <c r="AI105" s="6" t="inlineStr"/>
      <c r="AJ105" s="6" t="inlineStr">
        <is>
          <t>RV-0009 (Reviewer 6b1)</t>
        </is>
      </c>
      <c r="AK105" s="6" t="inlineStr"/>
      <c r="AL105" s="6" t="inlineStr">
        <is>
          <t>S15</t>
        </is>
      </c>
    </row>
    <row r="106" ht="300" customHeight="1">
      <c r="A106" s="5" t="inlineStr">
        <is>
          <t>C-R01/RENDER</t>
        </is>
      </c>
      <c r="B106" s="6" t="inlineStr">
        <is>
          <t>Mermaid figures were never rendered</t>
        </is>
      </c>
      <c r="C106" s="6" t="inlineStr">
        <is>
          <t>PARTLY ANSWERED</t>
        </is>
      </c>
      <c r="D106" s="6">
        <f>IFERROR(INDEX(Lists!$B$2:$B$14,MATCH(C106,Lists!$A$2:$A$14,0)),"?")</f>
        <v/>
      </c>
      <c r="E106" s="6">
        <f>IF(COUNTIFS(Links!$B$2:$B$600,A106,Links!$E$2:$E$600,"Yes")&gt;0,"REVISE","")</f>
        <v/>
      </c>
      <c r="F106" s="6">
        <f>COUNTIFS(Links!$B$2:$B$600,A106,Links!$D$2:$D$600,"No",Links!$C$2:$C$600,"&lt;&gt;INFORMS")</f>
        <v/>
      </c>
      <c r="G106" s="8" t="inlineStr">
        <is>
          <t>RECORDS-AT-HAND</t>
        </is>
      </c>
      <c r="H106" s="6" t="inlineStr">
        <is>
          <t>K17 Record repair &amp; procedure error</t>
        </is>
      </c>
      <c r="I106" s="6" t="inlineStr">
        <is>
          <t>G4 Before claims</t>
        </is>
      </c>
      <c r="J106" s="6" t="inlineStr">
        <is>
          <t>Normal</t>
        </is>
      </c>
      <c r="K106" s="6" t="n">
        <v>139</v>
      </c>
      <c r="L106" s="6" t="inlineStr">
        <is>
          <t>W2 Desk work (no model runs)</t>
        </is>
      </c>
      <c r="M106" s="6" t="inlineStr">
        <is>
          <t>S15</t>
        </is>
      </c>
      <c r="N106" s="6" t="inlineStr">
        <is>
          <t>You (render in VS Code); lead (concept check)</t>
        </is>
      </c>
      <c r="O106" s="6" t="inlineStr">
        <is>
          <t>Lead fixes the concept defects in the successor note; you render the figures in VS Code and report anything that looks wrong</t>
        </is>
      </c>
      <c r="P106" s="6" t="inlineStr">
        <is>
          <t>No</t>
        </is>
      </c>
      <c r="Q106" s="6" t="inlineStr">
        <is>
          <t>Record fix</t>
        </is>
      </c>
      <c r="R106" s="6" t="inlineStr">
        <is>
          <t>Sub-item</t>
        </is>
      </c>
      <c r="S106" s="6" t="inlineStr">
        <is>
          <t>C-R01</t>
        </is>
      </c>
      <c r="T106" s="6" t="inlineStr">
        <is>
          <t>No renderer was installed; Figure 1 and 2 syntax is unverified.</t>
        </is>
      </c>
      <c r="U106"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106" s="6" t="inlineStr">
        <is>
          <t>Checked and corrected or labelled unverifiable: labelled unverifiable; your acceptance pending.</t>
        </is>
      </c>
      <c r="W106" s="6" t="inlineStr"/>
      <c r="X106" s="6" t="inlineStr"/>
      <c r="Y106" s="6" t="inlineStr"/>
      <c r="Z106" s="6" t="inlineStr"/>
      <c r="AA106" s="6" t="inlineStr"/>
      <c r="AB106" s="6" t="inlineStr">
        <is>
          <t>RECORD+SOURCE</t>
        </is>
      </c>
      <c r="AC106" s="6" t="inlineStr">
        <is>
          <t>n/a (sub-item)</t>
        </is>
      </c>
      <c r="AD106" s="6" t="inlineStr">
        <is>
          <t>NEW (repo sweep)</t>
        </is>
      </c>
      <c r="AE106" s="6" t="inlineStr">
        <is>
          <t>2026-10-20</t>
        </is>
      </c>
      <c r="AF106" s="6" t="inlineStr">
        <is>
          <t>chat message of 2026-10-20; RV-0009</t>
        </is>
      </c>
      <c r="AG106" s="6" t="inlineStr"/>
      <c r="AH106" s="6" t="inlineStr">
        <is>
          <t>No</t>
        </is>
      </c>
      <c r="AI106" s="6" t="inlineStr">
        <is>
          <t>Rendering unverified; to be accepted as a stated limitation or checked by the human in any Mermaid viewer.</t>
        </is>
      </c>
      <c r="AJ106" s="6" t="inlineStr">
        <is>
          <t>repo: v4-03 section 6 / RV-0005 / RV-0007</t>
        </is>
      </c>
      <c r="AK106" s="6" t="inlineStr"/>
      <c r="AL106" s="6" t="inlineStr">
        <is>
          <t>S15</t>
        </is>
      </c>
    </row>
    <row r="107" ht="165.5" customHeight="1">
      <c r="A107" s="5" t="inlineStr">
        <is>
          <t>C-R01/V4-03-STALE</t>
        </is>
      </c>
      <c r="B107" s="6" t="inlineStr">
        <is>
          <t>Stale wording in v4 03 that conflicts with the corrected stage-inclusion rule</t>
        </is>
      </c>
      <c r="C107" s="6" t="inlineStr">
        <is>
          <t>PARTLY ANSWERED</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K17 Record repair &amp; procedure error</t>
        </is>
      </c>
      <c r="I107" s="6" t="inlineStr">
        <is>
          <t>G4 Before claims</t>
        </is>
      </c>
      <c r="J107" s="6" t="inlineStr">
        <is>
          <t>Normal</t>
        </is>
      </c>
      <c r="K107" s="6" t="n">
        <v>140</v>
      </c>
      <c r="L107" s="6" t="inlineStr">
        <is>
          <t>W2 Desk work (no model runs)</t>
        </is>
      </c>
      <c r="M107" s="6" t="inlineStr">
        <is>
          <t>S15</t>
        </is>
      </c>
      <c r="N107" s="6" t="inlineStr">
        <is>
          <t>Lead drafts, you approve</t>
        </is>
      </c>
      <c r="O107" s="6" t="inlineStr">
        <is>
          <t>You approve the replacement sentences</t>
        </is>
      </c>
      <c r="P107" s="6" t="inlineStr">
        <is>
          <t>Answered (see basis)</t>
        </is>
      </c>
      <c r="Q107" s="6" t="inlineStr">
        <is>
          <t>Record fix</t>
        </is>
      </c>
      <c r="R107" s="6" t="inlineStr">
        <is>
          <t>Sub-item</t>
        </is>
      </c>
      <c r="S107" s="6" t="inlineStr">
        <is>
          <t>C-R01/V4RES</t>
        </is>
      </c>
      <c r="T107"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107"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107" s="6" t="inlineStr">
        <is>
          <t>03 states the same stage-inclusion rule as 02, or a successor note records the difference.</t>
        </is>
      </c>
      <c r="W107" s="6" t="inlineStr"/>
      <c r="X107" s="6" t="inlineStr"/>
      <c r="Y107" s="6" t="inlineStr"/>
      <c r="Z107" s="6" t="inlineStr"/>
      <c r="AA107" s="6" t="inlineStr"/>
      <c r="AB107" s="6" t="inlineStr">
        <is>
          <t>RECORD+DEC</t>
        </is>
      </c>
      <c r="AC107" s="6" t="inlineStr">
        <is>
          <t>n/a (sub-item)</t>
        </is>
      </c>
      <c r="AD107" s="6" t="inlineStr">
        <is>
          <t>NEW (repo sweep)</t>
        </is>
      </c>
      <c r="AE107" s="6" t="inlineStr">
        <is>
          <t>2026-10-20</t>
        </is>
      </c>
      <c r="AF107" s="6" t="inlineStr">
        <is>
          <t>design/package-v4/06-corrections-proposed.md section 3 rows 3.1-3.4; reviews/RV-0012.md</t>
        </is>
      </c>
      <c r="AG107" s="6" t="inlineStr"/>
      <c r="AH107" s="6" t="inlineStr">
        <is>
          <t>No (editing needs the human's approval)</t>
        </is>
      </c>
      <c r="AI107" s="6" t="inlineStr"/>
      <c r="AJ107" s="6" t="inlineStr">
        <is>
          <t>RV-0009 (Reviewer 6b1)</t>
        </is>
      </c>
      <c r="AK107" s="6" t="inlineStr"/>
      <c r="AL107" s="6" t="inlineStr">
        <is>
          <t>S15</t>
        </is>
      </c>
    </row>
    <row r="108" ht="128" customHeight="1">
      <c r="A108" s="5" t="inlineStr">
        <is>
          <t>C-R03</t>
        </is>
      </c>
      <c r="B108" s="6" t="inlineStr">
        <is>
          <t>v3 artefacts not independently verified: simulation not rerun, single challenger, summaries unverified, par...</t>
        </is>
      </c>
      <c r="C108" s="6" t="inlineStr">
        <is>
          <t>PARTLY ANSWERED</t>
        </is>
      </c>
      <c r="D108" s="6">
        <f>IFERROR(INDEX(Lists!$B$2:$B$14,MATCH(C108,Lists!$A$2:$A$14,0)),"?")</f>
        <v/>
      </c>
      <c r="E108" s="6">
        <f>IF(COUNTIFS(Links!$B$2:$B$600,A108,Links!$E$2:$E$600,"Yes")&gt;0,"REVISE","")</f>
        <v/>
      </c>
      <c r="F108" s="6">
        <f>COUNTIFS(Links!$B$2:$B$600,A108,Links!$D$2:$D$600,"No",Links!$C$2:$C$600,"&lt;&gt;INFORMS")</f>
        <v/>
      </c>
      <c r="G108" s="8" t="inlineStr">
        <is>
          <t>RECORDS-AT-HAND</t>
        </is>
      </c>
      <c r="H108" s="6" t="inlineStr">
        <is>
          <t>K17 Record repair &amp; procedure error</t>
        </is>
      </c>
      <c r="I108" s="6" t="inlineStr">
        <is>
          <t>G4 Before claims</t>
        </is>
      </c>
      <c r="J108" s="6" t="inlineStr">
        <is>
          <t>Normal</t>
        </is>
      </c>
      <c r="K108" s="6" t="n">
        <v>142</v>
      </c>
      <c r="L108" s="6" t="inlineStr">
        <is>
          <t>W2 Desk work (no model runs)</t>
        </is>
      </c>
      <c r="M108" s="6" t="inlineStr">
        <is>
          <t>S15</t>
        </is>
      </c>
      <c r="N108" s="6" t="inlineStr">
        <is>
          <t>Lead + fresh reviewer</t>
        </is>
      </c>
      <c r="O108" s="6" t="inlineStr">
        <is>
          <t>Rerun the simulation if its outputs are quoted (see C-R03/C20)</t>
        </is>
      </c>
      <c r="P108" s="6" t="inlineStr">
        <is>
          <t>Partly</t>
        </is>
      </c>
      <c r="Q108" s="6" t="inlineStr">
        <is>
          <t>Record fix</t>
        </is>
      </c>
      <c r="R108" s="6" t="inlineStr">
        <is>
          <t>Item</t>
        </is>
      </c>
      <c r="S108" s="6" t="inlineStr"/>
      <c r="T108" s="6" t="inlineStr">
        <is>
          <t>v3 artefacts not independently verified: simulation not rerun, single challenger, summaries unverified, partly supported pivotal passages.</t>
        </is>
      </c>
      <c r="U108"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08" s="6" t="inlineStr">
        <is>
          <t>Each artifact verified or labelled; stale counts fixed.</t>
        </is>
      </c>
      <c r="W108" s="6" t="inlineStr"/>
      <c r="X108" s="6" t="inlineStr"/>
      <c r="Y108" s="6" t="inlineStr"/>
      <c r="Z108" s="6" t="inlineStr">
        <is>
          <t>DESK-ANALYSIS, SOURCE-REREAD</t>
        </is>
      </c>
      <c r="AA108" s="6" t="inlineStr">
        <is>
          <t>K14 Source &amp; vendor verification</t>
        </is>
      </c>
      <c r="AB108" s="6" t="inlineStr">
        <is>
          <t>RECORD+SOURCE+DATA</t>
        </is>
      </c>
      <c r="AC108" s="6" t="inlineStr">
        <is>
          <t>OPEN</t>
        </is>
      </c>
      <c r="AD108" s="6" t="inlineStr">
        <is>
          <t>UNCHANGED</t>
        </is>
      </c>
      <c r="AE108" s="6" t="inlineStr">
        <is>
          <t>2026-10-19</t>
        </is>
      </c>
      <c r="AF108" s="6" t="inlineStr">
        <is>
          <t>RV-0008 (reviews/RV-0008.md), thread T-20261019-104; RV-0009 (reviews/RV-0009.md), thread T-20261019-104; RV-0010 (reviews/RV-0010.md), thread T-20261019-104</t>
        </is>
      </c>
      <c r="AG108" s="6" t="inlineStr"/>
      <c r="AH108" s="6" t="inlineStr">
        <is>
          <t>No</t>
        </is>
      </c>
      <c r="AI108" s="6" t="inlineStr"/>
      <c r="AJ108" s="6" t="inlineStr">
        <is>
          <t>SRC-11 canonical</t>
        </is>
      </c>
      <c r="AK108" s="6" t="inlineStr">
        <is>
          <t>SRC-06 C20-C27</t>
        </is>
      </c>
      <c r="AL108" s="6" t="inlineStr">
        <is>
          <t>S15</t>
        </is>
      </c>
    </row>
    <row r="109" ht="28" customHeight="1">
      <c r="A109" s="5" t="inlineStr">
        <is>
          <t>C-R03/C20</t>
        </is>
      </c>
      <c r="B109" s="6" t="inlineStr">
        <is>
          <t>No computational rerun of the simulation/limits</t>
        </is>
      </c>
      <c r="C109" s="6" t="inlineStr">
        <is>
          <t>OPEN</t>
        </is>
      </c>
      <c r="D109" s="6">
        <f>IFERROR(INDEX(Lists!$B$2:$B$14,MATCH(C109,Lists!$A$2:$A$14,0)),"?")</f>
        <v/>
      </c>
      <c r="E109" s="6">
        <f>IF(COUNTIFS(Links!$B$2:$B$600,A109,Links!$E$2:$E$600,"Yes")&gt;0,"REVISE","")</f>
        <v/>
      </c>
      <c r="F109" s="6">
        <f>COUNTIFS(Links!$B$2:$B$600,A109,Links!$D$2:$D$600,"No",Links!$C$2:$C$600,"&lt;&gt;INFORMS")</f>
        <v/>
      </c>
      <c r="G109" s="13" t="inlineStr">
        <is>
          <t>DESK-ANALYSIS</t>
        </is>
      </c>
      <c r="H109" s="6" t="inlineStr">
        <is>
          <t>K17 Record repair &amp; procedure error</t>
        </is>
      </c>
      <c r="I109" s="6" t="inlineStr">
        <is>
          <t>G4 Before claims</t>
        </is>
      </c>
      <c r="J109" s="6" t="inlineStr">
        <is>
          <t>Normal</t>
        </is>
      </c>
      <c r="K109" s="6" t="n">
        <v>143</v>
      </c>
      <c r="L109" s="6" t="inlineStr">
        <is>
          <t>W2 Desk work (no model runs)</t>
        </is>
      </c>
      <c r="M109" s="6" t="inlineStr">
        <is>
          <t>S15</t>
        </is>
      </c>
      <c r="N109" s="6" t="inlineStr">
        <is>
          <t>Lead + fresh reviewer</t>
        </is>
      </c>
      <c r="O109" s="6" t="inlineStr">
        <is>
          <t>Lead computes or writes it (no model runs)</t>
        </is>
      </c>
      <c r="P109" s="6" t="inlineStr">
        <is>
          <t>No</t>
        </is>
      </c>
      <c r="Q109" s="6" t="inlineStr">
        <is>
          <t>Scientific unknown</t>
        </is>
      </c>
      <c r="R109" s="6" t="inlineStr">
        <is>
          <t>Sub-item</t>
        </is>
      </c>
      <c r="S109" s="6" t="inlineStr">
        <is>
          <t>C-R03</t>
        </is>
      </c>
      <c r="T109" s="6" t="inlineStr">
        <is>
          <t>SRC-06 C20: the v3 greedy-core simulation and limits were not computationally re-run.</t>
        </is>
      </c>
      <c r="U109" s="6" t="inlineStr">
        <is>
          <t>Not rerun in the repo.</t>
        </is>
      </c>
      <c r="V109" s="6" t="inlineStr">
        <is>
          <t>Simulation rerun and results compared.</t>
        </is>
      </c>
      <c r="W109" s="6" t="inlineStr"/>
      <c r="X109" s="6" t="inlineStr"/>
      <c r="Y109" s="6" t="inlineStr">
        <is>
          <t>Q-U26</t>
        </is>
      </c>
      <c r="Z109" s="6" t="inlineStr"/>
      <c r="AA109" s="6" t="inlineStr"/>
      <c r="AB109" s="6" t="inlineStr">
        <is>
          <t>RECORD+DATA</t>
        </is>
      </c>
      <c r="AC109" s="6" t="inlineStr">
        <is>
          <t>n/a (sub-item)</t>
        </is>
      </c>
      <c r="AD109" s="6" t="inlineStr">
        <is>
          <t>NEW (SRC-11 sub-row)</t>
        </is>
      </c>
      <c r="AE109" s="6" t="inlineStr">
        <is>
          <t>2026-10-19</t>
        </is>
      </c>
      <c r="AF109" s="6" t="inlineStr">
        <is>
          <t>v4-03 section 3 ('not re-derived')</t>
        </is>
      </c>
      <c r="AG109" s="6" t="inlineStr"/>
      <c r="AH109" s="6" t="inlineStr">
        <is>
          <t>No</t>
        </is>
      </c>
      <c r="AI109" s="6" t="inlineStr"/>
      <c r="AJ109" s="6" t="inlineStr">
        <is>
          <t>SRC-11 section D4</t>
        </is>
      </c>
      <c r="AK109" s="6" t="inlineStr">
        <is>
          <t>SRC-06 C20</t>
        </is>
      </c>
      <c r="AL109" s="6" t="inlineStr">
        <is>
          <t>S15</t>
        </is>
      </c>
    </row>
    <row r="110" ht="28" customHeight="1">
      <c r="A110" s="5" t="inlineStr">
        <is>
          <t>C-R03/C21</t>
        </is>
      </c>
      <c r="B110" s="6" t="inlineStr">
        <is>
          <t>Only one challenger</t>
        </is>
      </c>
      <c r="C110" s="6" t="inlineStr">
        <is>
          <t>OPEN</t>
        </is>
      </c>
      <c r="D110" s="6">
        <f>IFERROR(INDEX(Lists!$B$2:$B$14,MATCH(C110,Lists!$A$2:$A$14,0)),"?")</f>
        <v/>
      </c>
      <c r="E110" s="6">
        <f>IF(COUNTIFS(Links!$B$2:$B$600,A110,Links!$E$2:$E$600,"Yes")&gt;0,"REVISE","")</f>
        <v/>
      </c>
      <c r="F110" s="6">
        <f>COUNTIFS(Links!$B$2:$B$600,A110,Links!$D$2:$D$600,"No",Links!$C$2:$C$600,"&lt;&gt;INFORMS")</f>
        <v/>
      </c>
      <c r="G110" s="12" t="inlineStr">
        <is>
          <t>ACCEPT-LIMITATION</t>
        </is>
      </c>
      <c r="H110" s="6" t="inlineStr">
        <is>
          <t>K17 Record repair &amp; procedure error</t>
        </is>
      </c>
      <c r="I110" s="6" t="inlineStr">
        <is>
          <t>G4 Before claims</t>
        </is>
      </c>
      <c r="J110" s="6" t="inlineStr">
        <is>
          <t>Normal</t>
        </is>
      </c>
      <c r="K110" s="6" t="n">
        <v>144</v>
      </c>
      <c r="L110" s="6" t="inlineStr">
        <is>
          <t>W2 Desk work (no model runs)</t>
        </is>
      </c>
      <c r="M110" s="6" t="inlineStr">
        <is>
          <t>S15</t>
        </is>
      </c>
      <c r="N110" s="6" t="inlineStr">
        <is>
          <t>Lead + fresh reviewer</t>
        </is>
      </c>
      <c r="O110" s="6" t="inlineStr">
        <is>
          <t>You accept or reject the limit (Q-U20)</t>
        </is>
      </c>
      <c r="P110" s="6" t="inlineStr">
        <is>
          <t>Partly</t>
        </is>
      </c>
      <c r="Q110" s="6" t="inlineStr">
        <is>
          <t>Limitation</t>
        </is>
      </c>
      <c r="R110" s="6" t="inlineStr">
        <is>
          <t>Sub-item</t>
        </is>
      </c>
      <c r="S110" s="6" t="inlineStr">
        <is>
          <t>C-R03</t>
        </is>
      </c>
      <c r="T110" s="6" t="inlineStr">
        <is>
          <t>SRC-06 C21: only one challenger reviewed v3.</t>
        </is>
      </c>
      <c r="U110" s="6" t="inlineStr">
        <is>
          <t>Same model family on every review.</t>
        </is>
      </c>
      <c r="V110" s="6" t="inlineStr">
        <is>
          <t>Limitation stated, or a different-provider review.</t>
        </is>
      </c>
      <c r="W110" s="6" t="inlineStr"/>
      <c r="X110" s="6" t="inlineStr"/>
      <c r="Y110" s="6" t="inlineStr">
        <is>
          <t>Q-U20</t>
        </is>
      </c>
      <c r="Z110" s="6" t="inlineStr"/>
      <c r="AA110" s="6" t="inlineStr"/>
      <c r="AB110" s="6" t="inlineStr">
        <is>
          <t>RECORD+DATA</t>
        </is>
      </c>
      <c r="AC110" s="6" t="inlineStr">
        <is>
          <t>n/a (sub-item)</t>
        </is>
      </c>
      <c r="AD110" s="6" t="inlineStr">
        <is>
          <t>NEW (SRC-11 sub-row)</t>
        </is>
      </c>
      <c r="AE110" s="6" t="inlineStr">
        <is>
          <t>2026-10-19</t>
        </is>
      </c>
      <c r="AF110" s="6" t="inlineStr">
        <is>
          <t>v3-04 header; SAFEGUARDS row 12 (all Sonnet)</t>
        </is>
      </c>
      <c r="AG110" s="6" t="inlineStr"/>
      <c r="AH110" s="6" t="inlineStr">
        <is>
          <t>No</t>
        </is>
      </c>
      <c r="AI110" s="6" t="inlineStr"/>
      <c r="AJ110" s="6" t="inlineStr">
        <is>
          <t>SRC-11 section D4</t>
        </is>
      </c>
      <c r="AK110" s="6" t="inlineStr">
        <is>
          <t>SRC-06 C21</t>
        </is>
      </c>
      <c r="AL110" s="6" t="inlineStr">
        <is>
          <t>S15</t>
        </is>
      </c>
    </row>
    <row r="111" ht="278" customHeight="1">
      <c r="A111" s="5" t="inlineStr">
        <is>
          <t>C-R03/C22-RESID</t>
        </is>
      </c>
      <c r="B111" s="6" t="inlineStr">
        <is>
          <t>Edits that the AUTH-004 concessions promised but the proposal records still lack</t>
        </is>
      </c>
      <c r="C111" s="6" t="inlineStr">
        <is>
          <t>OPEN</t>
        </is>
      </c>
      <c r="D111" s="6">
        <f>IFERROR(INDEX(Lists!$B$2:$B$14,MATCH(C111,Lists!$A$2:$A$14,0)),"?")</f>
        <v/>
      </c>
      <c r="E111" s="6">
        <f>IF(COUNTIFS(Links!$B$2:$B$600,A111,Links!$E$2:$E$600,"Yes")&gt;0,"REVISE","")</f>
        <v/>
      </c>
      <c r="F111" s="6">
        <f>COUNTIFS(Links!$B$2:$B$600,A111,Links!$D$2:$D$600,"No",Links!$C$2:$C$600,"&lt;&gt;INFORMS")</f>
        <v/>
      </c>
      <c r="G111" s="8" t="inlineStr">
        <is>
          <t>RECORDS-AT-HAND</t>
        </is>
      </c>
      <c r="H111" s="6" t="inlineStr">
        <is>
          <t>K17 Record repair &amp; procedure error</t>
        </is>
      </c>
      <c r="I111" s="6" t="inlineStr">
        <is>
          <t>G5 Housekeeping / no block</t>
        </is>
      </c>
      <c r="J111" s="6" t="inlineStr">
        <is>
          <t>Low</t>
        </is>
      </c>
      <c r="K111" s="6" t="n">
        <v>146</v>
      </c>
      <c r="L111" s="6" t="inlineStr">
        <is>
          <t>W2 Desk work (no model runs)</t>
        </is>
      </c>
      <c r="M111" s="6" t="inlineStr">
        <is>
          <t>S15</t>
        </is>
      </c>
      <c r="N111" s="6" t="inlineStr">
        <is>
          <t>You (approve); the proposals' owner or a successor note</t>
        </is>
      </c>
      <c r="O111" s="6" t="inlineStr">
        <is>
          <t>You decide whether the earlier proposal records (DPR-0001 to DPR-0003, HYP-0002/0004/0005) are edited or a successor note records the residues; the live packages v3 and v4 were built on DPR-0004 and DPR-0005</t>
        </is>
      </c>
      <c r="P111" s="6" t="inlineStr">
        <is>
          <t>Answered (see basis)</t>
        </is>
      </c>
      <c r="Q111" s="6" t="inlineStr">
        <is>
          <t>Record fix</t>
        </is>
      </c>
      <c r="R111" s="6" t="inlineStr">
        <is>
          <t>Sub-item</t>
        </is>
      </c>
      <c r="S111" s="6" t="inlineStr">
        <is>
          <t>C-R03/C22</t>
        </is>
      </c>
      <c r="T111"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111" s="6" t="inlineStr">
        <is>
          <t>The substantive points of all 19 challenges were warranted; these are leftovers in earlier proposal records. FitText section 4.2, which several of them ask for, was read on 2026-10-20 (EXT-0224, EXT-0225, EXT-0226, see C-R03/C23).</t>
        </is>
      </c>
      <c r="V111" s="6" t="inlineStr">
        <is>
          <t>Each leftover edited, or recorded in a successor note, or accepted as superseded by DPR-0004 and DPR-0005 and the v3 and v4 packages.</t>
        </is>
      </c>
      <c r="W111" s="6" t="inlineStr"/>
      <c r="X111" s="6" t="inlineStr"/>
      <c r="Y111" s="6" t="inlineStr"/>
      <c r="Z111" s="6" t="inlineStr"/>
      <c r="AA111" s="6" t="inlineStr"/>
      <c r="AB111" s="6" t="inlineStr">
        <is>
          <t>RECORD</t>
        </is>
      </c>
      <c r="AC111" s="6" t="inlineStr">
        <is>
          <t>n/a (sub-item)</t>
        </is>
      </c>
      <c r="AD111" s="6" t="inlineStr">
        <is>
          <t>NEW (repo sweep)</t>
        </is>
      </c>
      <c r="AE111" s="6" t="inlineStr">
        <is>
          <t>2026-10-20</t>
        </is>
      </c>
      <c r="AF111" s="6" t="inlineStr">
        <is>
          <t>reviews/RV-0017.md, RV-0018.md, RV-0019.md (fresh reviewers, same model family; RV-0018 ended at its turn limit after CH-0016 and CH-0017 to CH-0019 were done in RV-0019; no shell, so no origin extraction runs)</t>
        </is>
      </c>
      <c r="AG111" s="6" t="inlineStr"/>
      <c r="AH111" s="6" t="inlineStr">
        <is>
          <t>No (editing earlier records needs your approval)</t>
        </is>
      </c>
      <c r="AI111" s="6" t="inlineStr"/>
      <c r="AJ111" s="6" t="inlineStr">
        <is>
          <t>RV-0017 to RV-0019 (batch 15b)</t>
        </is>
      </c>
      <c r="AK111" s="6" t="inlineStr"/>
      <c r="AL111" s="6" t="inlineStr">
        <is>
          <t>S15</t>
        </is>
      </c>
    </row>
    <row r="112" ht="300" customHeight="1">
      <c r="A112" s="5" t="inlineStr">
        <is>
          <t>C-R03/C23</t>
        </is>
      </c>
      <c r="B112" s="6" t="inlineStr">
        <is>
          <t>RV-0002 draft residues</t>
        </is>
      </c>
      <c r="C112" s="6" t="inlineStr">
        <is>
          <t>PARTLY ANSWERED</t>
        </is>
      </c>
      <c r="D112" s="6">
        <f>IFERROR(INDEX(Lists!$B$2:$B$14,MATCH(C112,Lists!$A$2:$A$14,0)),"?")</f>
        <v/>
      </c>
      <c r="E112" s="6">
        <f>IF(COUNTIFS(Links!$B$2:$B$600,A112,Links!$E$2:$E$600,"Yes")&gt;0,"REVISE","")</f>
        <v/>
      </c>
      <c r="F112" s="6">
        <f>COUNTIFS(Links!$B$2:$B$600,A112,Links!$D$2:$D$600,"No",Links!$C$2:$C$600,"&lt;&gt;INFORMS")</f>
        <v/>
      </c>
      <c r="G112" s="8" t="inlineStr">
        <is>
          <t>RECORDS-AT-HAND</t>
        </is>
      </c>
      <c r="H112" s="6" t="inlineStr">
        <is>
          <t>K17 Record repair &amp; procedure error</t>
        </is>
      </c>
      <c r="I112" s="6" t="inlineStr">
        <is>
          <t>G4 Before claims</t>
        </is>
      </c>
      <c r="J112" s="6" t="inlineStr">
        <is>
          <t>Normal</t>
        </is>
      </c>
      <c r="K112" s="6" t="n">
        <v>147</v>
      </c>
      <c r="L112" s="6" t="inlineStr">
        <is>
          <t>W2 Desk work (no model runs)</t>
        </is>
      </c>
      <c r="M112" s="6" t="inlineStr">
        <is>
          <t>S15</t>
        </is>
      </c>
      <c r="N112" s="6" t="inlineStr">
        <is>
          <t>Lead + fresh reviewer</t>
        </is>
      </c>
      <c r="O112" s="6" t="inlineStr">
        <is>
          <t>You decide whether the successor wording and the updated FitText sentences are recorded (a record edit)</t>
        </is>
      </c>
      <c r="P112" s="6" t="inlineStr">
        <is>
          <t>Partly</t>
        </is>
      </c>
      <c r="Q112" s="6" t="inlineStr">
        <is>
          <t>Record fix</t>
        </is>
      </c>
      <c r="R112" s="6" t="inlineStr">
        <is>
          <t>Sub-item</t>
        </is>
      </c>
      <c r="S112" s="6" t="inlineStr">
        <is>
          <t>C-R03</t>
        </is>
      </c>
      <c r="T112" s="6" t="inlineStr">
        <is>
          <t>SRC-06 C23: RV-0002 is a draft with residues.</t>
        </is>
      </c>
      <c r="U112"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112" s="6" t="inlineStr">
        <is>
          <t>RV-0002 finalised or marked superseded.</t>
        </is>
      </c>
      <c r="W112" s="6" t="inlineStr"/>
      <c r="X112" s="6" t="inlineStr"/>
      <c r="Y112" s="6" t="inlineStr"/>
      <c r="Z112" s="6" t="inlineStr"/>
      <c r="AA112" s="6" t="inlineStr"/>
      <c r="AB112" s="6" t="inlineStr">
        <is>
          <t>RECORD+DATA</t>
        </is>
      </c>
      <c r="AC112" s="6" t="inlineStr">
        <is>
          <t>n/a (sub-item)</t>
        </is>
      </c>
      <c r="AD112" s="6" t="inlineStr">
        <is>
          <t>NEW (SRC-11 sub-row)</t>
        </is>
      </c>
      <c r="AE112" s="6" t="inlineStr">
        <is>
          <t>2026-10-20</t>
        </is>
      </c>
      <c r="AF112" s="6" t="inlineStr">
        <is>
          <t>EXT-0224, EXT-0225, EXT-0226; reviews/RV-0017.md, RV-0018.md, RV-0019.md (fresh reviewers, same model family; RV-0018 ended at its turn limit after CH-0016 and CH-0017 to CH-0019 were done in RV-0019; no shell, so no origin extraction runs)</t>
        </is>
      </c>
      <c r="AG112" s="6" t="inlineStr"/>
      <c r="AH112" s="6" t="inlineStr">
        <is>
          <t>No</t>
        </is>
      </c>
      <c r="AI112" s="6" t="inlineStr"/>
      <c r="AJ112" s="6" t="inlineStr">
        <is>
          <t>SRC-11 section D4</t>
        </is>
      </c>
      <c r="AK112" s="6" t="inlineStr">
        <is>
          <t>SRC-06 C23</t>
        </is>
      </c>
      <c r="AL112" s="6" t="inlineStr">
        <is>
          <t>S15</t>
        </is>
      </c>
    </row>
    <row r="113" ht="115.5" customHeight="1">
      <c r="A113" s="5" t="inlineStr">
        <is>
          <t>C-R03/C24</t>
        </is>
      </c>
      <c r="B113" s="6" t="inlineStr">
        <is>
          <t>Propagation defects (agreed fixes not carried into operative text)</t>
        </is>
      </c>
      <c r="C113" s="6" t="inlineStr">
        <is>
          <t>PARTLY ANSWERED</t>
        </is>
      </c>
      <c r="D113" s="6">
        <f>IFERROR(INDEX(Lists!$B$2:$B$14,MATCH(C113,Lists!$A$2:$A$14,0)),"?")</f>
        <v/>
      </c>
      <c r="E113" s="6">
        <f>IF(COUNTIFS(Links!$B$2:$B$600,A113,Links!$E$2:$E$600,"Yes")&gt;0,"REVISE","")</f>
        <v/>
      </c>
      <c r="F113" s="6">
        <f>COUNTIFS(Links!$B$2:$B$600,A113,Links!$D$2:$D$600,"No",Links!$C$2:$C$600,"&lt;&gt;INFORMS")</f>
        <v/>
      </c>
      <c r="G113" s="8" t="inlineStr">
        <is>
          <t>RECORDS-AT-HAND</t>
        </is>
      </c>
      <c r="H113" s="6" t="inlineStr">
        <is>
          <t>K17 Record repair &amp; procedure error</t>
        </is>
      </c>
      <c r="I113" s="6" t="inlineStr">
        <is>
          <t>G4 Before claims</t>
        </is>
      </c>
      <c r="J113" s="6" t="inlineStr">
        <is>
          <t>Normal</t>
        </is>
      </c>
      <c r="K113" s="6" t="n">
        <v>148</v>
      </c>
      <c r="L113" s="6" t="inlineStr">
        <is>
          <t>W2 Desk work (no model runs)</t>
        </is>
      </c>
      <c r="M113" s="6" t="inlineStr">
        <is>
          <t>S15</t>
        </is>
      </c>
      <c r="N113" s="6" t="inlineStr">
        <is>
          <t>Lead + fresh reviewer</t>
        </is>
      </c>
      <c r="O113" s="6" t="inlineStr">
        <is>
          <t>Operative wording to be verified per record when the successor notes are drafted</t>
        </is>
      </c>
      <c r="P113" s="6" t="inlineStr">
        <is>
          <t>Partly</t>
        </is>
      </c>
      <c r="Q113" s="6" t="inlineStr">
        <is>
          <t>Record fix</t>
        </is>
      </c>
      <c r="R113" s="6" t="inlineStr">
        <is>
          <t>Sub-item</t>
        </is>
      </c>
      <c r="S113" s="6" t="inlineStr">
        <is>
          <t>C-R03</t>
        </is>
      </c>
      <c r="T113" s="6" t="inlineStr">
        <is>
          <t>SRC-06 C24: agreed fixes were not carried into the operative text of several records.</t>
        </is>
      </c>
      <c r="U113"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13" s="6" t="inlineStr">
        <is>
          <t>Operative wording verified per record.</t>
        </is>
      </c>
      <c r="W113" s="6" t="inlineStr"/>
      <c r="X113" s="6" t="inlineStr"/>
      <c r="Y113" s="6" t="inlineStr"/>
      <c r="Z113" s="6" t="inlineStr"/>
      <c r="AA113" s="6" t="inlineStr"/>
      <c r="AB113" s="6" t="inlineStr">
        <is>
          <t>RECORD+DATA</t>
        </is>
      </c>
      <c r="AC113" s="6" t="inlineStr">
        <is>
          <t>n/a (sub-item)</t>
        </is>
      </c>
      <c r="AD113" s="6" t="inlineStr">
        <is>
          <t>NEW (SRC-11 sub-row)</t>
        </is>
      </c>
      <c r="AE113" s="6" t="inlineStr">
        <is>
          <t>2026-10-19</t>
        </is>
      </c>
      <c r="AF113" s="6" t="inlineStr">
        <is>
          <t>RV-0008 (reviews/RV-0008.md), thread T-20261019-104; RV-0009 (reviews/RV-0009.md), thread T-20261019-104</t>
        </is>
      </c>
      <c r="AG113" s="6" t="inlineStr"/>
      <c r="AH113" s="6" t="inlineStr">
        <is>
          <t>No</t>
        </is>
      </c>
      <c r="AI113" s="6" t="inlineStr"/>
      <c r="AJ113" s="6" t="inlineStr">
        <is>
          <t>SRC-11 section D4</t>
        </is>
      </c>
      <c r="AK113" s="6" t="inlineStr">
        <is>
          <t>SRC-06 C24</t>
        </is>
      </c>
      <c r="AL113" s="6" t="inlineStr">
        <is>
          <t>S15</t>
        </is>
      </c>
    </row>
    <row r="114" ht="28" customHeight="1">
      <c r="A114" s="5" t="inlineStr">
        <is>
          <t>C-R03/C25</t>
        </is>
      </c>
      <c r="B114" s="6" t="inlineStr">
        <is>
          <t>Unverified SUM/FND summaries</t>
        </is>
      </c>
      <c r="C114" s="6" t="inlineStr">
        <is>
          <t>OPEN</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G4 Before claims</t>
        </is>
      </c>
      <c r="J114" s="6" t="inlineStr">
        <is>
          <t>Normal</t>
        </is>
      </c>
      <c r="K114" s="6" t="n">
        <v>149</v>
      </c>
      <c r="L114" s="6" t="inlineStr">
        <is>
          <t>W2 Desk work (no model runs)</t>
        </is>
      </c>
      <c r="M114" s="6" t="inlineStr">
        <is>
          <t>S15</t>
        </is>
      </c>
      <c r="N114" s="6" t="inlineStr">
        <is>
          <t>Lead + fresh reviewer</t>
        </is>
      </c>
      <c r="O114" s="6" t="inlineStr">
        <is>
          <t>Lead drafts the fix; you approve</t>
        </is>
      </c>
      <c r="P114" s="6" t="inlineStr">
        <is>
          <t>Partly</t>
        </is>
      </c>
      <c r="Q114" s="6" t="inlineStr">
        <is>
          <t>Record fix</t>
        </is>
      </c>
      <c r="R114" s="6" t="inlineStr">
        <is>
          <t>Sub-item</t>
        </is>
      </c>
      <c r="S114" s="6" t="inlineStr">
        <is>
          <t>C-R03</t>
        </is>
      </c>
      <c r="T114" s="6" t="inlineStr">
        <is>
          <t>SRC-06 C25: SUM/FND summaries are unverified (front matter says unverified-until-human-checks).</t>
        </is>
      </c>
      <c r="U114" s="6" t="inlineStr">
        <is>
          <t>All steward summaries carry 'unverified'.</t>
        </is>
      </c>
      <c r="V114" s="6" t="inlineStr">
        <is>
          <t>A human or independent check per summary.</t>
        </is>
      </c>
      <c r="W114" s="6" t="inlineStr"/>
      <c r="X114" s="6" t="inlineStr"/>
      <c r="Y114" s="6" t="inlineStr">
        <is>
          <t>Q-U27</t>
        </is>
      </c>
      <c r="Z114" s="6" t="inlineStr"/>
      <c r="AA114" s="6" t="inlineStr"/>
      <c r="AB114" s="6" t="inlineStr">
        <is>
          <t>RECORD+DATA</t>
        </is>
      </c>
      <c r="AC114" s="6" t="inlineStr">
        <is>
          <t>n/a (sub-item)</t>
        </is>
      </c>
      <c r="AD114" s="6" t="inlineStr">
        <is>
          <t>NEW (SRC-11 sub-row)</t>
        </is>
      </c>
      <c r="AE114" s="6" t="inlineStr">
        <is>
          <t>2026-10-19</t>
        </is>
      </c>
      <c r="AF114" s="6" t="inlineStr">
        <is>
          <t>findings/SUM-0003..0009 front matter</t>
        </is>
      </c>
      <c r="AG114" s="6" t="inlineStr"/>
      <c r="AH114" s="6" t="inlineStr">
        <is>
          <t>No</t>
        </is>
      </c>
      <c r="AI114" s="6" t="inlineStr"/>
      <c r="AJ114" s="6" t="inlineStr">
        <is>
          <t>SRC-11 section D4</t>
        </is>
      </c>
      <c r="AK114" s="6" t="inlineStr">
        <is>
          <t>SRC-06 C25</t>
        </is>
      </c>
      <c r="AL114" s="6" t="inlineStr">
        <is>
          <t>S15</t>
        </is>
      </c>
    </row>
    <row r="115" ht="40.5" customHeight="1">
      <c r="A115" s="5" t="inlineStr">
        <is>
          <t>C-R03/C26</t>
        </is>
      </c>
      <c r="B115" s="6" t="inlineStr">
        <is>
          <t>Cost algebra fit / unreviewed numerical slip</t>
        </is>
      </c>
      <c r="C115" s="6" t="inlineStr">
        <is>
          <t>PARTLY ANSWERED</t>
        </is>
      </c>
      <c r="D115" s="6">
        <f>IFERROR(INDEX(Lists!$B$2:$B$14,MATCH(C115,Lists!$A$2:$A$14,0)),"?")</f>
        <v/>
      </c>
      <c r="E115" s="6">
        <f>IF(COUNTIFS(Links!$B$2:$B$600,A115,Links!$E$2:$E$600,"Yes")&gt;0,"REVISE","")</f>
        <v/>
      </c>
      <c r="F115" s="6">
        <f>COUNTIFS(Links!$B$2:$B$600,A115,Links!$D$2:$D$600,"No",Links!$C$2:$C$600,"&lt;&gt;INFORMS")</f>
        <v/>
      </c>
      <c r="G115" s="13" t="inlineStr">
        <is>
          <t>DESK-ANALYSIS</t>
        </is>
      </c>
      <c r="H115" s="6" t="inlineStr">
        <is>
          <t>K17 Record repair &amp; procedure error</t>
        </is>
      </c>
      <c r="I115" s="6" t="inlineStr">
        <is>
          <t>G4 Before claims</t>
        </is>
      </c>
      <c r="J115" s="6" t="inlineStr">
        <is>
          <t>Normal</t>
        </is>
      </c>
      <c r="K115" s="6" t="n">
        <v>150</v>
      </c>
      <c r="L115" s="6" t="inlineStr">
        <is>
          <t>W2 Desk work (no model runs)</t>
        </is>
      </c>
      <c r="M115" s="6" t="inlineStr">
        <is>
          <t>S15</t>
        </is>
      </c>
      <c r="N115" s="6" t="inlineStr">
        <is>
          <t>Lead + fresh reviewer</t>
        </is>
      </c>
      <c r="O115" s="6" t="inlineStr">
        <is>
          <t>Lead computes or writes it (no model runs)</t>
        </is>
      </c>
      <c r="P115" s="6" t="inlineStr">
        <is>
          <t>Partly</t>
        </is>
      </c>
      <c r="Q115" s="6" t="inlineStr">
        <is>
          <t>Scientific unknown</t>
        </is>
      </c>
      <c r="R115" s="6" t="inlineStr">
        <is>
          <t>Sub-item</t>
        </is>
      </c>
      <c r="S115" s="6" t="inlineStr">
        <is>
          <t>C-R03</t>
        </is>
      </c>
      <c r="T115" s="6" t="inlineStr">
        <is>
          <t>SRC-06 C26: cost-algebra fit and one unreviewed numerical slip (141 vs about 115 turns in v2).</t>
        </is>
      </c>
      <c r="U115" s="6" t="inlineStr">
        <is>
          <t>The v4-04 cost-ratio table was recomputed and matches; the earlier 141-vs-115 slip is not shown corrected.</t>
        </is>
      </c>
      <c r="V115" s="6" t="inlineStr">
        <is>
          <t>Closed-form algebra rechecked by a second reader.</t>
        </is>
      </c>
      <c r="W115" s="6" t="inlineStr"/>
      <c r="X115" s="6" t="inlineStr"/>
      <c r="Y115" s="6" t="inlineStr">
        <is>
          <t>Q-U26</t>
        </is>
      </c>
      <c r="Z115" s="6" t="inlineStr"/>
      <c r="AA115" s="6" t="inlineStr"/>
      <c r="AB115" s="6" t="inlineStr">
        <is>
          <t>RECORD+DATA</t>
        </is>
      </c>
      <c r="AC115" s="6" t="inlineStr">
        <is>
          <t>n/a (sub-item)</t>
        </is>
      </c>
      <c r="AD115" s="6" t="inlineStr">
        <is>
          <t>NEW (SRC-11 sub-row)</t>
        </is>
      </c>
      <c r="AE115" s="6" t="inlineStr">
        <is>
          <t>2026-10-19</t>
        </is>
      </c>
      <c r="AF115" s="6" t="inlineStr">
        <is>
          <t>v2-05 section 4; v4-04 section 3 (table recomputed in the review)</t>
        </is>
      </c>
      <c r="AG115" s="6" t="inlineStr"/>
      <c r="AH115" s="6" t="inlineStr">
        <is>
          <t>No</t>
        </is>
      </c>
      <c r="AI115" s="6" t="inlineStr"/>
      <c r="AJ115" s="6" t="inlineStr">
        <is>
          <t>SRC-11 section D4</t>
        </is>
      </c>
      <c r="AK115" s="6" t="inlineStr">
        <is>
          <t>SRC-06 C26</t>
        </is>
      </c>
      <c r="AL115" s="6" t="inlineStr">
        <is>
          <t>S15</t>
        </is>
      </c>
    </row>
    <row r="116" ht="115.5" customHeight="1">
      <c r="A116" s="5" t="inlineStr">
        <is>
          <t>C-R03/C27</t>
        </is>
      </c>
      <c r="B116" s="6" t="inlineStr">
        <is>
          <t>Four partly supported pivotal passages (V2, V3, V6, V8)</t>
        </is>
      </c>
      <c r="C116" s="6" t="inlineStr">
        <is>
          <t>DEFERRED</t>
        </is>
      </c>
      <c r="D116" s="6">
        <f>IFERROR(INDEX(Lists!$B$2:$B$14,MATCH(C116,Lists!$A$2:$A$14,0)),"?")</f>
        <v/>
      </c>
      <c r="E116" s="6">
        <f>IF(COUNTIFS(Links!$B$2:$B$600,A116,Links!$E$2:$E$600,"Yes")&gt;0,"REVISE","")</f>
        <v/>
      </c>
      <c r="F116" s="6">
        <f>COUNTIFS(Links!$B$2:$B$600,A116,Links!$D$2:$D$600,"No",Links!$C$2:$C$600,"&lt;&gt;INFORMS")</f>
        <v/>
      </c>
      <c r="G116" s="14" t="inlineStr">
        <is>
          <t>SOURCE-REREAD</t>
        </is>
      </c>
      <c r="H116" s="6" t="inlineStr">
        <is>
          <t>K17 Record repair &amp; procedure error</t>
        </is>
      </c>
      <c r="I116" s="6" t="inlineStr">
        <is>
          <t>G4 Before claims</t>
        </is>
      </c>
      <c r="J116" s="6" t="inlineStr">
        <is>
          <t>Normal</t>
        </is>
      </c>
      <c r="K116" s="6" t="n">
        <v>151</v>
      </c>
      <c r="L116" s="6" t="inlineStr">
        <is>
          <t>W2 Desk work (no model runs)</t>
        </is>
      </c>
      <c r="M116" s="6" t="inlineStr">
        <is>
          <t>S15</t>
        </is>
      </c>
      <c r="N116" s="6" t="inlineStr">
        <is>
          <t>Lead + fresh reviewer</t>
        </is>
      </c>
      <c r="O116" s="6" t="inlineStr">
        <is>
          <t>none until the trigger fires</t>
        </is>
      </c>
      <c r="P116" s="6" t="inlineStr">
        <is>
          <t>Partly</t>
        </is>
      </c>
      <c r="Q116" s="6" t="inlineStr">
        <is>
          <t>Source check</t>
        </is>
      </c>
      <c r="R116" s="6" t="inlineStr">
        <is>
          <t>Sub-item</t>
        </is>
      </c>
      <c r="S116" s="6" t="inlineStr">
        <is>
          <t>C-R03</t>
        </is>
      </c>
      <c r="T116" s="6" t="inlineStr">
        <is>
          <t>SRC-06 C27: four of the eight pivotal passages checked in v2 were only partly supported (V2 and V3 with a CANNOT DETERMINE component).</t>
        </is>
      </c>
      <c r="U116"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116" s="6" t="inlineStr">
        <is>
          <t>Each undetermined component resolved or labelled.</t>
        </is>
      </c>
      <c r="W116" s="6" t="inlineStr"/>
      <c r="X116" s="6" t="inlineStr"/>
      <c r="Y116" s="6" t="inlineStr"/>
      <c r="Z116" s="6" t="inlineStr"/>
      <c r="AA116" s="6" t="inlineStr"/>
      <c r="AB116" s="6" t="inlineStr">
        <is>
          <t>RECORD+DATA</t>
        </is>
      </c>
      <c r="AC116" s="6" t="inlineStr">
        <is>
          <t>n/a (sub-item)</t>
        </is>
      </c>
      <c r="AD116" s="6" t="inlineStr">
        <is>
          <t>NEW (SRC-11 sub-row)</t>
        </is>
      </c>
      <c r="AE116" s="6" t="inlineStr">
        <is>
          <t>2026-10-20</t>
        </is>
      </c>
      <c r="AF116" s="6" t="inlineStr">
        <is>
          <t>grep of design/package-v3 and design/package-v4 01-05 (lead, 2026-10-20)</t>
        </is>
      </c>
      <c r="AG116" s="6" t="inlineStr">
        <is>
          <t>C-S03/DEFUSAGE is answered, or a claim depends on a V2, V3, V6 or V8 passage</t>
        </is>
      </c>
      <c r="AH116" s="6" t="inlineStr">
        <is>
          <t>No</t>
        </is>
      </c>
      <c r="AI116" s="6" t="inlineStr"/>
      <c r="AJ116" s="6" t="inlineStr">
        <is>
          <t>SRC-11 section D4</t>
        </is>
      </c>
      <c r="AK116" s="6" t="inlineStr">
        <is>
          <t>SRC-06 C27</t>
        </is>
      </c>
      <c r="AL116" s="6" t="inlineStr">
        <is>
          <t>S15</t>
        </is>
      </c>
    </row>
    <row r="117" ht="300" customHeight="1">
      <c r="A117" s="5" t="inlineStr">
        <is>
          <t>C-R03/ROUND45-W</t>
        </is>
      </c>
      <c r="B117" s="6" t="inlineStr">
        <is>
          <t>Three wording problems in 05 rounds 4-5: in-sample AutoTailor, BFCL correlation, 'first measured cost effect of persisted memory'</t>
        </is>
      </c>
      <c r="C117" s="6" t="inlineStr">
        <is>
          <t>PARTLY ANSWERED</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G4 Before claims</t>
        </is>
      </c>
      <c r="J117" s="6" t="inlineStr">
        <is>
          <t>Normal</t>
        </is>
      </c>
      <c r="K117" s="6" t="n">
        <v>155</v>
      </c>
      <c r="L117" s="6" t="inlineStr">
        <is>
          <t>W2 Desk work (no model runs)</t>
        </is>
      </c>
      <c r="M117" s="6" t="inlineStr">
        <is>
          <t>S15</t>
        </is>
      </c>
      <c r="N117" s="6" t="inlineStr">
        <is>
          <t>Lead drafts, you approve</t>
        </is>
      </c>
      <c r="O117" s="6" t="inlineStr">
        <is>
          <t>You approve the replacement wording</t>
        </is>
      </c>
      <c r="P117" s="6" t="inlineStr">
        <is>
          <t>Answered (see basis)</t>
        </is>
      </c>
      <c r="Q117" s="6" t="inlineStr">
        <is>
          <t>Record fix</t>
        </is>
      </c>
      <c r="R117" s="6" t="inlineStr">
        <is>
          <t>Sub-item</t>
        </is>
      </c>
      <c r="S117" s="6" t="inlineStr">
        <is>
          <t>C-R03/ROUND45</t>
        </is>
      </c>
      <c r="T117"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17"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117" s="6" t="inlineStr">
        <is>
          <t>05 states the in-sample calibration, hedges or recomputes the correlation without degenerate rows, and narrows the 'first' claim, or a successor note records it.</t>
        </is>
      </c>
      <c r="W117" s="6" t="inlineStr"/>
      <c r="X117" s="6" t="inlineStr"/>
      <c r="Y117" s="6" t="inlineStr"/>
      <c r="Z117" s="6" t="inlineStr"/>
      <c r="AA117" s="6" t="inlineStr"/>
      <c r="AB117" s="6" t="inlineStr">
        <is>
          <t>RECORD+DEC</t>
        </is>
      </c>
      <c r="AC117" s="6" t="inlineStr">
        <is>
          <t>n/a (sub-item)</t>
        </is>
      </c>
      <c r="AD117" s="6" t="inlineStr">
        <is>
          <t>NEW (repo sweep)</t>
        </is>
      </c>
      <c r="AE117" s="6" t="inlineStr">
        <is>
          <t>2026-10-20</t>
        </is>
      </c>
      <c r="AF117" s="6" t="inlineStr">
        <is>
          <t>design/package-v4/06-corrections-proposed.md section 3b; reviews/RV-0014.md, RV-0015.md, RV-0016.md (fresh reviewers, same model family, each read the source texts; RV-0014 and RV-0016 ended at their turn limit, drafts)</t>
        </is>
      </c>
      <c r="AG117" s="6" t="inlineStr"/>
      <c r="AH117" s="6" t="inlineStr">
        <is>
          <t>No (editing needs the human's approval)</t>
        </is>
      </c>
      <c r="AI117" s="6" t="inlineStr"/>
      <c r="AJ117" s="6" t="inlineStr">
        <is>
          <t>RV-0010 (Reviewer 6b2)</t>
        </is>
      </c>
      <c r="AK117" s="6" t="inlineStr"/>
      <c r="AL117" s="6" t="inlineStr">
        <is>
          <t>S15</t>
        </is>
      </c>
    </row>
    <row r="118" ht="300" customHeight="1">
      <c r="A118" s="5" t="inlineStr">
        <is>
          <t>C-R03/STUB</t>
        </is>
      </c>
      <c r="B118" s="6" t="inlineStr">
        <is>
          <t>Stub-schema effect on the 292K figure and 'Claude Code corpus' wording unverifiable</t>
        </is>
      </c>
      <c r="C118" s="6" t="inlineStr">
        <is>
          <t>DEFERRED</t>
        </is>
      </c>
      <c r="D118" s="6">
        <f>IFERROR(INDEX(Lists!$B$2:$B$14,MATCH(C118,Lists!$A$2:$A$14,0)),"?")</f>
        <v/>
      </c>
      <c r="E118" s="6">
        <f>IF(COUNTIFS(Links!$B$2:$B$600,A118,Links!$E$2:$E$600,"Yes")&gt;0,"REVISE","")</f>
        <v/>
      </c>
      <c r="F118" s="6">
        <f>COUNTIFS(Links!$B$2:$B$600,A118,Links!$D$2:$D$600,"No",Links!$C$2:$C$600,"&lt;&gt;INFORMS")</f>
        <v/>
      </c>
      <c r="G118" s="14" t="inlineStr">
        <is>
          <t>SOURCE-REREAD</t>
        </is>
      </c>
      <c r="H118" s="6" t="inlineStr">
        <is>
          <t>K17 Record repair &amp; procedure error</t>
        </is>
      </c>
      <c r="I118" s="6" t="inlineStr">
        <is>
          <t>G4 Before claims</t>
        </is>
      </c>
      <c r="J118" s="6" t="inlineStr">
        <is>
          <t>Normal</t>
        </is>
      </c>
      <c r="K118" s="6" t="n">
        <v>157</v>
      </c>
      <c r="L118" s="6" t="inlineStr">
        <is>
          <t>W2 Desk work (no model runs)</t>
        </is>
      </c>
      <c r="M118" s="6" t="inlineStr">
        <is>
          <t>S15</t>
        </is>
      </c>
      <c r="N118" s="6" t="inlineStr">
        <is>
          <t>Lead + fresh reviewer</t>
        </is>
      </c>
      <c r="O118" s="6" t="inlineStr">
        <is>
          <t>none until the trigger fires</t>
        </is>
      </c>
      <c r="P118" s="6" t="inlineStr">
        <is>
          <t>Yes - stored text, unread</t>
        </is>
      </c>
      <c r="Q118" s="6" t="inlineStr">
        <is>
          <t>Record fix</t>
        </is>
      </c>
      <c r="R118" s="6" t="inlineStr">
        <is>
          <t>Sub-item</t>
        </is>
      </c>
      <c r="S118" s="6" t="inlineStr">
        <is>
          <t>C-R03</t>
        </is>
      </c>
      <c r="T118"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18"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118" s="6" t="inlineStr">
        <is>
          <t>Each checked in the stored texts (s4c-g2-dynamicmcpbench, r3-promcp, r3-complexmcp).</t>
        </is>
      </c>
      <c r="W118" s="6" t="inlineStr"/>
      <c r="X118" s="6" t="inlineStr"/>
      <c r="Y118" s="6" t="inlineStr"/>
      <c r="Z118" s="6" t="inlineStr"/>
      <c r="AA118" s="6" t="inlineStr"/>
      <c r="AB118" s="6" t="inlineStr">
        <is>
          <t>RECORD+SOURCE</t>
        </is>
      </c>
      <c r="AC118" s="6" t="inlineStr">
        <is>
          <t>n/a (sub-item)</t>
        </is>
      </c>
      <c r="AD118" s="6" t="inlineStr">
        <is>
          <t>NEW (repo sweep)</t>
        </is>
      </c>
      <c r="AE118" s="6" t="inlineStr">
        <is>
          <t>2026-10-20</t>
        </is>
      </c>
      <c r="AF118" s="6" t="inlineStr">
        <is>
          <t>grep of design/package-v3 and design/package-v4 01-05 (lead, 2026-10-20)</t>
        </is>
      </c>
      <c r="AG118" s="6" t="inlineStr">
        <is>
          <t>The stub share or the effect on the 292k figure is to be used, or the phrase 'Claude Code corpus' is quoted</t>
        </is>
      </c>
      <c r="AH118" s="6" t="inlineStr">
        <is>
          <t>No</t>
        </is>
      </c>
      <c r="AI118" s="6" t="inlineStr"/>
      <c r="AJ118" s="6" t="inlineStr">
        <is>
          <t>repo: v4-03 section 6 / RV-0005 / RV-0007</t>
        </is>
      </c>
      <c r="AK118" s="6" t="inlineStr">
        <is>
          <t>SUM-0004</t>
        </is>
      </c>
      <c r="AL118" s="6" t="inlineStr">
        <is>
          <t>S15</t>
        </is>
      </c>
    </row>
    <row r="119" ht="300" customHeight="1">
      <c r="A119" s="5" t="inlineStr">
        <is>
          <t>N-17</t>
        </is>
      </c>
      <c r="B119" s="6" t="inlineStr">
        <is>
          <t>Challenge-record hygiene: 24 CH records still 'open'; fixes reported applied</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G4 Before claims</t>
        </is>
      </c>
      <c r="J119" s="6" t="inlineStr">
        <is>
          <t>Normal</t>
        </is>
      </c>
      <c r="K119" s="6" t="n">
        <v>158</v>
      </c>
      <c r="L119" s="6" t="inlineStr">
        <is>
          <t>W2 Desk work (no model runs)</t>
        </is>
      </c>
      <c r="M119" s="6" t="inlineStr">
        <is>
          <t>S15</t>
        </is>
      </c>
      <c r="N119" s="6" t="inlineStr">
        <is>
          <t>Lead + fresh reviewer</t>
        </is>
      </c>
      <c r="O119" s="6" t="inlineStr">
        <is>
          <t>Draft the answers to the ten residual records (rows N-17/UNANSWERED, N-17/WORDING) for your approval</t>
        </is>
      </c>
      <c r="P119" s="6" t="inlineStr">
        <is>
          <t>Answered (see basis)</t>
        </is>
      </c>
      <c r="Q119" s="6" t="inlineStr">
        <is>
          <t>Record fix</t>
        </is>
      </c>
      <c r="R119" s="6" t="inlineStr">
        <is>
          <t>Item</t>
        </is>
      </c>
      <c r="S119" s="6" t="inlineStr"/>
      <c r="T119" s="6" t="inlineStr">
        <is>
          <t>24 challenge records have front-matter status 'open' (CH-0038, 0040-0043, 0049, 0055, 0058-0074) although dispositions were reported applied in WD-022/023 and v4-05; the challenger did not re-check rounds 3-5 text; 49 others are 'conceded', 1 'withdrawn'.</t>
        </is>
      </c>
      <c r="U119"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19" s="6" t="inlineStr">
        <is>
          <t>Each record's status matches the text, with an independent re-check of the edits.</t>
        </is>
      </c>
      <c r="W119" s="6" t="inlineStr"/>
      <c r="X119" s="6" t="inlineStr"/>
      <c r="Y119" s="6" t="inlineStr"/>
      <c r="Z119" s="6" t="inlineStr"/>
      <c r="AA119" s="6" t="inlineStr"/>
      <c r="AB119" s="6" t="inlineStr">
        <is>
          <t>RECORD</t>
        </is>
      </c>
      <c r="AC119" s="6" t="inlineStr">
        <is>
          <t>n/a (new)</t>
        </is>
      </c>
      <c r="AD119" s="6" t="inlineStr">
        <is>
          <t>NEW (repo sweep)</t>
        </is>
      </c>
      <c r="AE119" s="6" t="inlineStr">
        <is>
          <t>2026-10-19</t>
        </is>
      </c>
      <c r="AF119" s="6" t="inlineStr">
        <is>
          <t>challenges/CH-0038..0071 (14 files, status and status_note lines); ops/AUTHORIZATIONS.md AUTH-017 (human, 2026-10-19); reviews/RV-0008.md</t>
        </is>
      </c>
      <c r="AG119" s="6" t="inlineStr"/>
      <c r="AH119" s="6" t="inlineStr">
        <is>
          <t>No</t>
        </is>
      </c>
      <c r="AI119" s="6" t="inlineStr"/>
      <c r="AJ119" s="6" t="inlineStr">
        <is>
          <t>repo: challenges/, reviews/RV-0005..0007</t>
        </is>
      </c>
      <c r="AK119" s="6" t="inlineStr">
        <is>
          <t>CH-0058, CH-0064, CH-0068, CH-0071, CH-0074, CH-0049, CH-0055</t>
        </is>
      </c>
      <c r="AL119" s="6" t="inlineStr">
        <is>
          <t>S15</t>
        </is>
      </c>
    </row>
    <row r="120" ht="290.5" customHeight="1">
      <c r="A120" s="5" t="inlineStr">
        <is>
          <t>N-17/UNANSWERED</t>
        </is>
      </c>
      <c r="B120" s="6" t="inlineStr">
        <is>
          <t>Eight objections in the 24 open challenge records are answered nowhere</t>
        </is>
      </c>
      <c r="C120" s="6" t="inlineStr">
        <is>
          <t>PARTLY ANSWERED</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G4 Before claims</t>
        </is>
      </c>
      <c r="J120" s="6" t="inlineStr">
        <is>
          <t>Normal</t>
        </is>
      </c>
      <c r="K120" s="6" t="n">
        <v>160</v>
      </c>
      <c r="L120" s="6" t="inlineStr">
        <is>
          <t>W2 Desk work (no model runs)</t>
        </is>
      </c>
      <c r="M120" s="6" t="inlineStr">
        <is>
          <t>S15</t>
        </is>
      </c>
      <c r="N120" s="6" t="inlineStr">
        <is>
          <t>Lead drafts, you approve</t>
        </is>
      </c>
      <c r="O120" s="6" t="inlineStr">
        <is>
          <t>You approve the drafting items and take or hand on the three decisions</t>
        </is>
      </c>
      <c r="P120" s="6" t="inlineStr">
        <is>
          <t>Answered (see basis)</t>
        </is>
      </c>
      <c r="Q120" s="6" t="inlineStr">
        <is>
          <t>Record fix</t>
        </is>
      </c>
      <c r="R120" s="6" t="inlineStr">
        <is>
          <t>Sub-item</t>
        </is>
      </c>
      <c r="S120" s="6" t="inlineStr">
        <is>
          <t>N-17</t>
        </is>
      </c>
      <c r="T120"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20"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120" s="6" t="inlineStr">
        <is>
          <t>Each objection is answered in the operative text, or recorded as accepted limitation or not applicable.</t>
        </is>
      </c>
      <c r="W120" s="6" t="inlineStr"/>
      <c r="X120" s="6" t="inlineStr"/>
      <c r="Y120" s="6" t="inlineStr"/>
      <c r="Z120" s="6" t="inlineStr"/>
      <c r="AA120" s="6" t="inlineStr"/>
      <c r="AB120" s="6" t="inlineStr">
        <is>
          <t>RECORD+DEC</t>
        </is>
      </c>
      <c r="AC120" s="6" t="inlineStr">
        <is>
          <t>n/a (sub-item)</t>
        </is>
      </c>
      <c r="AD120" s="6" t="inlineStr">
        <is>
          <t>NEW (repo sweep)</t>
        </is>
      </c>
      <c r="AE120" s="6" t="inlineStr">
        <is>
          <t>2026-10-20</t>
        </is>
      </c>
      <c r="AF120" s="6" t="inlineStr">
        <is>
          <t>design/package-v4/06-corrections-proposed.md section 4; reviews/RV-0008.md</t>
        </is>
      </c>
      <c r="AG120" s="6" t="inlineStr"/>
      <c r="AH120" s="6" t="inlineStr">
        <is>
          <t>No (editing needs the human's approval)</t>
        </is>
      </c>
      <c r="AI120" s="6" t="inlineStr"/>
      <c r="AJ120" s="6" t="inlineStr">
        <is>
          <t>RV-0008 (Reviewer 6a)</t>
        </is>
      </c>
      <c r="AK120" s="6" t="inlineStr"/>
      <c r="AL120" s="6" t="inlineStr">
        <is>
          <t>S15</t>
        </is>
      </c>
    </row>
    <row r="121" ht="300" customHeight="1">
      <c r="A121" s="5" t="inlineStr">
        <is>
          <t>N-17/WORDING</t>
        </is>
      </c>
      <c r="B121" s="6" t="inlineStr">
        <is>
          <t>Unhedged 'real gap' wording and three different counts in the literature summary and brief</t>
        </is>
      </c>
      <c r="C121" s="6" t="inlineStr">
        <is>
          <t>PARTLY ANSWERED</t>
        </is>
      </c>
      <c r="D121" s="6">
        <f>IFERROR(INDEX(Lists!$B$2:$B$14,MATCH(C121,Lists!$A$2:$A$14,0)),"?")</f>
        <v/>
      </c>
      <c r="E121" s="6">
        <f>IF(COUNTIFS(Links!$B$2:$B$600,A121,Links!$E$2:$E$600,"Yes")&gt;0,"REVISE","")</f>
        <v/>
      </c>
      <c r="F121" s="6">
        <f>COUNTIFS(Links!$B$2:$B$600,A121,Links!$D$2:$D$600,"No",Links!$C$2:$C$600,"&lt;&gt;INFORMS")</f>
        <v/>
      </c>
      <c r="G121" s="8" t="inlineStr">
        <is>
          <t>RECORDS-AT-HAND</t>
        </is>
      </c>
      <c r="H121" s="6" t="inlineStr">
        <is>
          <t>K17 Record repair &amp; procedure error</t>
        </is>
      </c>
      <c r="I121" s="6" t="inlineStr">
        <is>
          <t>G4 Before claims</t>
        </is>
      </c>
      <c r="J121" s="6" t="inlineStr">
        <is>
          <t>Normal</t>
        </is>
      </c>
      <c r="K121" s="6" t="n">
        <v>161</v>
      </c>
      <c r="L121" s="6" t="inlineStr">
        <is>
          <t>W2 Desk work (no model runs)</t>
        </is>
      </c>
      <c r="M121" s="6" t="inlineStr">
        <is>
          <t>S15</t>
        </is>
      </c>
      <c r="N121" s="6" t="inlineStr">
        <is>
          <t>Lead drafts, you approve</t>
        </is>
      </c>
      <c r="O121" s="6" t="inlineStr">
        <is>
          <t>You approve the replacement wording</t>
        </is>
      </c>
      <c r="P121" s="6" t="inlineStr">
        <is>
          <t>Answered (see basis)</t>
        </is>
      </c>
      <c r="Q121" s="6" t="inlineStr">
        <is>
          <t>Record fix</t>
        </is>
      </c>
      <c r="R121" s="6" t="inlineStr">
        <is>
          <t>Sub-item</t>
        </is>
      </c>
      <c r="S121" s="6" t="inlineStr">
        <is>
          <t>N-17</t>
        </is>
      </c>
      <c r="T121"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21"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121" s="6" t="inlineStr">
        <is>
          <t>The brief and 05 carry hedged wording ('no source found' not 'real gap') and one consistent count, or a successor note records both.</t>
        </is>
      </c>
      <c r="W121" s="6" t="inlineStr"/>
      <c r="X121" s="6" t="inlineStr"/>
      <c r="Y121" s="6" t="inlineStr"/>
      <c r="Z121" s="6" t="inlineStr"/>
      <c r="AA121" s="6" t="inlineStr"/>
      <c r="AB121" s="6" t="inlineStr">
        <is>
          <t>RECORD+DEC</t>
        </is>
      </c>
      <c r="AC121" s="6" t="inlineStr">
        <is>
          <t>n/a (sub-item)</t>
        </is>
      </c>
      <c r="AD121" s="6" t="inlineStr">
        <is>
          <t>NEW (repo sweep)</t>
        </is>
      </c>
      <c r="AE121" s="6" t="inlineStr">
        <is>
          <t>2026-10-20</t>
        </is>
      </c>
      <c r="AF121" s="6" t="inlineStr">
        <is>
          <t>design/package-v4/06-corrections-proposed.md section 3b</t>
        </is>
      </c>
      <c r="AG121" s="6" t="inlineStr"/>
      <c r="AH121" s="6" t="inlineStr">
        <is>
          <t>No (editing needs the human's approval)</t>
        </is>
      </c>
      <c r="AI121" s="6" t="inlineStr"/>
      <c r="AJ121" s="6" t="inlineStr">
        <is>
          <t>RV-0008 (Reviewer 6a) and lead check</t>
        </is>
      </c>
      <c r="AK121" s="6" t="inlineStr"/>
      <c r="AL121" s="6" t="inlineStr">
        <is>
          <t>S15</t>
        </is>
      </c>
    </row>
    <row r="122" ht="40.5" customHeight="1">
      <c r="A122" s="5" t="inlineStr">
        <is>
          <t>C-D09</t>
        </is>
      </c>
      <c r="B122" s="6" t="inlineStr">
        <is>
          <t>Authorization to run any experiment, smoke run or script (V3 E1-E8).</t>
        </is>
      </c>
      <c r="C122" s="6" t="inlineStr">
        <is>
          <t>OPEN</t>
        </is>
      </c>
      <c r="D122" s="6">
        <f>IFERROR(INDEX(Lists!$B$2:$B$14,MATCH(C122,Lists!$A$2:$A$14,0)),"?")</f>
        <v/>
      </c>
      <c r="E122" s="6">
        <f>IF(COUNTIFS(Links!$B$2:$B$600,A122,Links!$E$2:$E$600,"Yes")&gt;0,"REVISE","")</f>
        <v/>
      </c>
      <c r="F122" s="6">
        <f>COUNTIFS(Links!$B$2:$B$600,A122,Links!$D$2:$D$600,"No",Links!$C$2:$C$600,"&lt;&gt;INFORMS")</f>
        <v/>
      </c>
      <c r="G122" s="9" t="inlineStr">
        <is>
          <t>USER-DECISION</t>
        </is>
      </c>
      <c r="H122" s="6" t="inlineStr">
        <is>
          <t>K6 Deliverable &amp; authorization</t>
        </is>
      </c>
      <c r="I122" s="6" t="inlineStr">
        <is>
          <t>G1 Before any implementation</t>
        </is>
      </c>
      <c r="J122" s="6" t="inlineStr">
        <is>
          <t>High</t>
        </is>
      </c>
      <c r="K122" s="6" t="n">
        <v>163</v>
      </c>
      <c r="L122" s="6" t="inlineStr">
        <is>
          <t>W3 Pilots (AUTH)</t>
        </is>
      </c>
      <c r="M122" s="6" t="inlineStr">
        <is>
          <t>S16</t>
        </is>
      </c>
      <c r="N122" s="6" t="inlineStr">
        <is>
          <t>You (v4 also wants the supervisor's approval and a budget)</t>
        </is>
      </c>
      <c r="O122" s="6" t="inlineStr">
        <is>
          <t>Answer Q-U14 after decisions</t>
        </is>
      </c>
      <c r="P122" s="6" t="inlineStr">
        <is>
          <t>n/a</t>
        </is>
      </c>
      <c r="Q122" s="6" t="inlineStr">
        <is>
          <t>Decision</t>
        </is>
      </c>
      <c r="R122" s="6" t="inlineStr">
        <is>
          <t>Item</t>
        </is>
      </c>
      <c r="S122" s="6" t="inlineStr"/>
      <c r="T122" s="6" t="inlineStr">
        <is>
          <t>Authorization to run any experiment, smoke run or script (V3 E1-E8).</t>
        </is>
      </c>
      <c r="U122" s="6" t="inlineStr">
        <is>
          <t>None of AUTH-001..015 authorizes an experiment; AUTH-011 excludes pilots, AUTH-013 says no experiments.</t>
        </is>
      </c>
      <c r="V122" s="6" t="inlineStr">
        <is>
          <t>An AUTH row per pilot with provider, model, budget cap and what is recorded.</t>
        </is>
      </c>
      <c r="W122" s="6" t="inlineStr">
        <is>
          <t>C-D05, C-D08</t>
        </is>
      </c>
      <c r="X122" s="6" t="inlineStr">
        <is>
          <t>C-D13, C-D11</t>
        </is>
      </c>
      <c r="Y122" s="6" t="inlineStr">
        <is>
          <t>Q-J17, Q-U06, Q-U14</t>
        </is>
      </c>
      <c r="Z122" s="6" t="inlineStr">
        <is>
          <t>JOAA-DECISION</t>
        </is>
      </c>
      <c r="AA122" s="6" t="inlineStr">
        <is>
          <t>K11 End-to-end comparison</t>
        </is>
      </c>
      <c r="AB122" s="6" t="inlineStr">
        <is>
          <t>DEC</t>
        </is>
      </c>
      <c r="AC122" s="6" t="inlineStr">
        <is>
          <t>OPEN</t>
        </is>
      </c>
      <c r="AD122" s="6" t="inlineStr">
        <is>
          <t>UNCHANGED</t>
        </is>
      </c>
      <c r="AE122" s="6" t="inlineStr">
        <is>
          <t>2026-10-19</t>
        </is>
      </c>
      <c r="AF122" s="6" t="inlineStr">
        <is>
          <t>AUTH-011 limits; AUTH-013 limits; v4-01 section 7</t>
        </is>
      </c>
      <c r="AG122" s="6" t="inlineStr"/>
      <c r="AH122" s="6" t="inlineStr">
        <is>
          <t>This is the AUTH</t>
        </is>
      </c>
      <c r="AI122" s="6" t="inlineStr"/>
      <c r="AJ122" s="6" t="inlineStr">
        <is>
          <t>SRC-11 canonical</t>
        </is>
      </c>
      <c r="AK122" s="6" t="inlineStr">
        <is>
          <t>SRC-06 D12, SRC-07 11</t>
        </is>
      </c>
      <c r="AL122" s="6" t="inlineStr">
        <is>
          <t>S16</t>
        </is>
      </c>
    </row>
    <row r="123" ht="40.5" customHeight="1">
      <c r="A123" s="5" t="inlineStr">
        <is>
          <t>C-S16</t>
        </is>
      </c>
      <c r="B123" s="6" t="inlineStr">
        <is>
          <t>Evaluation-vehicle biases (replay routes, stub distractors, 12-turn cap, reference-consistent subset) have ...</t>
        </is>
      </c>
      <c r="C123" s="6" t="inlineStr">
        <is>
          <t>OPEN</t>
        </is>
      </c>
      <c r="D123" s="6">
        <f>IFERROR(INDEX(Lists!$B$2:$B$14,MATCH(C123,Lists!$A$2:$A$14,0)),"?")</f>
        <v/>
      </c>
      <c r="E123" s="6">
        <f>IF(COUNTIFS(Links!$B$2:$B$600,A123,Links!$E$2:$E$600,"Yes")&gt;0,"REVISE","")</f>
        <v/>
      </c>
      <c r="F123" s="6">
        <f>COUNTIFS(Links!$B$2:$B$600,A123,Links!$D$2:$D$600,"No",Links!$C$2:$C$600,"&lt;&gt;INFORMS")</f>
        <v/>
      </c>
      <c r="G123" s="17" t="inlineStr">
        <is>
          <t>TEST-PILOT</t>
        </is>
      </c>
      <c r="H123" s="6" t="inlineStr">
        <is>
          <t>K13 Vehicle validity</t>
        </is>
      </c>
      <c r="I123" s="6" t="inlineStr">
        <is>
          <t>G2 Before the affected pilot/arm</t>
        </is>
      </c>
      <c r="J123" s="6" t="inlineStr">
        <is>
          <t>High</t>
        </is>
      </c>
      <c r="K123" s="6" t="n">
        <v>164</v>
      </c>
      <c r="L123" s="6" t="inlineStr">
        <is>
          <t>W3 Pilots (AUTH)</t>
        </is>
      </c>
      <c r="M123" s="6" t="inlineStr">
        <is>
          <t>S17</t>
        </is>
      </c>
      <c r="N123" s="6" t="inlineStr">
        <is>
          <t>Team</t>
        </is>
      </c>
      <c r="O123" s="6" t="inlineStr">
        <is>
          <t>Needs an AUTH and a protocol</t>
        </is>
      </c>
      <c r="P123" s="6" t="inlineStr">
        <is>
          <t>Partly</t>
        </is>
      </c>
      <c r="Q123" s="6" t="inlineStr">
        <is>
          <t>Scientific unknown</t>
        </is>
      </c>
      <c r="R123" s="6" t="inlineStr">
        <is>
          <t>Item</t>
        </is>
      </c>
      <c r="S123" s="6" t="inlineStr"/>
      <c r="T123" s="6" t="inlineStr">
        <is>
          <t>Evaluation-vehicle biases (replay routes, stub distractors, 12-turn cap, reference-consistent subset) have no measured effect.</t>
        </is>
      </c>
      <c r="U123" s="6" t="inlineStr">
        <is>
          <t>Documented (CAVEATS 3-4; 1,578 of 1,845 specs reference-consistent) but not run.</t>
        </is>
      </c>
      <c r="V123" s="6" t="inlineStr">
        <is>
          <t>Smoke run if the vehicle will carry a claim; otherwise limitation stated with scope.</t>
        </is>
      </c>
      <c r="W123" s="6" t="inlineStr">
        <is>
          <t>C-D08, C-D09</t>
        </is>
      </c>
      <c r="X123" s="6" t="inlineStr"/>
      <c r="Y123" s="6" t="inlineStr">
        <is>
          <t>Q-U03</t>
        </is>
      </c>
      <c r="Z123" s="6" t="inlineStr">
        <is>
          <t>ACCEPT-LIMITATION</t>
        </is>
      </c>
      <c r="AA123" s="6" t="inlineStr"/>
      <c r="AB123" s="6" t="inlineStr">
        <is>
          <t>DATA+BOUND</t>
        </is>
      </c>
      <c r="AC123" s="6" t="inlineStr">
        <is>
          <t>OPEN</t>
        </is>
      </c>
      <c r="AD123" s="6" t="inlineStr">
        <is>
          <t>UNCHANGED</t>
        </is>
      </c>
      <c r="AE123" s="6" t="inlineStr">
        <is>
          <t>2026-10-19</t>
        </is>
      </c>
      <c r="AF123" s="6" t="inlineStr">
        <is>
          <t>CAVEATS rows 3-4; v4-02 section 7</t>
        </is>
      </c>
      <c r="AG123" s="6" t="inlineStr"/>
      <c r="AH123" s="6" t="inlineStr">
        <is>
          <t>Yes</t>
        </is>
      </c>
      <c r="AI123" s="6" t="inlineStr"/>
      <c r="AJ123" s="6" t="inlineStr">
        <is>
          <t>SRC-11 canonical</t>
        </is>
      </c>
      <c r="AK123" s="6" t="inlineStr">
        <is>
          <t>SRC-06 S34, CAVEATS 3, CAVEATS 4</t>
        </is>
      </c>
      <c r="AL123" s="6" t="inlineStr">
        <is>
          <t>S17</t>
        </is>
      </c>
    </row>
    <row r="124" ht="28" customHeight="1">
      <c r="A124" s="5" t="inlineStr">
        <is>
          <t>C-X08</t>
        </is>
      </c>
      <c r="B124" s="6" t="inlineStr">
        <is>
          <t>Smoke execution of the evaluation vehicle that answers C-S16.</t>
        </is>
      </c>
      <c r="C124" s="6" t="inlineStr">
        <is>
          <t>UNRUN</t>
        </is>
      </c>
      <c r="D124" s="6">
        <f>IFERROR(INDEX(Lists!$B$2:$B$14,MATCH(C124,Lists!$A$2:$A$14,0)),"?")</f>
        <v/>
      </c>
      <c r="E124" s="6">
        <f>IF(COUNTIFS(Links!$B$2:$B$600,A124,Links!$E$2:$E$600,"Yes")&gt;0,"REVISE","")</f>
        <v/>
      </c>
      <c r="F124" s="6">
        <f>COUNTIFS(Links!$B$2:$B$600,A124,Links!$D$2:$D$600,"No",Links!$C$2:$C$600,"&lt;&gt;INFORMS")</f>
        <v/>
      </c>
      <c r="G124" s="17" t="inlineStr">
        <is>
          <t>TEST-PILOT</t>
        </is>
      </c>
      <c r="H124" s="6" t="inlineStr">
        <is>
          <t>K13 Vehicle validity</t>
        </is>
      </c>
      <c r="I124" s="6" t="inlineStr">
        <is>
          <t>G2 Before the affected pilot/arm</t>
        </is>
      </c>
      <c r="J124" s="6" t="inlineStr">
        <is>
          <t>High</t>
        </is>
      </c>
      <c r="K124" s="6" t="n">
        <v>165</v>
      </c>
      <c r="L124" s="6" t="inlineStr">
        <is>
          <t>W3 Pilots (AUTH)</t>
        </is>
      </c>
      <c r="M124" s="6" t="inlineStr">
        <is>
          <t>S17</t>
        </is>
      </c>
      <c r="N124" s="6" t="inlineStr">
        <is>
          <t>Team</t>
        </is>
      </c>
      <c r="O124" s="6" t="inlineStr">
        <is>
          <t>Needs an AUTH and a protocol</t>
        </is>
      </c>
      <c r="P124" s="6" t="inlineStr">
        <is>
          <t>No</t>
        </is>
      </c>
      <c r="Q124" s="6" t="inlineStr">
        <is>
          <t>Test</t>
        </is>
      </c>
      <c r="R124" s="6" t="inlineStr">
        <is>
          <t>Check</t>
        </is>
      </c>
      <c r="S124" s="6" t="inlineStr"/>
      <c r="T124" s="6" t="inlineStr">
        <is>
          <t>Smoke execution of the evaluation vehicle that answers C-S16.</t>
        </is>
      </c>
      <c r="U124" s="6" t="inlineStr">
        <is>
          <t>Not run; do it only if the vehicle will be used and differs from any earlier vehicle.</t>
        </is>
      </c>
      <c r="V124" s="6" t="inlineStr">
        <is>
          <t>Same as C-S16.</t>
        </is>
      </c>
      <c r="W124" s="6" t="inlineStr">
        <is>
          <t>C-D08, C-D09</t>
        </is>
      </c>
      <c r="X124" s="6" t="inlineStr"/>
      <c r="Y124" s="6" t="inlineStr"/>
      <c r="Z124" s="6" t="inlineStr"/>
      <c r="AA124" s="6" t="inlineStr"/>
      <c r="AB124" s="6" t="inlineStr">
        <is>
          <t>DATA</t>
        </is>
      </c>
      <c r="AC124" s="6" t="inlineStr">
        <is>
          <t>NO RESULT - OPEN</t>
        </is>
      </c>
      <c r="AD124" s="6" t="inlineStr">
        <is>
          <t>UNCHANGED</t>
        </is>
      </c>
      <c r="AE124" s="6" t="inlineStr">
        <is>
          <t>2026-10-19</t>
        </is>
      </c>
      <c r="AF124" s="6" t="inlineStr">
        <is>
          <t>CAVEATS rows 3-4</t>
        </is>
      </c>
      <c r="AG124" s="6" t="inlineStr"/>
      <c r="AH124" s="6" t="inlineStr">
        <is>
          <t>Yes</t>
        </is>
      </c>
      <c r="AI124" s="6" t="inlineStr"/>
      <c r="AJ124" s="6" t="inlineStr">
        <is>
          <t>SRC-11 canonical</t>
        </is>
      </c>
      <c r="AK124" s="6" t="inlineStr">
        <is>
          <t>smoke run</t>
        </is>
      </c>
      <c r="AL124" s="6" t="inlineStr">
        <is>
          <t>S17</t>
        </is>
      </c>
    </row>
    <row r="125" ht="203" customHeight="1">
      <c r="A125" s="5" t="inlineStr">
        <is>
          <t>C-S03/DEFUSAGE</t>
        </is>
      </c>
      <c r="B125" s="6" t="inlineStr">
        <is>
          <t>Do deferred or withdrawn definitions count in provider usage and the bill?</t>
        </is>
      </c>
      <c r="C125" s="6" t="inlineStr">
        <is>
          <t>PARTLY ANSWERED</t>
        </is>
      </c>
      <c r="D125" s="6">
        <f>IFERROR(INDEX(Lists!$B$2:$B$14,MATCH(C125,Lists!$A$2:$A$14,0)),"?")</f>
        <v/>
      </c>
      <c r="E125" s="6">
        <f>IF(COUNTIFS(Links!$B$2:$B$600,A125,Links!$E$2:$E$600,"Yes")&gt;0,"REVISE","")</f>
        <v/>
      </c>
      <c r="F125" s="6">
        <f>COUNTIFS(Links!$B$2:$B$600,A125,Links!$D$2:$D$600,"No",Links!$C$2:$C$600,"&lt;&gt;INFORMS")</f>
        <v/>
      </c>
      <c r="G125" s="17" t="inlineStr">
        <is>
          <t>TEST-PILOT</t>
        </is>
      </c>
      <c r="H125" s="6" t="inlineStr">
        <is>
          <t>K9 Cache &amp; billing</t>
        </is>
      </c>
      <c r="I125" s="6" t="inlineStr">
        <is>
          <t>G3 Before confirmatory study</t>
        </is>
      </c>
      <c r="J125" s="6" t="inlineStr">
        <is>
          <t>Normal</t>
        </is>
      </c>
      <c r="K125" s="6" t="n">
        <v>166</v>
      </c>
      <c r="L125" s="6" t="inlineStr">
        <is>
          <t>W3 Pilots (AUTH)</t>
        </is>
      </c>
      <c r="M125" s="6" t="inlineStr">
        <is>
          <t>S18</t>
        </is>
      </c>
      <c r="N125" s="6" t="inlineStr">
        <is>
          <t>Team / provider</t>
        </is>
      </c>
      <c r="O125" s="6" t="inlineStr">
        <is>
          <t>Read the OpenAI tool-search usage text; otherwise answer by the billing probe (pilot A)</t>
        </is>
      </c>
      <c r="P125" s="6" t="inlineStr">
        <is>
          <t>Partly</t>
        </is>
      </c>
      <c r="Q125" s="6" t="inlineStr">
        <is>
          <t>Scientific unknown</t>
        </is>
      </c>
      <c r="R125" s="6" t="inlineStr">
        <is>
          <t>Sub-item</t>
        </is>
      </c>
      <c r="S125" s="6" t="inlineStr">
        <is>
          <t>C-S03</t>
        </is>
      </c>
      <c r="T125" s="6" t="inlineStr">
        <is>
          <t>Whether provider-reported usage and billing count deferred or withdrawn definitions is not stated in any stored extract; v2 steward V2 'CANNOT DETERMINE'; EXT-0009 says every definition is still sent in the tools array each request.</t>
        </is>
      </c>
      <c r="U125"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25" s="6" t="inlineStr">
        <is>
          <t>Usage records of a matched pair (with and without a deferred block) on one provider.</t>
        </is>
      </c>
      <c r="W125" s="6" t="inlineStr">
        <is>
          <t>C-D09, C-D08</t>
        </is>
      </c>
      <c r="X125" s="6" t="inlineStr"/>
      <c r="Y125" s="6" t="inlineStr"/>
      <c r="Z125" s="6" t="inlineStr"/>
      <c r="AA125" s="6" t="inlineStr"/>
      <c r="AB125" s="6" t="inlineStr">
        <is>
          <t>DATA+SOURCE</t>
        </is>
      </c>
      <c r="AC125" s="6" t="inlineStr">
        <is>
          <t>n/a (sub-item)</t>
        </is>
      </c>
      <c r="AD125" s="6" t="inlineStr">
        <is>
          <t>NEW (SRC-11 sub-row)</t>
        </is>
      </c>
      <c r="AE125" s="6" t="inlineStr">
        <is>
          <t>2026-10-19</t>
        </is>
      </c>
      <c r="AF125" s="6" t="inlineStr">
        <is>
          <t>FND-0019 (findings/SUM-0021); stored texts evidence/literature-20261019/lit-cursor-forum-*.txt (3), lit-ccissue-59650-deferred-cache-reads.txt, lit-ccissue-30920-defer-cachecontrol.txt, lit-toolhop-2501.02506v4.txt</t>
        </is>
      </c>
      <c r="AG125" s="6" t="inlineStr"/>
      <c r="AH125" s="6" t="inlineStr">
        <is>
          <t>Yes</t>
        </is>
      </c>
      <c r="AI125" s="6" t="inlineStr"/>
      <c r="AJ125" s="6" t="inlineStr">
        <is>
          <t>repo: v4-05 section 1A / v2-05 / v3-04</t>
        </is>
      </c>
      <c r="AK125" s="6" t="inlineStr">
        <is>
          <t>v2-05 row 3, v3-04 section 5</t>
        </is>
      </c>
      <c r="AL125" s="6" t="inlineStr">
        <is>
          <t>S18</t>
        </is>
      </c>
    </row>
    <row r="126" ht="278" customHeight="1">
      <c r="A126" s="5" t="inlineStr">
        <is>
          <t>C-S03/EXCEPTIONS</t>
        </is>
      </c>
      <c r="B126" s="6" t="inlineStr">
        <is>
          <t>Documented cache exceptions are untested</t>
        </is>
      </c>
      <c r="C126" s="6" t="inlineStr">
        <is>
          <t>PARTLY ANSWERED</t>
        </is>
      </c>
      <c r="D126" s="6">
        <f>IFERROR(INDEX(Lists!$B$2:$B$14,MATCH(C126,Lists!$A$2:$A$14,0)),"?")</f>
        <v/>
      </c>
      <c r="E126" s="6">
        <f>IF(COUNTIFS(Links!$B$2:$B$600,A126,Links!$E$2:$E$600,"Yes")&gt;0,"REVISE","")</f>
        <v/>
      </c>
      <c r="F126" s="6">
        <f>COUNTIFS(Links!$B$2:$B$600,A126,Links!$D$2:$D$600,"No",Links!$C$2:$C$600,"&lt;&gt;INFORMS")</f>
        <v/>
      </c>
      <c r="G126" s="17" t="inlineStr">
        <is>
          <t>TEST-PILOT</t>
        </is>
      </c>
      <c r="H126" s="6" t="inlineStr">
        <is>
          <t>K9 Cache &amp; billing</t>
        </is>
      </c>
      <c r="I126" s="6" t="inlineStr">
        <is>
          <t>G3 Before confirmatory study</t>
        </is>
      </c>
      <c r="J126" s="6" t="inlineStr">
        <is>
          <t>Normal</t>
        </is>
      </c>
      <c r="K126" s="6" t="n">
        <v>167</v>
      </c>
      <c r="L126" s="6" t="inlineStr">
        <is>
          <t>W3 Pilots (AUTH)</t>
        </is>
      </c>
      <c r="M126" s="6" t="inlineStr">
        <is>
          <t>S18</t>
        </is>
      </c>
      <c r="N126" s="6" t="inlineStr">
        <is>
          <t>Team / provider</t>
        </is>
      </c>
      <c r="O126" s="6" t="inlineStr">
        <is>
          <t>Include these exception cases in the billing probe (pilot A); the documented list itself is complete for the pages read</t>
        </is>
      </c>
      <c r="P126" s="6" t="inlineStr">
        <is>
          <t>Partly</t>
        </is>
      </c>
      <c r="Q126" s="6" t="inlineStr">
        <is>
          <t>Scientific unknown</t>
        </is>
      </c>
      <c r="R126" s="6" t="inlineStr">
        <is>
          <t>Sub-item</t>
        </is>
      </c>
      <c r="S126" s="6" t="inlineStr">
        <is>
          <t>C-S03</t>
        </is>
      </c>
      <c r="T126" s="6" t="inlineStr">
        <is>
          <t>Vendor-documented exceptions (e.g., a conversation with no non-deferred tool pays one full miss; a tool-search tool counts as non-deferred) have not been tested.</t>
        </is>
      </c>
      <c r="U126"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26" s="6" t="inlineStr">
        <is>
          <t>Exception cases included in the probe.</t>
        </is>
      </c>
      <c r="W126" s="6" t="inlineStr">
        <is>
          <t>C-D09, C-D08</t>
        </is>
      </c>
      <c r="X126" s="6" t="inlineStr"/>
      <c r="Y126" s="6" t="inlineStr"/>
      <c r="Z126" s="6" t="inlineStr"/>
      <c r="AA126" s="6" t="inlineStr"/>
      <c r="AB126" s="6" t="inlineStr">
        <is>
          <t>DATA+SOURCE</t>
        </is>
      </c>
      <c r="AC126" s="6" t="inlineStr">
        <is>
          <t>n/a (sub-item)</t>
        </is>
      </c>
      <c r="AD126" s="6" t="inlineStr">
        <is>
          <t>NEW (SRC-11 sub-row)</t>
        </is>
      </c>
      <c r="AE126" s="6" t="inlineStr">
        <is>
          <t>2026-10-19</t>
        </is>
      </c>
      <c r="AF126" s="6" t="inlineStr">
        <is>
          <t>FND-0008 (findings/SUM-0010); FND-0012 (findings/SUM-0014); EXT-0115, EXT-0131, EXT-0142, EXT-0158, EXT-0161</t>
        </is>
      </c>
      <c r="AG126" s="6" t="inlineStr"/>
      <c r="AH126" s="6" t="inlineStr">
        <is>
          <t>Yes</t>
        </is>
      </c>
      <c r="AI126" s="6" t="inlineStr"/>
      <c r="AJ126" s="6" t="inlineStr">
        <is>
          <t>repo: v4-05 section 1A / v2-05 / v3-04</t>
        </is>
      </c>
      <c r="AK126" s="6" t="inlineStr"/>
      <c r="AL126" s="6" t="inlineStr">
        <is>
          <t>S18</t>
        </is>
      </c>
    </row>
    <row r="127" ht="203" customHeight="1">
      <c r="A127" s="5" t="inlineStr">
        <is>
          <t>C-S03/MINCACHE</t>
        </is>
      </c>
      <c r="B127" s="6" t="inlineStr">
        <is>
          <t>Minimum cacheable length: a small restricted prefix may fall below the cache threshold</t>
        </is>
      </c>
      <c r="C127" s="6" t="inlineStr">
        <is>
          <t>PARTLY ANSWERED</t>
        </is>
      </c>
      <c r="D127" s="6">
        <f>IFERROR(INDEX(Lists!$B$2:$B$14,MATCH(C127,Lists!$A$2:$A$14,0)),"?")</f>
        <v/>
      </c>
      <c r="E127" s="6">
        <f>IF(COUNTIFS(Links!$B$2:$B$600,A127,Links!$E$2:$E$600,"Yes")&gt;0,"REVISE","")</f>
        <v/>
      </c>
      <c r="F127" s="6">
        <f>COUNTIFS(Links!$B$2:$B$600,A127,Links!$D$2:$D$600,"No",Links!$C$2:$C$600,"&lt;&gt;INFORMS")</f>
        <v/>
      </c>
      <c r="G127" s="17" t="inlineStr">
        <is>
          <t>TEST-PILOT</t>
        </is>
      </c>
      <c r="H127" s="6" t="inlineStr">
        <is>
          <t>K9 Cache &amp; billing</t>
        </is>
      </c>
      <c r="I127" s="6" t="inlineStr">
        <is>
          <t>G3 Before confirmatory study</t>
        </is>
      </c>
      <c r="J127" s="6" t="inlineStr">
        <is>
          <t>Normal</t>
        </is>
      </c>
      <c r="K127" s="6" t="n">
        <v>168</v>
      </c>
      <c r="L127" s="6" t="inlineStr">
        <is>
          <t>W3 Pilots (AUTH)</t>
        </is>
      </c>
      <c r="M127" s="6" t="inlineStr">
        <is>
          <t>S18</t>
        </is>
      </c>
      <c r="N127" s="6" t="inlineStr">
        <is>
          <t>Team / provider</t>
        </is>
      </c>
      <c r="O127" s="6" t="inlineStr">
        <is>
          <t>Fold into the billing probe (pilot A): measure a prefix just below and above the minimum for the chosen model</t>
        </is>
      </c>
      <c r="P127" s="6" t="inlineStr">
        <is>
          <t>Partly</t>
        </is>
      </c>
      <c r="Q127" s="6" t="inlineStr">
        <is>
          <t>Scientific unknown</t>
        </is>
      </c>
      <c r="R127" s="6" t="inlineStr">
        <is>
          <t>Sub-item</t>
        </is>
      </c>
      <c r="S127" s="6" t="inlineStr">
        <is>
          <t>C-S03</t>
        </is>
      </c>
      <c r="T127" s="6" t="inlineStr">
        <is>
          <t>Cache study: minimum cacheable length 1,024-4,096 tokens by provider; a small restricted prefix can fall under it and lose caching entirely.</t>
        </is>
      </c>
      <c r="U127"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27" s="6" t="inlineStr">
        <is>
          <t>Threshold measured per provider/model.</t>
        </is>
      </c>
      <c r="W127" s="6" t="inlineStr">
        <is>
          <t>C-D09, C-D08</t>
        </is>
      </c>
      <c r="X127" s="6" t="inlineStr"/>
      <c r="Y127" s="6" t="inlineStr"/>
      <c r="Z127" s="6" t="inlineStr"/>
      <c r="AA127" s="6" t="inlineStr"/>
      <c r="AB127" s="6" t="inlineStr">
        <is>
          <t>DATA</t>
        </is>
      </c>
      <c r="AC127" s="6" t="inlineStr">
        <is>
          <t>n/a (sub-item)</t>
        </is>
      </c>
      <c r="AD127" s="6" t="inlineStr">
        <is>
          <t>NEW (SRC-11 sub-row)</t>
        </is>
      </c>
      <c r="AE127" s="6" t="inlineStr">
        <is>
          <t>2026-10-19</t>
        </is>
      </c>
      <c r="AF127" s="6" t="inlineStr">
        <is>
          <t>FND-0008 (findings/SUM-0010); FND-0012 (findings/SUM-0014); EXT-0137, EXT-0141, EXT-0142, EXT-0150</t>
        </is>
      </c>
      <c r="AG127" s="6" t="inlineStr"/>
      <c r="AH127" s="6" t="inlineStr">
        <is>
          <t>Yes</t>
        </is>
      </c>
      <c r="AI127" s="6" t="inlineStr"/>
      <c r="AJ127" s="6" t="inlineStr">
        <is>
          <t>repo: v4-05 section 1A / v2-05 / v3-04</t>
        </is>
      </c>
      <c r="AK127" s="6" t="inlineStr"/>
      <c r="AL127" s="6" t="inlineStr">
        <is>
          <t>S18</t>
        </is>
      </c>
    </row>
    <row r="128" ht="40.5" customHeight="1">
      <c r="A128" s="5" t="inlineStr">
        <is>
          <t>C-S06</t>
        </is>
      </c>
      <c r="B128" s="6" t="inlineStr">
        <is>
          <t>Output-side vs definition-side savings, harness variance, model/tokenizer drift: no equal-success controlle...</t>
        </is>
      </c>
      <c r="C128" s="6" t="inlineStr">
        <is>
          <t>OPEN</t>
        </is>
      </c>
      <c r="D128" s="6">
        <f>IFERROR(INDEX(Lists!$B$2:$B$14,MATCH(C128,Lists!$A$2:$A$14,0)),"?")</f>
        <v/>
      </c>
      <c r="E128" s="6">
        <f>IF(COUNTIFS(Links!$B$2:$B$600,A128,Links!$E$2:$E$600,"Yes")&gt;0,"REVISE","")</f>
        <v/>
      </c>
      <c r="F128" s="6">
        <f>COUNTIFS(Links!$B$2:$B$600,A128,Links!$D$2:$D$600,"No",Links!$C$2:$C$600,"&lt;&gt;INFORMS")</f>
        <v/>
      </c>
      <c r="G128" s="17" t="inlineStr">
        <is>
          <t>TEST-PILOT</t>
        </is>
      </c>
      <c r="H128" s="6" t="inlineStr">
        <is>
          <t>K9 Cache &amp; billing</t>
        </is>
      </c>
      <c r="I128" s="6" t="inlineStr">
        <is>
          <t>G4 Before claims</t>
        </is>
      </c>
      <c r="J128" s="6" t="inlineStr">
        <is>
          <t>Normal</t>
        </is>
      </c>
      <c r="K128" s="6" t="n">
        <v>169</v>
      </c>
      <c r="L128" s="6" t="inlineStr">
        <is>
          <t>W3 Pilots (AUTH)</t>
        </is>
      </c>
      <c r="M128" s="6" t="inlineStr">
        <is>
          <t>S18</t>
        </is>
      </c>
      <c r="N128" s="6" t="inlineStr">
        <is>
          <t>Team</t>
        </is>
      </c>
      <c r="O128" s="6" t="inlineStr">
        <is>
          <t>Needs an AUTH and a protocol</t>
        </is>
      </c>
      <c r="P128" s="6" t="inlineStr">
        <is>
          <t>No</t>
        </is>
      </c>
      <c r="Q128" s="6" t="inlineStr">
        <is>
          <t>Scientific unknown</t>
        </is>
      </c>
      <c r="R128" s="6" t="inlineStr">
        <is>
          <t>Item</t>
        </is>
      </c>
      <c r="S128" s="6" t="inlineStr"/>
      <c r="T128" s="6" t="inlineStr">
        <is>
          <t>Output-side vs definition-side savings, harness variance, model/tokenizer drift: no equal-success controlled comparison.</t>
        </is>
      </c>
      <c r="U128" s="6" t="inlineStr">
        <is>
          <t>Output tokens enter the v4-04 cost model; BFCL cost column varies &gt;10x at similar accuracy (leaderboard snapshot).</t>
        </is>
      </c>
      <c r="V128" s="6" t="inlineStr">
        <is>
          <t>Versions fixed; trajectories compared; sensitivity reported (or deferred with trigger).</t>
        </is>
      </c>
      <c r="W128" s="6" t="inlineStr">
        <is>
          <t>C-D09, N-4</t>
        </is>
      </c>
      <c r="X128" s="6" t="inlineStr"/>
      <c r="Y128" s="6" t="inlineStr"/>
      <c r="Z128" s="6" t="inlineStr">
        <is>
          <t>TIME-RECHECK</t>
        </is>
      </c>
      <c r="AA128" s="6" t="inlineStr">
        <is>
          <t>K10 Token composition</t>
        </is>
      </c>
      <c r="AB128" s="6" t="inlineStr">
        <is>
          <t>DATA+TIME</t>
        </is>
      </c>
      <c r="AC128" s="6" t="inlineStr">
        <is>
          <t>OPEN</t>
        </is>
      </c>
      <c r="AD128" s="6" t="inlineStr">
        <is>
          <t>UNCHANGED</t>
        </is>
      </c>
      <c r="AE128" s="6" t="inlineStr">
        <is>
          <t>2026-10-19</t>
        </is>
      </c>
      <c r="AF128" s="6" t="inlineStr">
        <is>
          <t>v4-04 sections 2-3; v4-05 Round 5b</t>
        </is>
      </c>
      <c r="AG128" s="6" t="inlineStr">
        <is>
          <t>When a provider/model is chosen</t>
        </is>
      </c>
      <c r="AH128" s="6" t="inlineStr">
        <is>
          <t>Yes</t>
        </is>
      </c>
      <c r="AI128" s="6" t="inlineStr"/>
      <c r="AJ128" s="6" t="inlineStr">
        <is>
          <t>SRC-11 canonical</t>
        </is>
      </c>
      <c r="AK128" s="6" t="inlineStr">
        <is>
          <t>SRC-06 S10, SRC-06 S11, SRC-06 S12</t>
        </is>
      </c>
      <c r="AL128" s="6" t="inlineStr">
        <is>
          <t>S18</t>
        </is>
      </c>
    </row>
    <row r="129" ht="53" customHeight="1">
      <c r="A129" s="5" t="inlineStr">
        <is>
          <t>N-21</t>
        </is>
      </c>
      <c r="B129" s="6" t="inlineStr">
        <is>
          <t>E1 scope: can E1 end only the token-saving line? (retained disagreement)</t>
        </is>
      </c>
      <c r="C129" s="6" t="inlineStr">
        <is>
          <t>OPEN</t>
        </is>
      </c>
      <c r="D129" s="6">
        <f>IFERROR(INDEX(Lists!$B$2:$B$14,MATCH(C129,Lists!$A$2:$A$14,0)),"?")</f>
        <v/>
      </c>
      <c r="E129" s="6">
        <f>IF(COUNTIFS(Links!$B$2:$B$600,A129,Links!$E$2:$E$600,"Yes")&gt;0,"REVISE","")</f>
        <v/>
      </c>
      <c r="F129" s="6">
        <f>COUNTIFS(Links!$B$2:$B$600,A129,Links!$D$2:$D$600,"No",Links!$C$2:$C$600,"&lt;&gt;INFORMS")</f>
        <v/>
      </c>
      <c r="G129" s="17" t="inlineStr">
        <is>
          <t>TEST-PILOT</t>
        </is>
      </c>
      <c r="H129" s="6" t="inlineStr">
        <is>
          <t>K10 Token composition</t>
        </is>
      </c>
      <c r="I129" s="6" t="inlineStr">
        <is>
          <t>G3 Before confirmatory study</t>
        </is>
      </c>
      <c r="J129" s="6" t="inlineStr">
        <is>
          <t>Normal</t>
        </is>
      </c>
      <c r="K129" s="6" t="n">
        <v>170</v>
      </c>
      <c r="L129" s="6" t="inlineStr">
        <is>
          <t>W3 Pilots (AUTH)</t>
        </is>
      </c>
      <c r="M129" s="6" t="inlineStr">
        <is>
          <t>S18</t>
        </is>
      </c>
      <c r="N129" s="6" t="inlineStr">
        <is>
          <t>Team + Joaa</t>
        </is>
      </c>
      <c r="O129" s="6" t="inlineStr">
        <is>
          <t>Needs an AUTH and a protocol</t>
        </is>
      </c>
      <c r="P129" s="6" t="inlineStr">
        <is>
          <t>No</t>
        </is>
      </c>
      <c r="Q129" s="6" t="inlineStr">
        <is>
          <t>Disagreement</t>
        </is>
      </c>
      <c r="R129" s="6" t="inlineStr">
        <is>
          <t>Sub-item</t>
        </is>
      </c>
      <c r="S129" s="6" t="inlineStr">
        <is>
          <t>C-S01</t>
        </is>
      </c>
      <c r="T129" s="6" t="inlineStr">
        <is>
          <t>Lead and challenger disagree in part: E1 can end the token-saving question for negligible-share configurations but not the feasibility question; both positions are kept in v4-02 section 8 and v4-03 section 5.</t>
        </is>
      </c>
      <c r="U129" s="6" t="inlineStr">
        <is>
          <t>Retained disagreement; resolved only by the E1 result and a Joaa decision on what 'ends the line' means.</t>
        </is>
      </c>
      <c r="V129" s="6" t="inlineStr">
        <is>
          <t>E1 run; consequence agreed.</t>
        </is>
      </c>
      <c r="W129" s="6" t="inlineStr">
        <is>
          <t>C-D09</t>
        </is>
      </c>
      <c r="X129" s="6" t="inlineStr"/>
      <c r="Y129" s="6" t="inlineStr"/>
      <c r="Z129" s="6" t="inlineStr"/>
      <c r="AA129" s="6" t="inlineStr"/>
      <c r="AB129" s="6" t="inlineStr">
        <is>
          <t>DATA</t>
        </is>
      </c>
      <c r="AC129" s="6" t="inlineStr">
        <is>
          <t>n/a (new)</t>
        </is>
      </c>
      <c r="AD129" s="6" t="inlineStr">
        <is>
          <t>NEW (repo sweep)</t>
        </is>
      </c>
      <c r="AE129" s="6" t="inlineStr">
        <is>
          <t>2026-10-19</t>
        </is>
      </c>
      <c r="AF129" s="6" t="inlineStr">
        <is>
          <t>v4-02 section 8; v4-03 section 5</t>
        </is>
      </c>
      <c r="AG129" s="6" t="inlineStr"/>
      <c r="AH129" s="6" t="inlineStr">
        <is>
          <t>Yes</t>
        </is>
      </c>
      <c r="AI129" s="6" t="inlineStr"/>
      <c r="AJ129" s="6" t="inlineStr">
        <is>
          <t>repo: v4-02 section 8; thread T-20261019-96</t>
        </is>
      </c>
      <c r="AK129" s="6" t="inlineStr"/>
      <c r="AL129" s="6" t="inlineStr">
        <is>
          <t>S18</t>
        </is>
      </c>
    </row>
    <row r="130" ht="103" customHeight="1">
      <c r="A130" s="5" t="inlineStr">
        <is>
          <t>C-S01</t>
        </is>
      </c>
      <c r="B130" s="6" t="inlineStr">
        <is>
          <t>What share of tokens in real trajectories is tool definitions vs system prompt, history, tool outputs, by o...</t>
        </is>
      </c>
      <c r="C130" s="6" t="inlineStr">
        <is>
          <t>OPEN</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K10 Token composition</t>
        </is>
      </c>
      <c r="I130" s="6" t="inlineStr">
        <is>
          <t>G3 Before confirmatory study</t>
        </is>
      </c>
      <c r="J130" s="6" t="inlineStr">
        <is>
          <t>Normal</t>
        </is>
      </c>
      <c r="K130" s="6" t="n">
        <v>171</v>
      </c>
      <c r="L130" s="6" t="inlineStr">
        <is>
          <t>W3 Pilots (AUTH)</t>
        </is>
      </c>
      <c r="M130" s="6" t="inlineStr">
        <is>
          <t>S18</t>
        </is>
      </c>
      <c r="N130" s="6" t="inlineStr">
        <is>
          <t>Team</t>
        </is>
      </c>
      <c r="O130" s="6" t="inlineStr">
        <is>
          <t>Needs an AUTH and a protocol</t>
        </is>
      </c>
      <c r="P130" s="6" t="inlineStr">
        <is>
          <t>No</t>
        </is>
      </c>
      <c r="Q130" s="6" t="inlineStr">
        <is>
          <t>Scientific unknown</t>
        </is>
      </c>
      <c r="R130" s="6" t="inlineStr">
        <is>
          <t>Item</t>
        </is>
      </c>
      <c r="S130" s="6" t="inlineStr"/>
      <c r="T130" s="6" t="inlineStr">
        <is>
          <t>What share of tokens in real trajectories is tool definitions vs system prompt, history, tool outputs, by outcome?</t>
        </is>
      </c>
      <c r="U130"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30" s="6" t="inlineStr">
        <is>
          <t>Per-call provider usage split by category, size and outcome (E1); can end the token-saving line, not the feasibility line.</t>
        </is>
      </c>
      <c r="W130" s="6" t="inlineStr">
        <is>
          <t>C-D09, C-D08, C-S16</t>
        </is>
      </c>
      <c r="X130" s="6" t="inlineStr">
        <is>
          <t>C-D11, C-D02</t>
        </is>
      </c>
      <c r="Y130" s="6" t="inlineStr">
        <is>
          <t>Q-U03</t>
        </is>
      </c>
      <c r="Z130" s="6" t="inlineStr">
        <is>
          <t>DESK-ANALYSIS</t>
        </is>
      </c>
      <c r="AA130" s="6" t="inlineStr">
        <is>
          <t>K9 Cache &amp; billing</t>
        </is>
      </c>
      <c r="AB130" s="6" t="inlineStr">
        <is>
          <t>DATA</t>
        </is>
      </c>
      <c r="AC130" s="6" t="inlineStr">
        <is>
          <t>OPEN</t>
        </is>
      </c>
      <c r="AD130" s="6" t="inlineStr">
        <is>
          <t>UNCHANGED</t>
        </is>
      </c>
      <c r="AE130" s="6" t="inlineStr">
        <is>
          <t>2026-10-19</t>
        </is>
      </c>
      <c r="AF130" s="6" t="inlineStr">
        <is>
          <t>v4-02 section 8; v4-05 section 3</t>
        </is>
      </c>
      <c r="AG130" s="6" t="inlineStr"/>
      <c r="AH130" s="6" t="inlineStr">
        <is>
          <t>Yes</t>
        </is>
      </c>
      <c r="AI130" s="6" t="inlineStr"/>
      <c r="AJ130" s="6" t="inlineStr">
        <is>
          <t>SRC-11 canonical</t>
        </is>
      </c>
      <c r="AK130" s="6" t="inlineStr">
        <is>
          <t>SRC-06 S02, SRC-06 S39, SRC-07 12, v3-04 E1</t>
        </is>
      </c>
      <c r="AL130" s="6" t="inlineStr">
        <is>
          <t>S18</t>
        </is>
      </c>
    </row>
    <row r="131" ht="253" customHeight="1">
      <c r="A131" s="5" t="inlineStr">
        <is>
          <t>C-S03</t>
        </is>
      </c>
      <c r="B131" s="6" t="inlineStr">
        <is>
          <t>Cache and billing behaviour of deferred or appended tool definitions: hit rate, effective multiplier, clien...</t>
        </is>
      </c>
      <c r="C131" s="6" t="inlineStr">
        <is>
          <t>PARTLY ANSWERED</t>
        </is>
      </c>
      <c r="D131" s="6">
        <f>IFERROR(INDEX(Lists!$B$2:$B$14,MATCH(C131,Lists!$A$2:$A$14,0)),"?")</f>
        <v/>
      </c>
      <c r="E131" s="6">
        <f>IF(COUNTIFS(Links!$B$2:$B$600,A131,Links!$E$2:$E$600,"Yes")&gt;0,"REVISE","")</f>
        <v/>
      </c>
      <c r="F131" s="6">
        <f>COUNTIFS(Links!$B$2:$B$600,A131,Links!$D$2:$D$600,"No",Links!$C$2:$C$600,"&lt;&gt;INFORMS")</f>
        <v/>
      </c>
      <c r="G131" s="17" t="inlineStr">
        <is>
          <t>TEST-PILOT</t>
        </is>
      </c>
      <c r="H131" s="6" t="inlineStr">
        <is>
          <t>K9 Cache &amp; billing</t>
        </is>
      </c>
      <c r="I131" s="6" t="inlineStr">
        <is>
          <t>G3 Before confirmatory study</t>
        </is>
      </c>
      <c r="J131" s="6" t="inlineStr">
        <is>
          <t>Normal</t>
        </is>
      </c>
      <c r="K131" s="6" t="n">
        <v>172</v>
      </c>
      <c r="L131" s="6" t="inlineStr">
        <is>
          <t>W3 Pilots (AUTH)</t>
        </is>
      </c>
      <c r="M131" s="6" t="inlineStr">
        <is>
          <t>S18</t>
        </is>
      </c>
      <c r="N131" s="6" t="inlineStr">
        <is>
          <t>Team / provider</t>
        </is>
      </c>
      <c r="O131" s="6" t="inlineStr">
        <is>
          <t>Needs an AUTH and a protocol</t>
        </is>
      </c>
      <c r="P131" s="6" t="inlineStr">
        <is>
          <t>Partly</t>
        </is>
      </c>
      <c r="Q131" s="6" t="inlineStr">
        <is>
          <t>Scientific unknown</t>
        </is>
      </c>
      <c r="R131" s="6" t="inlineStr">
        <is>
          <t>Item</t>
        </is>
      </c>
      <c r="S131" s="6" t="inlineStr"/>
      <c r="T131"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31"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31" s="6" t="inlineStr">
        <is>
          <t>Matched trajectories on one named provider, model, TTL and layout with full usage records; scope of the claim stated.</t>
        </is>
      </c>
      <c r="W131" s="6" t="inlineStr">
        <is>
          <t>C-D09, C-D08, C-E05, C-S16</t>
        </is>
      </c>
      <c r="X131" s="6" t="inlineStr">
        <is>
          <t>C-D11</t>
        </is>
      </c>
      <c r="Y131" s="6" t="inlineStr">
        <is>
          <t>Q-J26</t>
        </is>
      </c>
      <c r="Z131" s="6" t="inlineStr">
        <is>
          <t>SOURCE-REREAD, TIME-RECHECK</t>
        </is>
      </c>
      <c r="AA131" s="6" t="inlineStr">
        <is>
          <t>K15 Expiring provider facts</t>
        </is>
      </c>
      <c r="AB131" s="6" t="inlineStr">
        <is>
          <t>DATA+TIME</t>
        </is>
      </c>
      <c r="AC131" s="6" t="inlineStr">
        <is>
          <t>OPEN</t>
        </is>
      </c>
      <c r="AD131" s="6" t="inlineStr">
        <is>
          <t>NARROWED</t>
        </is>
      </c>
      <c r="AE131" s="6" t="inlineStr">
        <is>
          <t>2026-10-19</t>
        </is>
      </c>
      <c r="AF131" s="6" t="inlineStr">
        <is>
          <t>v4-05 section 1A; EXT-0093/0096/0066; HYP-0009</t>
        </is>
      </c>
      <c r="AG131" s="6" t="inlineStr"/>
      <c r="AH131" s="6" t="inlineStr">
        <is>
          <t>Yes</t>
        </is>
      </c>
      <c r="AI131" s="6" t="inlineStr"/>
      <c r="AJ131" s="6" t="inlineStr">
        <is>
          <t>SRC-11 canonical</t>
        </is>
      </c>
      <c r="AK131" s="6" t="inlineStr">
        <is>
          <t>SRC-06 S03, SRC-06 S04, SRC-06 S08, HYP-0007, HYP-0009, RA12, CH-0065, CH-0066, Joaa 19 Oct 12:25 (explored information kept in cache)</t>
        </is>
      </c>
      <c r="AL131" s="6" t="inlineStr">
        <is>
          <t>S18</t>
        </is>
      </c>
    </row>
    <row r="132" ht="28" customHeight="1">
      <c r="A132" s="5" t="inlineStr">
        <is>
          <t>C-X01</t>
        </is>
      </c>
      <c r="B132" s="6" t="inlineStr">
        <is>
          <t>E1: the token-composition test that answers C-S01.</t>
        </is>
      </c>
      <c r="C132" s="6" t="inlineStr">
        <is>
          <t>UNRUN</t>
        </is>
      </c>
      <c r="D132" s="6">
        <f>IFERROR(INDEX(Lists!$B$2:$B$14,MATCH(C132,Lists!$A$2:$A$14,0)),"?")</f>
        <v/>
      </c>
      <c r="E132" s="6">
        <f>IF(COUNTIFS(Links!$B$2:$B$600,A132,Links!$E$2:$E$600,"Yes")&gt;0,"REVISE","")</f>
        <v/>
      </c>
      <c r="F132" s="6">
        <f>COUNTIFS(Links!$B$2:$B$600,A132,Links!$D$2:$D$600,"No",Links!$C$2:$C$600,"&lt;&gt;INFORMS")</f>
        <v/>
      </c>
      <c r="G132" s="17" t="inlineStr">
        <is>
          <t>TEST-PILOT</t>
        </is>
      </c>
      <c r="H132" s="6" t="inlineStr">
        <is>
          <t>K10 Token composition</t>
        </is>
      </c>
      <c r="I132" s="6" t="inlineStr">
        <is>
          <t>G3 Before confirmatory study</t>
        </is>
      </c>
      <c r="J132" s="6" t="inlineStr">
        <is>
          <t>Normal</t>
        </is>
      </c>
      <c r="K132" s="6" t="n">
        <v>173</v>
      </c>
      <c r="L132" s="6" t="inlineStr">
        <is>
          <t>W3 Pilots (AUTH)</t>
        </is>
      </c>
      <c r="M132" s="6" t="inlineStr">
        <is>
          <t>S18</t>
        </is>
      </c>
      <c r="N132" s="6" t="inlineStr">
        <is>
          <t>Team</t>
        </is>
      </c>
      <c r="O132" s="6" t="inlineStr">
        <is>
          <t>Needs an AUTH and a protocol</t>
        </is>
      </c>
      <c r="P132" s="6" t="inlineStr">
        <is>
          <t>No</t>
        </is>
      </c>
      <c r="Q132" s="6" t="inlineStr">
        <is>
          <t>Test</t>
        </is>
      </c>
      <c r="R132" s="6" t="inlineStr">
        <is>
          <t>Check</t>
        </is>
      </c>
      <c r="S132" s="6" t="inlineStr"/>
      <c r="T132" s="6" t="inlineStr">
        <is>
          <t>E1: the token-composition test that answers C-S01.</t>
        </is>
      </c>
      <c r="U132" s="6" t="inlineStr">
        <is>
          <t>Restated, not run; not authorized.</t>
        </is>
      </c>
      <c r="V132" s="6" t="inlineStr">
        <is>
          <t>Same as C-S01.</t>
        </is>
      </c>
      <c r="W132" s="6" t="inlineStr">
        <is>
          <t>C-D09, C-D08, C-S16</t>
        </is>
      </c>
      <c r="X132" s="6" t="inlineStr">
        <is>
          <t>C-D11</t>
        </is>
      </c>
      <c r="Y132" s="6" t="inlineStr"/>
      <c r="Z132" s="6" t="inlineStr"/>
      <c r="AA132" s="6" t="inlineStr">
        <is>
          <t>K9 Cache &amp; billing</t>
        </is>
      </c>
      <c r="AB132" s="6" t="inlineStr">
        <is>
          <t>DATA</t>
        </is>
      </c>
      <c r="AC132" s="6" t="inlineStr">
        <is>
          <t>NO RESULT - OPEN</t>
        </is>
      </c>
      <c r="AD132" s="6" t="inlineStr">
        <is>
          <t>UNCHANGED</t>
        </is>
      </c>
      <c r="AE132" s="6" t="inlineStr">
        <is>
          <t>2026-10-19</t>
        </is>
      </c>
      <c r="AF132" s="6" t="inlineStr">
        <is>
          <t>v4-02 section 8</t>
        </is>
      </c>
      <c r="AG132" s="6" t="inlineStr"/>
      <c r="AH132" s="6" t="inlineStr">
        <is>
          <t>Yes</t>
        </is>
      </c>
      <c r="AI132" s="6" t="inlineStr"/>
      <c r="AJ132" s="6" t="inlineStr">
        <is>
          <t>SRC-11 canonical</t>
        </is>
      </c>
      <c r="AK132" s="6" t="inlineStr">
        <is>
          <t>E1</t>
        </is>
      </c>
      <c r="AL132" s="6" t="inlineStr">
        <is>
          <t>S18</t>
        </is>
      </c>
    </row>
    <row r="133" ht="28" customHeight="1">
      <c r="A133" s="5" t="inlineStr">
        <is>
          <t>C-X07</t>
        </is>
      </c>
      <c r="B133" s="6" t="inlineStr">
        <is>
          <t>E7: billed-cost and cache probe that answers C-S03 (and feeds C-S02/S04).</t>
        </is>
      </c>
      <c r="C133" s="6" t="inlineStr">
        <is>
          <t>UNRUN</t>
        </is>
      </c>
      <c r="D133" s="6">
        <f>IFERROR(INDEX(Lists!$B$2:$B$14,MATCH(C133,Lists!$A$2:$A$14,0)),"?")</f>
        <v/>
      </c>
      <c r="E133" s="6">
        <f>IF(COUNTIFS(Links!$B$2:$B$600,A133,Links!$E$2:$E$600,"Yes")&gt;0,"REVISE","")</f>
        <v/>
      </c>
      <c r="F133" s="6">
        <f>COUNTIFS(Links!$B$2:$B$600,A133,Links!$D$2:$D$600,"No",Links!$C$2:$C$600,"&lt;&gt;INFORMS")</f>
        <v/>
      </c>
      <c r="G133" s="17" t="inlineStr">
        <is>
          <t>TEST-PILOT</t>
        </is>
      </c>
      <c r="H133" s="6" t="inlineStr">
        <is>
          <t>K9 Cache &amp; billing</t>
        </is>
      </c>
      <c r="I133" s="6" t="inlineStr">
        <is>
          <t>G3 Before confirmatory study</t>
        </is>
      </c>
      <c r="J133" s="6" t="inlineStr">
        <is>
          <t>Normal</t>
        </is>
      </c>
      <c r="K133" s="6" t="n">
        <v>174</v>
      </c>
      <c r="L133" s="6" t="inlineStr">
        <is>
          <t>W3 Pilots (AUTH)</t>
        </is>
      </c>
      <c r="M133" s="6" t="inlineStr">
        <is>
          <t>S18</t>
        </is>
      </c>
      <c r="N133" s="6" t="inlineStr">
        <is>
          <t>Team</t>
        </is>
      </c>
      <c r="O133" s="6" t="inlineStr">
        <is>
          <t>Needs an AUTH and a protocol</t>
        </is>
      </c>
      <c r="P133" s="6" t="inlineStr">
        <is>
          <t>No</t>
        </is>
      </c>
      <c r="Q133" s="6" t="inlineStr">
        <is>
          <t>Test</t>
        </is>
      </c>
      <c r="R133" s="6" t="inlineStr">
        <is>
          <t>Check</t>
        </is>
      </c>
      <c r="S133" s="6" t="inlineStr"/>
      <c r="T133" s="6" t="inlineStr">
        <is>
          <t>E7: billed-cost and cache probe that answers C-S03 (and feeds C-S02/S04).</t>
        </is>
      </c>
      <c r="U133" s="6" t="inlineStr">
        <is>
          <t>Pilot 1 reframed in v4-05 section 2; not run.</t>
        </is>
      </c>
      <c r="V133" s="6" t="inlineStr">
        <is>
          <t>Same as C-S03.</t>
        </is>
      </c>
      <c r="W133" s="6" t="inlineStr">
        <is>
          <t>C-D09, C-D08, C-E05, C-S16</t>
        </is>
      </c>
      <c r="X133" s="6" t="inlineStr">
        <is>
          <t>C-D11</t>
        </is>
      </c>
      <c r="Y133" s="6" t="inlineStr"/>
      <c r="Z133" s="6" t="inlineStr"/>
      <c r="AA133" s="6" t="inlineStr"/>
      <c r="AB133" s="6" t="inlineStr">
        <is>
          <t>DATA</t>
        </is>
      </c>
      <c r="AC133" s="6" t="inlineStr">
        <is>
          <t>NO RESULT - OPEN</t>
        </is>
      </c>
      <c r="AD133" s="6" t="inlineStr">
        <is>
          <t>UNCHANGED</t>
        </is>
      </c>
      <c r="AE133" s="6" t="inlineStr">
        <is>
          <t>2026-10-19</t>
        </is>
      </c>
      <c r="AF133" s="6" t="inlineStr">
        <is>
          <t>v4-05 section 2 item 2</t>
        </is>
      </c>
      <c r="AG133" s="6" t="inlineStr"/>
      <c r="AH133" s="6" t="inlineStr">
        <is>
          <t>Yes</t>
        </is>
      </c>
      <c r="AI133" s="6" t="inlineStr"/>
      <c r="AJ133" s="6" t="inlineStr">
        <is>
          <t>SRC-11 canonical</t>
        </is>
      </c>
      <c r="AK133" s="6" t="inlineStr">
        <is>
          <t>E7</t>
        </is>
      </c>
      <c r="AL133" s="6" t="inlineStr">
        <is>
          <t>S18</t>
        </is>
      </c>
    </row>
    <row r="134" ht="40.5" customHeight="1">
      <c r="A134" s="5" t="inlineStr">
        <is>
          <t>C-S04</t>
        </is>
      </c>
      <c r="B134" s="6" t="inlineStr">
        <is>
          <t>The warm-hit arithmetic (the '11-16%' figure) omits TTL, concurrency and growing suffix; session gaps unacc...</t>
        </is>
      </c>
      <c r="C134" s="6" t="inlineStr">
        <is>
          <t>OPEN</t>
        </is>
      </c>
      <c r="D134" s="6">
        <f>IFERROR(INDEX(Lists!$B$2:$B$14,MATCH(C134,Lists!$A$2:$A$14,0)),"?")</f>
        <v/>
      </c>
      <c r="E134" s="6">
        <f>IF(COUNTIFS(Links!$B$2:$B$600,A134,Links!$E$2:$E$600,"Yes")&gt;0,"REVISE","")</f>
        <v/>
      </c>
      <c r="F134" s="6">
        <f>COUNTIFS(Links!$B$2:$B$600,A134,Links!$D$2:$D$600,"No",Links!$C$2:$C$600,"&lt;&gt;INFORMS")</f>
        <v/>
      </c>
      <c r="G134" s="17" t="inlineStr">
        <is>
          <t>TEST-PILOT</t>
        </is>
      </c>
      <c r="H134" s="6" t="inlineStr">
        <is>
          <t>K9 Cache &amp; billing</t>
        </is>
      </c>
      <c r="I134" s="6" t="inlineStr">
        <is>
          <t>G4 Before claims</t>
        </is>
      </c>
      <c r="J134" s="6" t="inlineStr">
        <is>
          <t>Normal</t>
        </is>
      </c>
      <c r="K134" s="6" t="n">
        <v>175</v>
      </c>
      <c r="L134" s="6" t="inlineStr">
        <is>
          <t>W3 Pilots (AUTH)</t>
        </is>
      </c>
      <c r="M134" s="6" t="inlineStr">
        <is>
          <t>S18</t>
        </is>
      </c>
      <c r="N134" s="6" t="inlineStr">
        <is>
          <t>Team</t>
        </is>
      </c>
      <c r="O134" s="6" t="inlineStr">
        <is>
          <t>Needs an AUTH and a protocol</t>
        </is>
      </c>
      <c r="P134" s="6" t="inlineStr">
        <is>
          <t>Partly</t>
        </is>
      </c>
      <c r="Q134" s="6" t="inlineStr">
        <is>
          <t>Scientific unknown</t>
        </is>
      </c>
      <c r="R134" s="6" t="inlineStr">
        <is>
          <t>Item</t>
        </is>
      </c>
      <c r="S134" s="6" t="inlineStr"/>
      <c r="T134" s="6" t="inlineStr">
        <is>
          <t>The warm-hit arithmetic (the '11-16%' figure) omits TTL, concurrency and growing suffix; session gaps unaccounted.</t>
        </is>
      </c>
      <c r="U134" s="6" t="inlineStr">
        <is>
          <t>v4-04 section 3 gives a cost model with cold-start per session (arithmetic verified); the specific 11-16% figure is not in the repo.</t>
        </is>
      </c>
      <c r="V134" s="6" t="inlineStr">
        <is>
          <t>Recalculate with measured hit rates and varied session patterns.</t>
        </is>
      </c>
      <c r="W134" s="6" t="inlineStr">
        <is>
          <t>C-S03</t>
        </is>
      </c>
      <c r="X134" s="6" t="inlineStr"/>
      <c r="Y134" s="6" t="inlineStr">
        <is>
          <t>Q-J04</t>
        </is>
      </c>
      <c r="Z134" s="6" t="inlineStr">
        <is>
          <t>DESK-ANALYSIS</t>
        </is>
      </c>
      <c r="AA134" s="6" t="inlineStr">
        <is>
          <t>K4 Memory &amp; sessions</t>
        </is>
      </c>
      <c r="AB134" s="6" t="inlineStr">
        <is>
          <t>DATA+BOUND</t>
        </is>
      </c>
      <c r="AC134" s="6" t="inlineStr">
        <is>
          <t>OPEN</t>
        </is>
      </c>
      <c r="AD134" s="6" t="inlineStr">
        <is>
          <t>RE-CHARACTERISED</t>
        </is>
      </c>
      <c r="AE134" s="6" t="inlineStr">
        <is>
          <t>2026-10-19</t>
        </is>
      </c>
      <c r="AF134" s="6" t="inlineStr">
        <is>
          <t>v4-04 section 3</t>
        </is>
      </c>
      <c r="AG134" s="6" t="inlineStr"/>
      <c r="AH134" s="6" t="inlineStr">
        <is>
          <t>Yes (measured rates)</t>
        </is>
      </c>
      <c r="AI134" s="6" t="inlineStr"/>
      <c r="AJ134" s="6" t="inlineStr">
        <is>
          <t>SRC-11 canonical</t>
        </is>
      </c>
      <c r="AK134" s="6" t="inlineStr">
        <is>
          <t>SRC-06 S07</t>
        </is>
      </c>
      <c r="AL134" s="6" t="inlineStr">
        <is>
          <t>S18</t>
        </is>
      </c>
    </row>
    <row r="135" ht="65.5" customHeight="1">
      <c r="A135" s="5" t="inlineStr">
        <is>
          <t>C-S08/EVENTS</t>
        </is>
      </c>
      <c r="B135" s="6" t="inlineStr">
        <is>
          <t>Counted events and 'absent' constructs for the search pilot</t>
        </is>
      </c>
      <c r="C135" s="6" t="inlineStr">
        <is>
          <t>OPEN</t>
        </is>
      </c>
      <c r="D135" s="6">
        <f>IFERROR(INDEX(Lists!$B$2:$B$14,MATCH(C135,Lists!$A$2:$A$14,0)),"?")</f>
        <v/>
      </c>
      <c r="E135" s="6">
        <f>IF(COUNTIFS(Links!$B$2:$B$600,A135,Links!$E$2:$E$600,"Yes")&gt;0,"REVISE","")</f>
        <v/>
      </c>
      <c r="F135" s="6">
        <f>COUNTIFS(Links!$B$2:$B$600,A135,Links!$D$2:$D$600,"No",Links!$C$2:$C$600,"&lt;&gt;INFORMS")</f>
        <v/>
      </c>
      <c r="G135" s="13" t="inlineStr">
        <is>
          <t>DESK-ANALYSIS</t>
        </is>
      </c>
      <c r="H135" s="6" t="inlineStr">
        <is>
          <t>K8 Search initiation &amp; recovery</t>
        </is>
      </c>
      <c r="I135" s="6" t="inlineStr">
        <is>
          <t>G3 Before confirmatory study</t>
        </is>
      </c>
      <c r="J135" s="6" t="inlineStr">
        <is>
          <t>Normal</t>
        </is>
      </c>
      <c r="K135" s="6" t="n">
        <v>176</v>
      </c>
      <c r="L135" s="6" t="inlineStr">
        <is>
          <t>W3 Pilots (AUTH)</t>
        </is>
      </c>
      <c r="M135" s="6" t="inlineStr">
        <is>
          <t>S19</t>
        </is>
      </c>
      <c r="N135" s="6" t="inlineStr">
        <is>
          <t>Team</t>
        </is>
      </c>
      <c r="O135" s="6" t="inlineStr">
        <is>
          <t>Lead computes or writes it (no model runs)</t>
        </is>
      </c>
      <c r="P135" s="6" t="inlineStr">
        <is>
          <t>Partly</t>
        </is>
      </c>
      <c r="Q135" s="6" t="inlineStr">
        <is>
          <t>Scientific unknown</t>
        </is>
      </c>
      <c r="R135" s="6" t="inlineStr">
        <is>
          <t>Sub-item</t>
        </is>
      </c>
      <c r="S135" s="6" t="inlineStr">
        <is>
          <t>C-S08</t>
        </is>
      </c>
      <c r="T135" s="6" t="inlineStr">
        <is>
          <t>The pilot must count (i) search calls, (ii) domain-tool calls, (iii) direct answers, and separate three 'absent' constructs (hidden-but-present, nonexistent, visible-but-uncalled); a 'spurious call' means the opposite of correct behaviour in our setting.</t>
        </is>
      </c>
      <c r="U135" s="6" t="inlineStr">
        <is>
          <t>Recorded as open in its source; not examined further in this review.</t>
        </is>
      </c>
      <c r="V135" s="6" t="inlineStr">
        <is>
          <t>Definitions written into the pilot protocol.</t>
        </is>
      </c>
      <c r="W135" s="6" t="inlineStr">
        <is>
          <t>C-D09, C-D08</t>
        </is>
      </c>
      <c r="X135" s="6" t="inlineStr"/>
      <c r="Y135" s="6" t="inlineStr"/>
      <c r="Z135" s="6" t="inlineStr"/>
      <c r="AA135" s="6" t="inlineStr"/>
      <c r="AB135" s="6" t="inlineStr">
        <is>
          <t>DATA</t>
        </is>
      </c>
      <c r="AC135" s="6" t="inlineStr">
        <is>
          <t>n/a (sub-item)</t>
        </is>
      </c>
      <c r="AD135" s="6" t="inlineStr">
        <is>
          <t>NEW (SRC-11 sub-row)</t>
        </is>
      </c>
      <c r="AE135" s="6" t="inlineStr">
        <is>
          <t>2026-10-19</t>
        </is>
      </c>
      <c r="AF135" s="6" t="inlineStr">
        <is>
          <t>v4-05 section 1B</t>
        </is>
      </c>
      <c r="AG135" s="6" t="inlineStr"/>
      <c r="AH135" s="6" t="inlineStr">
        <is>
          <t>Yes</t>
        </is>
      </c>
      <c r="AI135" s="6" t="inlineStr"/>
      <c r="AJ135" s="6" t="inlineStr">
        <is>
          <t>repo: v4-05 sections 1B, 3, 4; reviews RV-0006/0007</t>
        </is>
      </c>
      <c r="AK135" s="6" t="inlineStr">
        <is>
          <t>CH-0061, CH-0072</t>
        </is>
      </c>
      <c r="AL135" s="6" t="inlineStr">
        <is>
          <t>S13</t>
        </is>
      </c>
    </row>
    <row r="136" ht="103" customHeight="1">
      <c r="A136" s="5" t="inlineStr">
        <is>
          <t>C-S08/FPCOST</t>
        </is>
      </c>
      <c r="B136" s="6" t="inlineStr">
        <is>
          <t>False-positive / wasted-call cost is priced by no source</t>
        </is>
      </c>
      <c r="C136" s="6" t="inlineStr">
        <is>
          <t>PARTLY ANSWERED</t>
        </is>
      </c>
      <c r="D136" s="6">
        <f>IFERROR(INDEX(Lists!$B$2:$B$14,MATCH(C136,Lists!$A$2:$A$14,0)),"?")</f>
        <v/>
      </c>
      <c r="E136" s="6">
        <f>IF(COUNTIFS(Links!$B$2:$B$600,A136,Links!$E$2:$E$600,"Yes")&gt;0,"REVISE","")</f>
        <v/>
      </c>
      <c r="F136" s="6">
        <f>COUNTIFS(Links!$B$2:$B$600,A136,Links!$D$2:$D$600,"No",Links!$C$2:$C$600,"&lt;&gt;INFORMS")</f>
        <v/>
      </c>
      <c r="G136" s="17" t="inlineStr">
        <is>
          <t>TEST-PILOT</t>
        </is>
      </c>
      <c r="H136" s="6" t="inlineStr">
        <is>
          <t>K8 Search initiation &amp; recovery</t>
        </is>
      </c>
      <c r="I136" s="6" t="inlineStr">
        <is>
          <t>G3 Before confirmatory study</t>
        </is>
      </c>
      <c r="J136" s="6" t="inlineStr">
        <is>
          <t>Normal</t>
        </is>
      </c>
      <c r="K136" s="6" t="n">
        <v>177</v>
      </c>
      <c r="L136" s="6" t="inlineStr">
        <is>
          <t>W3 Pilots (AUTH)</t>
        </is>
      </c>
      <c r="M136" s="6" t="inlineStr">
        <is>
          <t>S19</t>
        </is>
      </c>
      <c r="N136" s="6" t="inlineStr">
        <is>
          <t>Team</t>
        </is>
      </c>
      <c r="O136" s="6" t="inlineStr">
        <is>
          <t>Needs an AUTH and a protocol (pilot B) if the cost of spurious calls is to be priced</t>
        </is>
      </c>
      <c r="P136" s="6" t="inlineStr">
        <is>
          <t>Partly</t>
        </is>
      </c>
      <c r="Q136" s="6" t="inlineStr">
        <is>
          <t>Scientific unknown</t>
        </is>
      </c>
      <c r="R136" s="6" t="inlineStr">
        <is>
          <t>Sub-item</t>
        </is>
      </c>
      <c r="S136" s="6" t="inlineStr">
        <is>
          <t>C-S08</t>
        </is>
      </c>
      <c r="T136" s="6" t="inlineStr">
        <is>
          <t>Rates of hallucinated or spurious tool calls exist under different, non-interchangeable definitions (1-96%, 15-57%, BFCL irrelevance ~13-26% leading models); none prices the wasted rounds; scoring must be rule-based, not by an LLM judge that is also a candidate.</t>
        </is>
      </c>
      <c r="U136"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36" s="6" t="inlineStr">
        <is>
          <t>Cost accounting of false-positive calls in pilot B.</t>
        </is>
      </c>
      <c r="W136" s="6" t="inlineStr">
        <is>
          <t>C-D09, C-D08</t>
        </is>
      </c>
      <c r="X136" s="6" t="inlineStr"/>
      <c r="Y136" s="6" t="inlineStr"/>
      <c r="Z136" s="6" t="inlineStr"/>
      <c r="AA136" s="6" t="inlineStr"/>
      <c r="AB136" s="6" t="inlineStr">
        <is>
          <t>DATA</t>
        </is>
      </c>
      <c r="AC136" s="6" t="inlineStr">
        <is>
          <t>n/a (sub-item)</t>
        </is>
      </c>
      <c r="AD136" s="6" t="inlineStr">
        <is>
          <t>NEW (SRC-11 sub-row)</t>
        </is>
      </c>
      <c r="AE136" s="6" t="inlineStr">
        <is>
          <t>2026-10-19</t>
        </is>
      </c>
      <c r="AF136" s="6" t="inlineStr">
        <is>
          <t>FND-0016 (findings/SUM-0018); stored texts evidence/literature-20261019/lit-when2tool-2605.09252.txt, lit-tulip-2407.21778.txt, lit-closedworld-2609.19425.txt</t>
        </is>
      </c>
      <c r="AG136" s="6" t="inlineStr"/>
      <c r="AH136" s="6" t="inlineStr">
        <is>
          <t>Yes</t>
        </is>
      </c>
      <c r="AI136" s="6" t="inlineStr"/>
      <c r="AJ136" s="6" t="inlineStr">
        <is>
          <t>repo: v4-05 sections 1B, 3, 4; reviews RV-0006/0007</t>
        </is>
      </c>
      <c r="AK136" s="6" t="inlineStr">
        <is>
          <t>CH-0069, CH-0070</t>
        </is>
      </c>
      <c r="AL136" s="6" t="inlineStr">
        <is>
          <t>S13</t>
        </is>
      </c>
    </row>
    <row r="137" ht="28" customHeight="1">
      <c r="A137" s="5" t="inlineStr">
        <is>
          <t>C-S08/RA6</t>
        </is>
      </c>
      <c r="B137" s="6" t="inlineStr">
        <is>
          <t>RA6: scope statement must tell the model enough to search without leaking gold information</t>
        </is>
      </c>
      <c r="C137" s="6" t="inlineStr">
        <is>
          <t>OPEN</t>
        </is>
      </c>
      <c r="D137" s="6">
        <f>IFERROR(INDEX(Lists!$B$2:$B$14,MATCH(C137,Lists!$A$2:$A$14,0)),"?")</f>
        <v/>
      </c>
      <c r="E137" s="6">
        <f>IF(COUNTIFS(Links!$B$2:$B$600,A137,Links!$E$2:$E$600,"Yes")&gt;0,"REVISE","")</f>
        <v/>
      </c>
      <c r="F137" s="6">
        <f>COUNTIFS(Links!$B$2:$B$600,A137,Links!$D$2:$D$600,"No",Links!$C$2:$C$600,"&lt;&gt;INFORMS")</f>
        <v/>
      </c>
      <c r="G137" s="13" t="inlineStr">
        <is>
          <t>DESK-ANALYSIS</t>
        </is>
      </c>
      <c r="H137" s="6" t="inlineStr">
        <is>
          <t>K8 Search initiation &amp; recovery</t>
        </is>
      </c>
      <c r="I137" s="6" t="inlineStr">
        <is>
          <t>G3 Before confirmatory study</t>
        </is>
      </c>
      <c r="J137" s="6" t="inlineStr">
        <is>
          <t>Normal</t>
        </is>
      </c>
      <c r="K137" s="6" t="n">
        <v>178</v>
      </c>
      <c r="L137" s="6" t="inlineStr">
        <is>
          <t>W3 Pilots (AUTH)</t>
        </is>
      </c>
      <c r="M137" s="6" t="inlineStr">
        <is>
          <t>S19</t>
        </is>
      </c>
      <c r="N137" s="6" t="inlineStr">
        <is>
          <t>Team</t>
        </is>
      </c>
      <c r="O137" s="6" t="inlineStr">
        <is>
          <t>Lead computes or writes it (no model runs)</t>
        </is>
      </c>
      <c r="P137" s="6" t="inlineStr">
        <is>
          <t>Partly</t>
        </is>
      </c>
      <c r="Q137" s="6" t="inlineStr">
        <is>
          <t>Assumption</t>
        </is>
      </c>
      <c r="R137" s="6" t="inlineStr">
        <is>
          <t>Sub-item</t>
        </is>
      </c>
      <c r="S137" s="6" t="inlineStr">
        <is>
          <t>C-S08</t>
        </is>
      </c>
      <c r="T137" s="6" t="inlineStr">
        <is>
          <t>Recovery assumption RA6 (v3-02): the scope statement must be informative without leaking gold information.</t>
        </is>
      </c>
      <c r="U137" s="6" t="inlineStr">
        <is>
          <t>Recorded as open in its source; not examined further in this review.</t>
        </is>
      </c>
      <c r="V137" s="6" t="inlineStr">
        <is>
          <t>Statement ladder specified and its tokens charged (C-D08/SCOPESTMT).</t>
        </is>
      </c>
      <c r="W137" s="6" t="inlineStr">
        <is>
          <t>C-D09, C-D08</t>
        </is>
      </c>
      <c r="X137" s="6" t="inlineStr"/>
      <c r="Y137" s="6" t="inlineStr"/>
      <c r="Z137" s="6" t="inlineStr"/>
      <c r="AA137" s="6" t="inlineStr"/>
      <c r="AB137" s="6" t="inlineStr">
        <is>
          <t>DATA</t>
        </is>
      </c>
      <c r="AC137" s="6" t="inlineStr">
        <is>
          <t>n/a (sub-item)</t>
        </is>
      </c>
      <c r="AD137" s="6" t="inlineStr">
        <is>
          <t>NEW (SRC-11 sub-row)</t>
        </is>
      </c>
      <c r="AE137" s="6" t="inlineStr">
        <is>
          <t>2026-10-19</t>
        </is>
      </c>
      <c r="AF137" s="6" t="inlineStr">
        <is>
          <t>v3-02 section 4 RA1-RA13</t>
        </is>
      </c>
      <c r="AG137" s="6" t="inlineStr"/>
      <c r="AH137" s="6" t="inlineStr">
        <is>
          <t>Yes</t>
        </is>
      </c>
      <c r="AI137" s="6" t="inlineStr"/>
      <c r="AJ137" s="6" t="inlineStr">
        <is>
          <t>repo: v3-02 section 4</t>
        </is>
      </c>
      <c r="AK137" s="6" t="inlineStr">
        <is>
          <t>RA6</t>
        </is>
      </c>
      <c r="AL137" s="6" t="inlineStr">
        <is>
          <t>S13</t>
        </is>
      </c>
    </row>
    <row r="138" ht="115.5" customHeight="1">
      <c r="A138" s="5" t="inlineStr">
        <is>
          <t>C-S08/UNINSTR</t>
        </is>
      </c>
      <c r="B138" s="6" t="inlineStr">
        <is>
          <t>Uninstructed search initiation: no per-task rate found</t>
        </is>
      </c>
      <c r="C138" s="6" t="inlineStr">
        <is>
          <t>PARTLY ANSWERED</t>
        </is>
      </c>
      <c r="D138" s="6">
        <f>IFERROR(INDEX(Lists!$B$2:$B$14,MATCH(C138,Lists!$A$2:$A$14,0)),"?")</f>
        <v/>
      </c>
      <c r="E138" s="6">
        <f>IF(COUNTIFS(Links!$B$2:$B$600,A138,Links!$E$2:$E$600,"Yes")&gt;0,"REVISE","")</f>
        <v/>
      </c>
      <c r="F138" s="6">
        <f>COUNTIFS(Links!$B$2:$B$600,A138,Links!$D$2:$D$600,"No",Links!$C$2:$C$600,"&lt;&gt;INFORMS")</f>
        <v/>
      </c>
      <c r="G138" s="17" t="inlineStr">
        <is>
          <t>TEST-PILOT</t>
        </is>
      </c>
      <c r="H138" s="6" t="inlineStr">
        <is>
          <t>K8 Search initiation &amp; recovery</t>
        </is>
      </c>
      <c r="I138" s="6" t="inlineStr">
        <is>
          <t>G3 Before confirmatory study</t>
        </is>
      </c>
      <c r="J138" s="6" t="inlineStr">
        <is>
          <t>Normal</t>
        </is>
      </c>
      <c r="K138" s="6" t="n">
        <v>179</v>
      </c>
      <c r="L138" s="6" t="inlineStr">
        <is>
          <t>W3 Pilots (AUTH)</t>
        </is>
      </c>
      <c r="M138" s="6" t="inlineStr">
        <is>
          <t>S19</t>
        </is>
      </c>
      <c r="N138" s="6" t="inlineStr">
        <is>
          <t>Team</t>
        </is>
      </c>
      <c r="O138" s="6" t="inlineStr">
        <is>
          <t>Needs an AUTH and a protocol (pilot B) if a rate is wanted</t>
        </is>
      </c>
      <c r="P138" s="6" t="inlineStr">
        <is>
          <t>Partly</t>
        </is>
      </c>
      <c r="Q138" s="6" t="inlineStr">
        <is>
          <t>Scientific unknown</t>
        </is>
      </c>
      <c r="R138" s="6" t="inlineStr">
        <is>
          <t>Sub-item</t>
        </is>
      </c>
      <c r="S138" s="6" t="inlineStr">
        <is>
          <t>C-S08</t>
        </is>
      </c>
      <c r="T138" s="6" t="inlineStr">
        <is>
          <t>No source reports the share of tasks with zero search calls when a search channel exists but is not instructed and no visible tool fits.</t>
        </is>
      </c>
      <c r="U138"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38" s="6" t="inlineStr">
        <is>
          <t>Pilot B primary cell: tool-description only.</t>
        </is>
      </c>
      <c r="W138" s="6" t="inlineStr">
        <is>
          <t>C-D09, C-D08</t>
        </is>
      </c>
      <c r="X138" s="6" t="inlineStr"/>
      <c r="Y138" s="6" t="inlineStr"/>
      <c r="Z138" s="6" t="inlineStr"/>
      <c r="AA138" s="6" t="inlineStr"/>
      <c r="AB138" s="6" t="inlineStr">
        <is>
          <t>DATA</t>
        </is>
      </c>
      <c r="AC138" s="6" t="inlineStr">
        <is>
          <t>n/a (sub-item)</t>
        </is>
      </c>
      <c r="AD138" s="6" t="inlineStr">
        <is>
          <t>NEW (SRC-11 sub-row)</t>
        </is>
      </c>
      <c r="AE138" s="6" t="inlineStr">
        <is>
          <t>2026-10-19</t>
        </is>
      </c>
      <c r="AF138" s="6" t="inlineStr">
        <is>
          <t>FND-0016 (findings/SUM-0018); stored texts evidence/literature-20261019/lit-when2tool-2605.09252.txt, lit-tulip-2407.21778.txt, lit-closedworld-2609.19425.txt</t>
        </is>
      </c>
      <c r="AG138" s="6" t="inlineStr"/>
      <c r="AH138" s="6" t="inlineStr">
        <is>
          <t>Yes</t>
        </is>
      </c>
      <c r="AI138" s="6" t="inlineStr"/>
      <c r="AJ138" s="6" t="inlineStr">
        <is>
          <t>repo: v4-05 sections 1B, 3, 4; reviews RV-0006/0007</t>
        </is>
      </c>
      <c r="AK138" s="6" t="inlineStr">
        <is>
          <t>CH-0062, RA1b</t>
        </is>
      </c>
      <c r="AL138" s="6" t="inlineStr">
        <is>
          <t>S13</t>
        </is>
      </c>
    </row>
    <row r="139" ht="53" customHeight="1">
      <c r="A139" s="5" t="inlineStr">
        <is>
          <t>C-S08</t>
        </is>
      </c>
      <c r="B139" s="6" t="inlineStr">
        <is>
          <t>Do models start a search when a needed tool is not visible (uninstructed), does recovery restore success, a...</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K8 Search initiation &amp; recovery</t>
        </is>
      </c>
      <c r="I139" s="6" t="inlineStr">
        <is>
          <t>G3 Before confirmatory study</t>
        </is>
      </c>
      <c r="J139" s="6" t="inlineStr">
        <is>
          <t>Normal</t>
        </is>
      </c>
      <c r="K139" s="6" t="n">
        <v>180</v>
      </c>
      <c r="L139" s="6" t="inlineStr">
        <is>
          <t>W3 Pilots (AUTH)</t>
        </is>
      </c>
      <c r="M139" s="6" t="inlineStr">
        <is>
          <t>S19</t>
        </is>
      </c>
      <c r="N139" s="6" t="inlineStr">
        <is>
          <t>Team</t>
        </is>
      </c>
      <c r="O139" s="6" t="inlineStr">
        <is>
          <t>Needs an AUTH and a protocol</t>
        </is>
      </c>
      <c r="P139" s="6" t="inlineStr">
        <is>
          <t>Partly</t>
        </is>
      </c>
      <c r="Q139" s="6" t="inlineStr">
        <is>
          <t>Scientific unknown</t>
        </is>
      </c>
      <c r="R139" s="6" t="inlineStr">
        <is>
          <t>Item</t>
        </is>
      </c>
      <c r="S139" s="6" t="inlineStr"/>
      <c r="T139" s="6" t="inlineStr">
        <is>
          <t>Do models start a search when a needed tool is not visible (uninstructed), does recovery restore success, and what is the no-miss overhead?</t>
        </is>
      </c>
      <c r="U139" s="6" t="inlineStr">
        <is>
          <t>Instructed use is measured at catalogue scale for strong models (TheMCPCompany, LiveMCPBench); uninstructed initiation not found; false-positive rates exist under different definitions.</t>
        </is>
      </c>
      <c r="V139" s="6" t="inlineStr">
        <is>
          <t>Pilot B: tool-description-only cell, statement ladder, hidden-but-present / nonexistent / wrong-tool-visible arms, per-task share with zero searches.</t>
        </is>
      </c>
      <c r="W139" s="6" t="inlineStr">
        <is>
          <t>C-D09, C-D08, C-S16</t>
        </is>
      </c>
      <c r="X139" s="6" t="inlineStr">
        <is>
          <t>C-D03, C-D11</t>
        </is>
      </c>
      <c r="Y139" s="6" t="inlineStr">
        <is>
          <t>Q-U03</t>
        </is>
      </c>
      <c r="Z139" s="6" t="inlineStr">
        <is>
          <t>LITERATURE-DIRECTED</t>
        </is>
      </c>
      <c r="AA139" s="6" t="inlineStr">
        <is>
          <t>K11 End-to-end comparison</t>
        </is>
      </c>
      <c r="AB139" s="6" t="inlineStr">
        <is>
          <t>DATA</t>
        </is>
      </c>
      <c r="AC139" s="6" t="inlineStr">
        <is>
          <t>OPEN</t>
        </is>
      </c>
      <c r="AD139" s="6" t="inlineStr">
        <is>
          <t>NARROWED</t>
        </is>
      </c>
      <c r="AE139" s="6" t="inlineStr">
        <is>
          <t>2026-10-19</t>
        </is>
      </c>
      <c r="AF139" s="6" t="inlineStr">
        <is>
          <t>v4-05 sections 1B, 3, 4; HYP-0010</t>
        </is>
      </c>
      <c r="AG139" s="6" t="inlineStr"/>
      <c r="AH139" s="6" t="inlineStr">
        <is>
          <t>Yes</t>
        </is>
      </c>
      <c r="AI139" s="6" t="inlineStr"/>
      <c r="AJ139" s="6" t="inlineStr">
        <is>
          <t>SRC-11 canonical</t>
        </is>
      </c>
      <c r="AK139" s="6" t="inlineStr">
        <is>
          <t>SRC-06 S21, SRC-07 14, RA1, HYP-0003, HYP-0004, HYP-0010, HYP-0011, CAVEATS 16, CH-0059, CH-0060</t>
        </is>
      </c>
      <c r="AL139" s="6" t="inlineStr">
        <is>
          <t>S13</t>
        </is>
      </c>
    </row>
    <row r="140" ht="28" customHeight="1">
      <c r="A140" s="5" t="inlineStr">
        <is>
          <t>C-S09/RA10</t>
        </is>
      </c>
      <c r="B140" s="6" t="inlineStr">
        <is>
          <t>RA10: names and arguments found by search are valid at call time</t>
        </is>
      </c>
      <c r="C140" s="6" t="inlineStr">
        <is>
          <t>OPEN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K8 Search initiation &amp; recovery</t>
        </is>
      </c>
      <c r="I140" s="6" t="inlineStr">
        <is>
          <t>G3 Before confirmatory study</t>
        </is>
      </c>
      <c r="J140" s="6" t="inlineStr">
        <is>
          <t>Normal</t>
        </is>
      </c>
      <c r="K140" s="6" t="n">
        <v>181</v>
      </c>
      <c r="L140" s="6" t="inlineStr">
        <is>
          <t>W3 Pilots (AUTH)</t>
        </is>
      </c>
      <c r="M140" s="6" t="inlineStr">
        <is>
          <t>S19</t>
        </is>
      </c>
      <c r="N140" s="6" t="inlineStr">
        <is>
          <t>Team</t>
        </is>
      </c>
      <c r="O140" s="6" t="inlineStr">
        <is>
          <t>Needs an AUTH and a protocol</t>
        </is>
      </c>
      <c r="P140" s="6" t="inlineStr">
        <is>
          <t>No</t>
        </is>
      </c>
      <c r="Q140" s="6" t="inlineStr">
        <is>
          <t>Assumption</t>
        </is>
      </c>
      <c r="R140" s="6" t="inlineStr">
        <is>
          <t>Sub-item</t>
        </is>
      </c>
      <c r="S140" s="6" t="inlineStr">
        <is>
          <t>C-S09</t>
        </is>
      </c>
      <c r="T140" s="6" t="inlineStr">
        <is>
          <t>Recovery assumption RA10.</t>
        </is>
      </c>
      <c r="U140" s="6" t="inlineStr">
        <is>
          <t>Assumption.</t>
        </is>
      </c>
      <c r="V140" s="6" t="inlineStr">
        <is>
          <t>Tested end-to-end.</t>
        </is>
      </c>
      <c r="W140" s="6" t="inlineStr">
        <is>
          <t>C-D09, C-D08</t>
        </is>
      </c>
      <c r="X140" s="6" t="inlineStr"/>
      <c r="Y140" s="6" t="inlineStr"/>
      <c r="Z140" s="6" t="inlineStr"/>
      <c r="AA140" s="6" t="inlineStr"/>
      <c r="AB140" s="6" t="inlineStr">
        <is>
          <t>DATA</t>
        </is>
      </c>
      <c r="AC140" s="6" t="inlineStr">
        <is>
          <t>n/a (sub-item)</t>
        </is>
      </c>
      <c r="AD140" s="6" t="inlineStr">
        <is>
          <t>NEW (SRC-11 sub-row)</t>
        </is>
      </c>
      <c r="AE140" s="6" t="inlineStr">
        <is>
          <t>2026-10-19</t>
        </is>
      </c>
      <c r="AF140" s="6" t="inlineStr">
        <is>
          <t>v3-02 section 4</t>
        </is>
      </c>
      <c r="AG140" s="6" t="inlineStr"/>
      <c r="AH140" s="6" t="inlineStr">
        <is>
          <t>Yes</t>
        </is>
      </c>
      <c r="AI140" s="6" t="inlineStr"/>
      <c r="AJ140" s="6" t="inlineStr">
        <is>
          <t>repo: v3-02 section 4</t>
        </is>
      </c>
      <c r="AK140" s="6" t="inlineStr">
        <is>
          <t>RA10</t>
        </is>
      </c>
      <c r="AL140" s="6" t="inlineStr">
        <is>
          <t>S19</t>
        </is>
      </c>
    </row>
    <row r="141" ht="28" customHeight="1">
      <c r="A141" s="5" t="inlineStr">
        <is>
          <t>C-S09/RA7</t>
        </is>
      </c>
      <c r="B141" s="6" t="inlineStr">
        <is>
          <t>RA7: the model understands the interface schema</t>
        </is>
      </c>
      <c r="C141" s="6" t="inlineStr">
        <is>
          <t>OPEN</t>
        </is>
      </c>
      <c r="D141" s="6">
        <f>IFERROR(INDEX(Lists!$B$2:$B$14,MATCH(C141,Lists!$A$2:$A$14,0)),"?")</f>
        <v/>
      </c>
      <c r="E141" s="6">
        <f>IF(COUNTIFS(Links!$B$2:$B$600,A141,Links!$E$2:$E$600,"Yes")&gt;0,"REVISE","")</f>
        <v/>
      </c>
      <c r="F141" s="6">
        <f>COUNTIFS(Links!$B$2:$B$600,A141,Links!$D$2:$D$600,"No",Links!$C$2:$C$600,"&lt;&gt;INFORMS")</f>
        <v/>
      </c>
      <c r="G141" s="17" t="inlineStr">
        <is>
          <t>TEST-PILOT</t>
        </is>
      </c>
      <c r="H141" s="6" t="inlineStr">
        <is>
          <t>K8 Search initiation &amp; recovery</t>
        </is>
      </c>
      <c r="I141" s="6" t="inlineStr">
        <is>
          <t>G3 Before confirmatory study</t>
        </is>
      </c>
      <c r="J141" s="6" t="inlineStr">
        <is>
          <t>Normal</t>
        </is>
      </c>
      <c r="K141" s="6" t="n">
        <v>182</v>
      </c>
      <c r="L141" s="6" t="inlineStr">
        <is>
          <t>W3 Pilots (AUTH)</t>
        </is>
      </c>
      <c r="M141" s="6" t="inlineStr">
        <is>
          <t>S19</t>
        </is>
      </c>
      <c r="N141" s="6" t="inlineStr">
        <is>
          <t>Team</t>
        </is>
      </c>
      <c r="O141" s="6" t="inlineStr">
        <is>
          <t>Needs an AUTH and a protocol</t>
        </is>
      </c>
      <c r="P141" s="6" t="inlineStr">
        <is>
          <t>No</t>
        </is>
      </c>
      <c r="Q141" s="6" t="inlineStr">
        <is>
          <t>Assumption</t>
        </is>
      </c>
      <c r="R141" s="6" t="inlineStr">
        <is>
          <t>Sub-item</t>
        </is>
      </c>
      <c r="S141" s="6" t="inlineStr">
        <is>
          <t>C-S09</t>
        </is>
      </c>
      <c r="T141" s="6" t="inlineStr">
        <is>
          <t>Recovery assumption RA7.</t>
        </is>
      </c>
      <c r="U141" s="6" t="inlineStr">
        <is>
          <t>Assumption.</t>
        </is>
      </c>
      <c r="V141" s="6" t="inlineStr">
        <is>
          <t>Tested end-to-end.</t>
        </is>
      </c>
      <c r="W141" s="6" t="inlineStr">
        <is>
          <t>C-D09, C-D08</t>
        </is>
      </c>
      <c r="X141" s="6" t="inlineStr"/>
      <c r="Y141" s="6" t="inlineStr"/>
      <c r="Z141" s="6" t="inlineStr"/>
      <c r="AA141" s="6" t="inlineStr"/>
      <c r="AB141" s="6" t="inlineStr">
        <is>
          <t>DATA</t>
        </is>
      </c>
      <c r="AC141" s="6" t="inlineStr">
        <is>
          <t>n/a (sub-item)</t>
        </is>
      </c>
      <c r="AD141" s="6" t="inlineStr">
        <is>
          <t>NEW (SRC-11 sub-row)</t>
        </is>
      </c>
      <c r="AE141" s="6" t="inlineStr">
        <is>
          <t>2026-10-19</t>
        </is>
      </c>
      <c r="AF141" s="6" t="inlineStr">
        <is>
          <t>v3-02 section 4</t>
        </is>
      </c>
      <c r="AG141" s="6" t="inlineStr"/>
      <c r="AH141" s="6" t="inlineStr">
        <is>
          <t>Yes</t>
        </is>
      </c>
      <c r="AI141" s="6" t="inlineStr"/>
      <c r="AJ141" s="6" t="inlineStr">
        <is>
          <t>repo: v3-02 section 4</t>
        </is>
      </c>
      <c r="AK141" s="6" t="inlineStr">
        <is>
          <t>RA7</t>
        </is>
      </c>
      <c r="AL141" s="6" t="inlineStr">
        <is>
          <t>S19</t>
        </is>
      </c>
    </row>
    <row r="142" ht="40.5" customHeight="1">
      <c r="A142" s="5" t="inlineStr">
        <is>
          <t>C-S09</t>
        </is>
      </c>
      <c r="B142" s="6" t="inlineStr">
        <is>
          <t>Deferred-schema argument errors vs zero-call/under-invocation, measured as a pair.</t>
        </is>
      </c>
      <c r="C142" s="6" t="inlineStr">
        <is>
          <t>OPEN</t>
        </is>
      </c>
      <c r="D142" s="6">
        <f>IFERROR(INDEX(Lists!$B$2:$B$14,MATCH(C142,Lists!$A$2:$A$14,0)),"?")</f>
        <v/>
      </c>
      <c r="E142" s="6">
        <f>IF(COUNTIFS(Links!$B$2:$B$600,A142,Links!$E$2:$E$600,"Yes")&gt;0,"REVISE","")</f>
        <v/>
      </c>
      <c r="F142" s="6">
        <f>COUNTIFS(Links!$B$2:$B$600,A142,Links!$D$2:$D$600,"No",Links!$C$2:$C$600,"&lt;&gt;INFORMS")</f>
        <v/>
      </c>
      <c r="G142" s="17" t="inlineStr">
        <is>
          <t>TEST-PILOT</t>
        </is>
      </c>
      <c r="H142" s="6" t="inlineStr">
        <is>
          <t>K8 Search initiation &amp; recovery</t>
        </is>
      </c>
      <c r="I142" s="6" t="inlineStr">
        <is>
          <t>G3 Before confirmatory study</t>
        </is>
      </c>
      <c r="J142" s="6" t="inlineStr">
        <is>
          <t>Normal</t>
        </is>
      </c>
      <c r="K142" s="6" t="n">
        <v>183</v>
      </c>
      <c r="L142" s="6" t="inlineStr">
        <is>
          <t>W3 Pilots (AUTH)</t>
        </is>
      </c>
      <c r="M142" s="6" t="inlineStr">
        <is>
          <t>S19</t>
        </is>
      </c>
      <c r="N142" s="6" t="inlineStr">
        <is>
          <t>Team</t>
        </is>
      </c>
      <c r="O142" s="6" t="inlineStr">
        <is>
          <t>Needs an AUTH and a protocol</t>
        </is>
      </c>
      <c r="P142" s="6" t="inlineStr">
        <is>
          <t>No</t>
        </is>
      </c>
      <c r="Q142" s="6" t="inlineStr">
        <is>
          <t>Scientific unknown</t>
        </is>
      </c>
      <c r="R142" s="6" t="inlineStr">
        <is>
          <t>Item</t>
        </is>
      </c>
      <c r="S142" s="6" t="inlineStr"/>
      <c r="T142" s="6" t="inlineStr">
        <is>
          <t>Deferred-schema argument errors vs zero-call/under-invocation, measured as a pair.</t>
        </is>
      </c>
      <c r="U142" s="6" t="inlineStr">
        <is>
          <t>Related only: under-calling in small-model settings; nothing on deferred schemas.</t>
        </is>
      </c>
      <c r="V142" s="6" t="inlineStr">
        <is>
          <t>Eager vs deferred with parameter errors, no-call and success as separate outcomes.</t>
        </is>
      </c>
      <c r="W142" s="6" t="inlineStr">
        <is>
          <t>C-D09, C-D08, C-S16</t>
        </is>
      </c>
      <c r="X142" s="6" t="inlineStr">
        <is>
          <t>C-S08</t>
        </is>
      </c>
      <c r="Y142" s="6" t="inlineStr"/>
      <c r="Z142" s="6" t="inlineStr"/>
      <c r="AA142" s="6" t="inlineStr"/>
      <c r="AB142" s="6" t="inlineStr">
        <is>
          <t>DATA</t>
        </is>
      </c>
      <c r="AC142" s="6" t="inlineStr">
        <is>
          <t>OPEN</t>
        </is>
      </c>
      <c r="AD142" s="6" t="inlineStr">
        <is>
          <t>UNCHANGED</t>
        </is>
      </c>
      <c r="AE142" s="6" t="inlineStr">
        <is>
          <t>2026-10-19</t>
        </is>
      </c>
      <c r="AF142" s="6" t="inlineStr">
        <is>
          <t>v4-05 Round 5</t>
        </is>
      </c>
      <c r="AG142" s="6" t="inlineStr"/>
      <c r="AH142" s="6" t="inlineStr">
        <is>
          <t>Yes</t>
        </is>
      </c>
      <c r="AI142" s="6" t="inlineStr"/>
      <c r="AJ142" s="6" t="inlineStr">
        <is>
          <t>SRC-11 canonical</t>
        </is>
      </c>
      <c r="AK142" s="6" t="inlineStr">
        <is>
          <t>SRC-06 S22, SRC-06 S23, SRC-07 20</t>
        </is>
      </c>
      <c r="AL142" s="6" t="inlineStr">
        <is>
          <t>S19</t>
        </is>
      </c>
    </row>
    <row r="143" ht="28" customHeight="1">
      <c r="A143" s="5" t="inlineStr">
        <is>
          <t>C-X02</t>
        </is>
      </c>
      <c r="B143" s="6" t="inlineStr">
        <is>
          <t>E2: the omission/search test that answers C-S08.</t>
        </is>
      </c>
      <c r="C143" s="6" t="inlineStr">
        <is>
          <t>UNRUN</t>
        </is>
      </c>
      <c r="D143" s="6">
        <f>IFERROR(INDEX(Lists!$B$2:$B$14,MATCH(C143,Lists!$A$2:$A$14,0)),"?")</f>
        <v/>
      </c>
      <c r="E143" s="6">
        <f>IF(COUNTIFS(Links!$B$2:$B$600,A143,Links!$E$2:$E$600,"Yes")&gt;0,"REVISE","")</f>
        <v/>
      </c>
      <c r="F143" s="6">
        <f>COUNTIFS(Links!$B$2:$B$600,A143,Links!$D$2:$D$600,"No",Links!$C$2:$C$600,"&lt;&gt;INFORMS")</f>
        <v/>
      </c>
      <c r="G143" s="17" t="inlineStr">
        <is>
          <t>TEST-PILOT</t>
        </is>
      </c>
      <c r="H143" s="6" t="inlineStr">
        <is>
          <t>K8 Search initiation &amp; recovery</t>
        </is>
      </c>
      <c r="I143" s="6" t="inlineStr">
        <is>
          <t>G3 Before confirmatory study</t>
        </is>
      </c>
      <c r="J143" s="6" t="inlineStr">
        <is>
          <t>Normal</t>
        </is>
      </c>
      <c r="K143" s="6" t="n">
        <v>184</v>
      </c>
      <c r="L143" s="6" t="inlineStr">
        <is>
          <t>W3 Pilots (AUTH)</t>
        </is>
      </c>
      <c r="M143" s="6" t="inlineStr">
        <is>
          <t>S19</t>
        </is>
      </c>
      <c r="N143" s="6" t="inlineStr">
        <is>
          <t>Team</t>
        </is>
      </c>
      <c r="O143" s="6" t="inlineStr">
        <is>
          <t>Needs an AUTH and a protocol</t>
        </is>
      </c>
      <c r="P143" s="6" t="inlineStr">
        <is>
          <t>No</t>
        </is>
      </c>
      <c r="Q143" s="6" t="inlineStr">
        <is>
          <t>Test</t>
        </is>
      </c>
      <c r="R143" s="6" t="inlineStr">
        <is>
          <t>Check</t>
        </is>
      </c>
      <c r="S143" s="6" t="inlineStr"/>
      <c r="T143" s="6" t="inlineStr">
        <is>
          <t>E2: the omission/search test that answers C-S08.</t>
        </is>
      </c>
      <c r="U143" s="6" t="inlineStr">
        <is>
          <t>Pilot 2 reframed; not run.</t>
        </is>
      </c>
      <c r="V143" s="6" t="inlineStr">
        <is>
          <t>Same as C-S08.</t>
        </is>
      </c>
      <c r="W143" s="6" t="inlineStr">
        <is>
          <t>C-D09, C-D08, C-S16</t>
        </is>
      </c>
      <c r="X143" s="6" t="inlineStr">
        <is>
          <t>C-D03, C-D11</t>
        </is>
      </c>
      <c r="Y143" s="6" t="inlineStr"/>
      <c r="Z143" s="6" t="inlineStr"/>
      <c r="AA143" s="6" t="inlineStr"/>
      <c r="AB143" s="6" t="inlineStr">
        <is>
          <t>DATA</t>
        </is>
      </c>
      <c r="AC143" s="6" t="inlineStr">
        <is>
          <t>NO RESULT - OPEN</t>
        </is>
      </c>
      <c r="AD143" s="6" t="inlineStr">
        <is>
          <t>UNCHANGED</t>
        </is>
      </c>
      <c r="AE143" s="6" t="inlineStr">
        <is>
          <t>2026-10-19</t>
        </is>
      </c>
      <c r="AF143" s="6" t="inlineStr">
        <is>
          <t>v4-05 section 2 item 3</t>
        </is>
      </c>
      <c r="AG143" s="6" t="inlineStr"/>
      <c r="AH143" s="6" t="inlineStr">
        <is>
          <t>Yes</t>
        </is>
      </c>
      <c r="AI143" s="6" t="inlineStr"/>
      <c r="AJ143" s="6" t="inlineStr">
        <is>
          <t>SRC-11 canonical</t>
        </is>
      </c>
      <c r="AK143" s="6" t="inlineStr">
        <is>
          <t>E2</t>
        </is>
      </c>
      <c r="AL143" s="6" t="inlineStr">
        <is>
          <t>S19</t>
        </is>
      </c>
    </row>
    <row r="144" ht="40.5" customHeight="1">
      <c r="A144" s="5" t="inlineStr">
        <is>
          <t>C-S13/CALIB</t>
        </is>
      </c>
      <c r="B144" s="6" t="inlineStr">
        <is>
          <t>Calibration tolerance and 'roughly constant' for extrapolation above n_fit are undefined</t>
        </is>
      </c>
      <c r="C144" s="6" t="inlineStr">
        <is>
          <t>OPEN</t>
        </is>
      </c>
      <c r="D144" s="6">
        <f>IFERROR(INDEX(Lists!$B$2:$B$14,MATCH(C144,Lists!$A$2:$A$14,0)),"?")</f>
        <v/>
      </c>
      <c r="E144" s="6">
        <f>IF(COUNTIFS(Links!$B$2:$B$600,A144,Links!$E$2:$E$600,"Yes")&gt;0,"REVISE","")</f>
        <v/>
      </c>
      <c r="F144" s="6">
        <f>COUNTIFS(Links!$B$2:$B$600,A144,Links!$D$2:$D$600,"No",Links!$C$2:$C$600,"&lt;&gt;INFORMS")</f>
        <v/>
      </c>
      <c r="G144" s="10" t="inlineStr">
        <is>
          <t>JOAA-DECISION</t>
        </is>
      </c>
      <c r="H144" s="6" t="inlineStr">
        <is>
          <t>K7 Large-catalogue reference</t>
        </is>
      </c>
      <c r="I144" s="6" t="inlineStr">
        <is>
          <t>G3 Before confirmatory study</t>
        </is>
      </c>
      <c r="J144" s="6" t="inlineStr">
        <is>
          <t>Normal</t>
        </is>
      </c>
      <c r="K144" s="6" t="n">
        <v>185</v>
      </c>
      <c r="L144" s="6" t="inlineStr">
        <is>
          <t>W3 Pilots (AUTH)</t>
        </is>
      </c>
      <c r="M144" s="6" t="inlineStr">
        <is>
          <t>S20</t>
        </is>
      </c>
      <c r="N144" s="6" t="inlineStr">
        <is>
          <t>Team + Joaa</t>
        </is>
      </c>
      <c r="O144" s="6" t="inlineStr">
        <is>
          <t>Ask Joaa (Q-J13)</t>
        </is>
      </c>
      <c r="P144" s="6" t="inlineStr">
        <is>
          <t>No</t>
        </is>
      </c>
      <c r="Q144" s="6" t="inlineStr">
        <is>
          <t>Scientific unknown</t>
        </is>
      </c>
      <c r="R144" s="6" t="inlineStr">
        <is>
          <t>Sub-item</t>
        </is>
      </c>
      <c r="S144" s="6" t="inlineStr">
        <is>
          <t>C-S13</t>
        </is>
      </c>
      <c r="T144" s="6" t="inlineStr">
        <is>
          <t>R-pool calibration has no acceptance criterion; 'roughly constant' gap and the extrapolation above n_fit are assumptions; the claim above n_fit is only a trend.</t>
        </is>
      </c>
      <c r="U144" s="6" t="inlineStr">
        <is>
          <t>Documented as unresolved.</t>
        </is>
      </c>
      <c r="V144" s="6" t="inlineStr">
        <is>
          <t>A human-set tolerance and regression definition recorded.</t>
        </is>
      </c>
      <c r="W144" s="6" t="inlineStr"/>
      <c r="X144" s="6" t="inlineStr"/>
      <c r="Y144" s="6" t="inlineStr">
        <is>
          <t>Q-J13</t>
        </is>
      </c>
      <c r="Z144" s="6" t="inlineStr">
        <is>
          <t>DESK-ANALYSIS</t>
        </is>
      </c>
      <c r="AA144" s="6" t="inlineStr"/>
      <c r="AB144" s="6" t="inlineStr">
        <is>
          <t>DEC</t>
        </is>
      </c>
      <c r="AC144" s="6" t="inlineStr">
        <is>
          <t>n/a (sub-item)</t>
        </is>
      </c>
      <c r="AD144" s="6" t="inlineStr">
        <is>
          <t>NEW (SRC-11 sub-row)</t>
        </is>
      </c>
      <c r="AE144" s="6" t="inlineStr">
        <is>
          <t>2026-10-19</t>
        </is>
      </c>
      <c r="AF144" s="6" t="inlineStr">
        <is>
          <t>v4-02 section 4</t>
        </is>
      </c>
      <c r="AG144" s="6" t="inlineStr"/>
      <c r="AH144" s="6" t="inlineStr">
        <is>
          <t>Yes</t>
        </is>
      </c>
      <c r="AI144" s="6" t="inlineStr"/>
      <c r="AJ144" s="6" t="inlineStr">
        <is>
          <t>repo: v4-02 section 4 / v4-03 section 5</t>
        </is>
      </c>
      <c r="AK144" s="6" t="inlineStr">
        <is>
          <t>RV-0005 R5, RV-0005 R6</t>
        </is>
      </c>
      <c r="AL144" s="6" t="inlineStr">
        <is>
          <t>S09</t>
        </is>
      </c>
    </row>
    <row r="145" ht="53" customHeight="1">
      <c r="A145" s="5" t="inlineStr">
        <is>
          <t>C-S13/POOLDIR</t>
        </is>
      </c>
      <c r="B145" s="6" t="inlineStr">
        <is>
          <t>R-pool vs expose-all: is it a harder or an easier success bar? (retained disagreement)</t>
        </is>
      </c>
      <c r="C145" s="6" t="inlineStr">
        <is>
          <t>OPEN</t>
        </is>
      </c>
      <c r="D145" s="6">
        <f>IFERROR(INDEX(Lists!$B$2:$B$14,MATCH(C145,Lists!$A$2:$A$14,0)),"?")</f>
        <v/>
      </c>
      <c r="E145" s="6">
        <f>IF(COUNTIFS(Links!$B$2:$B$600,A145,Links!$E$2:$E$600,"Yes")&gt;0,"REVISE","")</f>
        <v/>
      </c>
      <c r="F145" s="6">
        <f>COUNTIFS(Links!$B$2:$B$600,A145,Links!$D$2:$D$600,"No",Links!$C$2:$C$600,"&lt;&gt;INFORMS")</f>
        <v/>
      </c>
      <c r="G145" s="17" t="inlineStr">
        <is>
          <t>TEST-PILOT</t>
        </is>
      </c>
      <c r="H145" s="6" t="inlineStr">
        <is>
          <t>K7 Large-catalogue reference</t>
        </is>
      </c>
      <c r="I145" s="6" t="inlineStr">
        <is>
          <t>G3 Before confirmatory study</t>
        </is>
      </c>
      <c r="J145" s="6" t="inlineStr">
        <is>
          <t>Normal</t>
        </is>
      </c>
      <c r="K145" s="6" t="n">
        <v>186</v>
      </c>
      <c r="L145" s="6" t="inlineStr">
        <is>
          <t>W3 Pilots (AUTH)</t>
        </is>
      </c>
      <c r="M145" s="6" t="inlineStr">
        <is>
          <t>S20</t>
        </is>
      </c>
      <c r="N145" s="6" t="inlineStr">
        <is>
          <t>Team + Joaa</t>
        </is>
      </c>
      <c r="O145" s="6" t="inlineStr">
        <is>
          <t>Needs an AUTH and a protocol</t>
        </is>
      </c>
      <c r="P145" s="6" t="inlineStr">
        <is>
          <t>No</t>
        </is>
      </c>
      <c r="Q145" s="6" t="inlineStr">
        <is>
          <t>Disagreement</t>
        </is>
      </c>
      <c r="R145" s="6" t="inlineStr">
        <is>
          <t>Sub-item</t>
        </is>
      </c>
      <c r="S145" s="6" t="inlineStr">
        <is>
          <t>C-S13</t>
        </is>
      </c>
      <c r="T145" s="6" t="inlineStr">
        <is>
          <t>Two readings are kept: R-pool has full reachability and little distraction (harder bar if its success &gt;= expose-all's), or a gold-derived pool is weaker and favours restriction. Neither is derived; the only evidence is one cell (44.0 vs 36.0, +/-8).</t>
        </is>
      </c>
      <c r="U145" s="6" t="inlineStr">
        <is>
          <t>Documented as unresolved.</t>
        </is>
      </c>
      <c r="V145" s="6" t="inlineStr">
        <is>
          <t>Calibration of R-pool against R-full where both exist.</t>
        </is>
      </c>
      <c r="W145" s="6" t="inlineStr"/>
      <c r="X145" s="6" t="inlineStr"/>
      <c r="Y145" s="6" t="inlineStr">
        <is>
          <t>Q-J13</t>
        </is>
      </c>
      <c r="Z145" s="6" t="inlineStr"/>
      <c r="AA145" s="6" t="inlineStr"/>
      <c r="AB145" s="6" t="inlineStr">
        <is>
          <t>DATA+BOUND</t>
        </is>
      </c>
      <c r="AC145" s="6" t="inlineStr">
        <is>
          <t>n/a (sub-item)</t>
        </is>
      </c>
      <c r="AD145" s="6" t="inlineStr">
        <is>
          <t>NEW (SRC-11 sub-row)</t>
        </is>
      </c>
      <c r="AE145" s="6" t="inlineStr">
        <is>
          <t>2026-10-19</t>
        </is>
      </c>
      <c r="AF145" s="6" t="inlineStr">
        <is>
          <t>v4-02 section 4</t>
        </is>
      </c>
      <c r="AG145" s="6" t="inlineStr"/>
      <c r="AH145" s="6" t="inlineStr">
        <is>
          <t>Yes</t>
        </is>
      </c>
      <c r="AI145" s="6" t="inlineStr"/>
      <c r="AJ145" s="6" t="inlineStr">
        <is>
          <t>repo: v4-02 section 4 / v4-03 section 5</t>
        </is>
      </c>
      <c r="AK145" s="6" t="inlineStr">
        <is>
          <t>CH-0051, RV-0005 R5</t>
        </is>
      </c>
      <c r="AL145" s="6" t="inlineStr">
        <is>
          <t>S09</t>
        </is>
      </c>
    </row>
    <row r="146" ht="40.5" customHeight="1">
      <c r="A146" s="5" t="inlineStr">
        <is>
          <t>C-S13/POOLPARAMS</t>
        </is>
      </c>
      <c r="B146" s="6" t="inlineStr">
        <is>
          <t>R-pool distractor rule, seed and size m unset</t>
        </is>
      </c>
      <c r="C146" s="6" t="inlineStr">
        <is>
          <t>OPEN</t>
        </is>
      </c>
      <c r="D146" s="6">
        <f>IFERROR(INDEX(Lists!$B$2:$B$14,MATCH(C146,Lists!$A$2:$A$14,0)),"?")</f>
        <v/>
      </c>
      <c r="E146" s="6">
        <f>IF(COUNTIFS(Links!$B$2:$B$600,A146,Links!$E$2:$E$600,"Yes")&gt;0,"REVISE","")</f>
        <v/>
      </c>
      <c r="F146" s="6">
        <f>COUNTIFS(Links!$B$2:$B$600,A146,Links!$D$2:$D$600,"No",Links!$C$2:$C$600,"&lt;&gt;INFORMS")</f>
        <v/>
      </c>
      <c r="G146" s="13" t="inlineStr">
        <is>
          <t>DESK-ANALYSIS</t>
        </is>
      </c>
      <c r="H146" s="6" t="inlineStr">
        <is>
          <t>K7 Large-catalogue reference</t>
        </is>
      </c>
      <c r="I146" s="6" t="inlineStr">
        <is>
          <t>G3 Before confirmatory study</t>
        </is>
      </c>
      <c r="J146" s="6" t="inlineStr">
        <is>
          <t>Normal</t>
        </is>
      </c>
      <c r="K146" s="6" t="n">
        <v>187</v>
      </c>
      <c r="L146" s="6" t="inlineStr">
        <is>
          <t>W3 Pilots (AUTH)</t>
        </is>
      </c>
      <c r="M146" s="6" t="inlineStr">
        <is>
          <t>S20</t>
        </is>
      </c>
      <c r="N146" s="6" t="inlineStr">
        <is>
          <t>Team + Joaa</t>
        </is>
      </c>
      <c r="O146" s="6" t="inlineStr">
        <is>
          <t>Lead computes or writes it (no model runs)</t>
        </is>
      </c>
      <c r="P146" s="6" t="inlineStr">
        <is>
          <t>No</t>
        </is>
      </c>
      <c r="Q146" s="6" t="inlineStr">
        <is>
          <t>Scientific unknown</t>
        </is>
      </c>
      <c r="R146" s="6" t="inlineStr">
        <is>
          <t>Sub-item</t>
        </is>
      </c>
      <c r="S146" s="6" t="inlineStr">
        <is>
          <t>C-S13</t>
        </is>
      </c>
      <c r="T146" s="6" t="inlineStr">
        <is>
          <t>The distractor distribution, seed and m (R-pool size) are design choices that are unset; random and near-miss distractors give different difficulty.</t>
        </is>
      </c>
      <c r="U146" s="6" t="inlineStr">
        <is>
          <t>Documented as unresolved.</t>
        </is>
      </c>
      <c r="V146" s="6" t="inlineStr">
        <is>
          <t>Rule, seed and m fixed in the contract.</t>
        </is>
      </c>
      <c r="W146" s="6" t="inlineStr"/>
      <c r="X146" s="6" t="inlineStr"/>
      <c r="Y146" s="6" t="inlineStr"/>
      <c r="Z146" s="6" t="inlineStr"/>
      <c r="AA146" s="6" t="inlineStr"/>
      <c r="AB146" s="6" t="inlineStr">
        <is>
          <t>DEC</t>
        </is>
      </c>
      <c r="AC146" s="6" t="inlineStr">
        <is>
          <t>n/a (sub-item)</t>
        </is>
      </c>
      <c r="AD146" s="6" t="inlineStr">
        <is>
          <t>NEW (SRC-11 sub-row)</t>
        </is>
      </c>
      <c r="AE146" s="6" t="inlineStr">
        <is>
          <t>2026-10-19</t>
        </is>
      </c>
      <c r="AF146" s="6" t="inlineStr">
        <is>
          <t>v4-02 section 4</t>
        </is>
      </c>
      <c r="AG146" s="6" t="inlineStr"/>
      <c r="AH146" s="6" t="inlineStr">
        <is>
          <t>Yes</t>
        </is>
      </c>
      <c r="AI146" s="6" t="inlineStr"/>
      <c r="AJ146" s="6" t="inlineStr">
        <is>
          <t>repo: v4-02 section 4 / v4-03 section 5</t>
        </is>
      </c>
      <c r="AK146" s="6" t="inlineStr"/>
      <c r="AL146" s="6" t="inlineStr">
        <is>
          <t>S09</t>
        </is>
      </c>
    </row>
    <row r="147" ht="53" customHeight="1">
      <c r="A147" s="5" t="inlineStr">
        <is>
          <t>C-S13</t>
        </is>
      </c>
      <c r="B147" s="6" t="inlineStr">
        <is>
          <t>Is the substitute reference valid, and how does it relate to true full exposure?</t>
        </is>
      </c>
      <c r="C147" s="6" t="inlineStr">
        <is>
          <t>PARTLY ANSWERED</t>
        </is>
      </c>
      <c r="D147" s="6">
        <f>IFERROR(INDEX(Lists!$B$2:$B$14,MATCH(C147,Lists!$A$2:$A$14,0)),"?")</f>
        <v/>
      </c>
      <c r="E147" s="6">
        <f>IF(COUNTIFS(Links!$B$2:$B$600,A147,Links!$E$2:$E$600,"Yes")&gt;0,"REVISE","")</f>
        <v/>
      </c>
      <c r="F147" s="6">
        <f>COUNTIFS(Links!$B$2:$B$600,A147,Links!$D$2:$D$600,"No",Links!$C$2:$C$600,"&lt;&gt;INFORMS")</f>
        <v/>
      </c>
      <c r="G147" s="17" t="inlineStr">
        <is>
          <t>TEST-PILOT</t>
        </is>
      </c>
      <c r="H147" s="6" t="inlineStr">
        <is>
          <t>K7 Large-catalogue reference</t>
        </is>
      </c>
      <c r="I147" s="6" t="inlineStr">
        <is>
          <t>G3 Before confirmatory study</t>
        </is>
      </c>
      <c r="J147" s="6" t="inlineStr">
        <is>
          <t>Normal</t>
        </is>
      </c>
      <c r="K147" s="6" t="n">
        <v>188</v>
      </c>
      <c r="L147" s="6" t="inlineStr">
        <is>
          <t>W3 Pilots (AUTH)</t>
        </is>
      </c>
      <c r="M147" s="6" t="inlineStr">
        <is>
          <t>S20</t>
        </is>
      </c>
      <c r="N147" s="6" t="inlineStr">
        <is>
          <t>Team (+Joaa on margin)</t>
        </is>
      </c>
      <c r="O147" s="6" t="inlineStr">
        <is>
          <t>Needs an AUTH and a protocol</t>
        </is>
      </c>
      <c r="P147" s="6" t="inlineStr">
        <is>
          <t>Partly</t>
        </is>
      </c>
      <c r="Q147" s="6" t="inlineStr">
        <is>
          <t>Scientific unknown</t>
        </is>
      </c>
      <c r="R147" s="6" t="inlineStr">
        <is>
          <t>Item</t>
        </is>
      </c>
      <c r="S147" s="6" t="inlineStr"/>
      <c r="T147" s="6" t="inlineStr">
        <is>
          <t>Is the substitute reference valid, and how does it relate to true full exposure?</t>
        </is>
      </c>
      <c r="U147" s="6" t="inlineStr">
        <is>
          <t>v3's substitute rule was found undefined for catalogues and replaced by a reference ladder (R-full, R-pool, frontier); R-pool's direction is unresolved.</t>
        </is>
      </c>
      <c r="V147" s="6" t="inlineStr">
        <is>
          <t>R-pool calibrated against R-full where both exist; above n_fit only substitute-relative claims.</t>
        </is>
      </c>
      <c r="W147" s="6" t="inlineStr">
        <is>
          <t>C-D09, C-D08, C-E06</t>
        </is>
      </c>
      <c r="X147" s="6" t="inlineStr">
        <is>
          <t>C-S12</t>
        </is>
      </c>
      <c r="Y147" s="6" t="inlineStr">
        <is>
          <t>Q-J13, Q-U03</t>
        </is>
      </c>
      <c r="Z147" s="6" t="inlineStr">
        <is>
          <t>ACCEPT-LIMITATION, JOAA-DECISION</t>
        </is>
      </c>
      <c r="AA147" s="6" t="inlineStr">
        <is>
          <t>K5 Evaluation contract</t>
        </is>
      </c>
      <c r="AB147" s="6" t="inlineStr">
        <is>
          <t>DATA+BOUND</t>
        </is>
      </c>
      <c r="AC147" s="6" t="inlineStr">
        <is>
          <t>PARTLY ANSWERED - OPEN</t>
        </is>
      </c>
      <c r="AD147" s="6" t="inlineStr">
        <is>
          <t>RE-CHARACTERISED</t>
        </is>
      </c>
      <c r="AE147" s="6" t="inlineStr">
        <is>
          <t>2026-10-19</t>
        </is>
      </c>
      <c r="AF147" s="6" t="inlineStr">
        <is>
          <t>v4-02 section 4; v4-03 section 1 row 5</t>
        </is>
      </c>
      <c r="AG147" s="6" t="inlineStr"/>
      <c r="AH147" s="6" t="inlineStr">
        <is>
          <t>Yes</t>
        </is>
      </c>
      <c r="AI147" s="6" t="inlineStr"/>
      <c r="AJ147" s="6" t="inlineStr">
        <is>
          <t>SRC-11 canonical</t>
        </is>
      </c>
      <c r="AK147" s="6" t="inlineStr">
        <is>
          <t>SRC-06 S31, SRC-07 18, SRC-07 32, v3-04 objection 5, CH-0038</t>
        </is>
      </c>
      <c r="AL147" s="6" t="inlineStr">
        <is>
          <t>S09</t>
        </is>
      </c>
    </row>
    <row r="148" ht="300" customHeight="1">
      <c r="A148" s="5" t="inlineStr">
        <is>
          <t>AS-12</t>
        </is>
      </c>
      <c r="B148" s="6" t="inlineStr">
        <is>
          <t>Supervisor assertion A12: LLM behaviour does not transfer across models</t>
        </is>
      </c>
      <c r="C148" s="6" t="inlineStr">
        <is>
          <t>PARTLY ANSWERED</t>
        </is>
      </c>
      <c r="D148" s="6">
        <f>IFERROR(INDEX(Lists!$B$2:$B$14,MATCH(C148,Lists!$A$2:$A$14,0)),"?")</f>
        <v/>
      </c>
      <c r="E148" s="6">
        <f>IF(COUNTIFS(Links!$B$2:$B$600,A148,Links!$E$2:$E$600,"Yes")&gt;0,"REVISE","")</f>
        <v/>
      </c>
      <c r="F148" s="6">
        <f>COUNTIFS(Links!$B$2:$B$600,A148,Links!$D$2:$D$600,"No",Links!$C$2:$C$600,"&lt;&gt;INFORMS")</f>
        <v/>
      </c>
      <c r="G148" s="17" t="inlineStr">
        <is>
          <t>TEST-PILOT</t>
        </is>
      </c>
      <c r="H148" s="6" t="inlineStr">
        <is>
          <t>K5 Evaluation contract</t>
        </is>
      </c>
      <c r="I148" s="6" t="inlineStr">
        <is>
          <t>G4 Before claims</t>
        </is>
      </c>
      <c r="J148" s="6" t="inlineStr">
        <is>
          <t>Normal</t>
        </is>
      </c>
      <c r="K148" s="6" t="n">
        <v>189</v>
      </c>
      <c r="L148" s="6" t="inlineStr">
        <is>
          <t>W3 Pilots (AUTH)</t>
        </is>
      </c>
      <c r="M148" s="6" t="inlineStr">
        <is>
          <t>S20</t>
        </is>
      </c>
      <c r="N148" s="6" t="inlineStr">
        <is>
          <t>Lead / team</t>
        </is>
      </c>
      <c r="O148" s="6" t="inlineStr">
        <is>
          <t>Q-J29 and Q-J21 (how many models)</t>
        </is>
      </c>
      <c r="P148" s="6" t="inlineStr">
        <is>
          <t>No</t>
        </is>
      </c>
      <c r="Q148" s="6" t="inlineStr">
        <is>
          <t>Claim to test</t>
        </is>
      </c>
      <c r="R148" s="6" t="inlineStr">
        <is>
          <t>Item</t>
        </is>
      </c>
      <c r="S148" s="6" t="inlineStr"/>
      <c r="T148" s="6" t="inlineStr">
        <is>
          <t>REQ-A1 A12: LLM behaviour does not transfer across models. Empirical claim; affects how many evaluation models are needed (U12).</t>
        </is>
      </c>
      <c r="U148"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t>
        </is>
      </c>
      <c r="V148" s="6" t="inlineStr">
        <is>
          <t>Empirical claim; affects how many evaluation models are needed (U12).</t>
        </is>
      </c>
      <c r="W148" s="6" t="inlineStr"/>
      <c r="X148" s="6" t="inlineStr"/>
      <c r="Y148" s="6" t="inlineStr">
        <is>
          <t>Q-J21, Q-J29</t>
        </is>
      </c>
      <c r="Z148" s="6" t="inlineStr"/>
      <c r="AA148" s="6" t="inlineStr"/>
      <c r="AB148" s="6" t="inlineStr">
        <is>
          <t>DATA</t>
        </is>
      </c>
      <c r="AC148" s="6" t="inlineStr">
        <is>
          <t>n/a (REGISTER E)</t>
        </is>
      </c>
      <c r="AD148" s="6" t="inlineStr">
        <is>
          <t>NEW (repo sweep)</t>
        </is>
      </c>
      <c r="AE148" s="6" t="inlineStr">
        <is>
          <t>2026-10-20</t>
        </is>
      </c>
      <c r="AF148" s="6" t="inlineStr">
        <is>
          <t>FND-0029 (findings/SUM-0031; the steward ended at its turn limit with the table but no verdict paragraph: the verdict here is the lead's reading of that table)</t>
        </is>
      </c>
      <c r="AG148" s="6" t="inlineStr"/>
      <c r="AH148" s="6" t="inlineStr">
        <is>
          <t>Yes</t>
        </is>
      </c>
      <c r="AI148" s="6" t="inlineStr"/>
      <c r="AJ148" s="6" t="inlineStr">
        <is>
          <t>repo: REGISTER section E / EXT-0004</t>
        </is>
      </c>
      <c r="AK148" s="6" t="inlineStr">
        <is>
          <t>REQ-A1 A12</t>
        </is>
      </c>
      <c r="AL148" s="6" t="inlineStr">
        <is>
          <t>S11</t>
        </is>
      </c>
    </row>
    <row r="149" ht="300" customHeight="1">
      <c r="A149" s="5" t="inlineStr">
        <is>
          <t>AS-06</t>
        </is>
      </c>
      <c r="B149" s="6" t="inlineStr">
        <is>
          <t>Supervisor assertion A6: ~50% token reduction is 'low-hanging fruit' with no accuracy loss; 50% to 10% is the hard part</t>
        </is>
      </c>
      <c r="C149" s="6" t="inlineStr">
        <is>
          <t>PARTLY ANSWERED</t>
        </is>
      </c>
      <c r="D149" s="6">
        <f>IFERROR(INDEX(Lists!$B$2:$B$14,MATCH(C149,Lists!$A$2:$A$14,0)),"?")</f>
        <v/>
      </c>
      <c r="E149" s="6">
        <f>IF(COUNTIFS(Links!$B$2:$B$600,A149,Links!$E$2:$E$600,"Yes")&gt;0,"REVISE","")</f>
        <v/>
      </c>
      <c r="F149" s="6">
        <f>COUNTIFS(Links!$B$2:$B$600,A149,Links!$D$2:$D$600,"No",Links!$C$2:$C$600,"&lt;&gt;INFORMS")</f>
        <v/>
      </c>
      <c r="G149" s="17" t="inlineStr">
        <is>
          <t>TEST-PILOT</t>
        </is>
      </c>
      <c r="H149" s="6" t="inlineStr">
        <is>
          <t>K12 Selector &amp; need estimation</t>
        </is>
      </c>
      <c r="I149" s="6" t="inlineStr">
        <is>
          <t>G4 Before claims</t>
        </is>
      </c>
      <c r="J149" s="6" t="inlineStr">
        <is>
          <t>Normal</t>
        </is>
      </c>
      <c r="K149" s="6" t="n">
        <v>190</v>
      </c>
      <c r="L149" s="6" t="inlineStr">
        <is>
          <t>W3 Pilots (AUTH)</t>
        </is>
      </c>
      <c r="M149" s="6" t="inlineStr">
        <is>
          <t>S20</t>
        </is>
      </c>
      <c r="N149" s="6" t="inlineStr">
        <is>
          <t>Lead / team</t>
        </is>
      </c>
      <c r="O149" s="6" t="inlineStr">
        <is>
          <t>Q-J29 (Joaa accepts, amends or drops the sharper version); a measurement in our setting would test it</t>
        </is>
      </c>
      <c r="P149" s="6" t="inlineStr">
        <is>
          <t>No</t>
        </is>
      </c>
      <c r="Q149" s="6" t="inlineStr">
        <is>
          <t>Claim to test</t>
        </is>
      </c>
      <c r="R149" s="6" t="inlineStr">
        <is>
          <t>Item</t>
        </is>
      </c>
      <c r="S149" s="6" t="inlineStr"/>
      <c r="T149" s="6" t="inlineStr">
        <is>
          <t>REQ-A1 A6: ~50% token reduction is 'low-hanging fruit' with no accuracy loss; 50% to 10% is the hard part. Quantitative claim; needs sources or measurement (the same premise as C-S15).</t>
        </is>
      </c>
      <c r="U149"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t>
        </is>
      </c>
      <c r="V149" s="6" t="inlineStr">
        <is>
          <t>Quantitative claim; needs sources or measurement (the same premise as C-S15).</t>
        </is>
      </c>
      <c r="W149" s="6" t="inlineStr">
        <is>
          <t>C-D09, C-D08</t>
        </is>
      </c>
      <c r="X149" s="6" t="inlineStr"/>
      <c r="Y149" s="6" t="inlineStr">
        <is>
          <t>Q-J29</t>
        </is>
      </c>
      <c r="Z149" s="6" t="inlineStr"/>
      <c r="AA149" s="6" t="inlineStr"/>
      <c r="AB149" s="6" t="inlineStr">
        <is>
          <t>DATA</t>
        </is>
      </c>
      <c r="AC149" s="6" t="inlineStr">
        <is>
          <t>n/a (REGISTER E)</t>
        </is>
      </c>
      <c r="AD149" s="6" t="inlineStr">
        <is>
          <t>NEW (repo sweep)</t>
        </is>
      </c>
      <c r="AE149" s="6" t="inlineStr">
        <is>
          <t>2026-10-20</t>
        </is>
      </c>
      <c r="AF149" s="6" t="inlineStr">
        <is>
          <t>FND-0028 (findings/SUM-0030); EXT-0215</t>
        </is>
      </c>
      <c r="AG149" s="6" t="inlineStr"/>
      <c r="AH149" s="6" t="inlineStr">
        <is>
          <t>Yes</t>
        </is>
      </c>
      <c r="AI149" s="6" t="inlineStr"/>
      <c r="AJ149" s="6" t="inlineStr">
        <is>
          <t>repo: REGISTER section E / EXT-0004</t>
        </is>
      </c>
      <c r="AK149" s="6" t="inlineStr">
        <is>
          <t>REQ-A1 A6</t>
        </is>
      </c>
      <c r="AL149" s="6" t="inlineStr">
        <is>
          <t>S11</t>
        </is>
      </c>
    </row>
    <row r="150" ht="215.5" customHeight="1">
      <c r="A150" s="5" t="inlineStr">
        <is>
          <t>AS-13</t>
        </is>
      </c>
      <c r="B150" s="6" t="inlineStr">
        <is>
          <t>Supervisor assertion A13: Filtering 100 to 60 is a safe 'big win'; names only for the lowest tier keep accuracy</t>
        </is>
      </c>
      <c r="C150" s="6" t="inlineStr">
        <is>
          <t>NOT LOCATED</t>
        </is>
      </c>
      <c r="D150" s="6">
        <f>IFERROR(INDEX(Lists!$B$2:$B$14,MATCH(C150,Lists!$A$2:$A$14,0)),"?")</f>
        <v/>
      </c>
      <c r="E150" s="6">
        <f>IF(COUNTIFS(Links!$B$2:$B$600,A150,Links!$E$2:$E$600,"Yes")&gt;0,"REVISE","")</f>
        <v/>
      </c>
      <c r="F150" s="6">
        <f>COUNTIFS(Links!$B$2:$B$600,A150,Links!$D$2:$D$600,"No",Links!$C$2:$C$600,"&lt;&gt;INFORMS")</f>
        <v/>
      </c>
      <c r="G150" s="17" t="inlineStr">
        <is>
          <t>TEST-PILOT</t>
        </is>
      </c>
      <c r="H150" s="6" t="inlineStr">
        <is>
          <t>K12 Selector &amp; need estimation</t>
        </is>
      </c>
      <c r="I150" s="6" t="inlineStr">
        <is>
          <t>G4 Before claims</t>
        </is>
      </c>
      <c r="J150" s="6" t="inlineStr">
        <is>
          <t>Normal</t>
        </is>
      </c>
      <c r="K150" s="6" t="n">
        <v>191</v>
      </c>
      <c r="L150" s="6" t="inlineStr">
        <is>
          <t>W3 Pilots (AUTH)</t>
        </is>
      </c>
      <c r="M150" s="6" t="inlineStr">
        <is>
          <t>S20</t>
        </is>
      </c>
      <c r="N150" s="6" t="inlineStr">
        <is>
          <t>Lead / team</t>
        </is>
      </c>
      <c r="O150" s="6" t="inlineStr">
        <is>
          <t>A graded-exposure arm is a candidate pilot cell (needs Q-J12 and an AUTH); web search for MCP-Atlas exposure experiments is optional</t>
        </is>
      </c>
      <c r="P150" s="6" t="inlineStr">
        <is>
          <t>No</t>
        </is>
      </c>
      <c r="Q150" s="6" t="inlineStr">
        <is>
          <t>Claim to test</t>
        </is>
      </c>
      <c r="R150" s="6" t="inlineStr">
        <is>
          <t>Item</t>
        </is>
      </c>
      <c r="S150" s="6" t="inlineStr"/>
      <c r="T150" s="6" t="inlineStr">
        <is>
          <t>REQ-A1 A13: Filtering 100 to 60 is a safe 'big win'; names only for the lowest tier keep accuracy. Untested design claim.</t>
        </is>
      </c>
      <c r="U150"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t>
        </is>
      </c>
      <c r="V150" s="6" t="inlineStr">
        <is>
          <t>Untested design claim.</t>
        </is>
      </c>
      <c r="W150" s="6" t="inlineStr">
        <is>
          <t>C-D09, C-D08</t>
        </is>
      </c>
      <c r="X150" s="6" t="inlineStr"/>
      <c r="Y150" s="6" t="inlineStr">
        <is>
          <t>Q-J29</t>
        </is>
      </c>
      <c r="Z150" s="6" t="inlineStr"/>
      <c r="AA150" s="6" t="inlineStr"/>
      <c r="AB150" s="6" t="inlineStr">
        <is>
          <t>DATA</t>
        </is>
      </c>
      <c r="AC150" s="6" t="inlineStr">
        <is>
          <t>n/a (REGISTER E)</t>
        </is>
      </c>
      <c r="AD150" s="6" t="inlineStr">
        <is>
          <t>NEW (repo sweep)</t>
        </is>
      </c>
      <c r="AE150" s="6" t="inlineStr">
        <is>
          <t>2026-10-20</t>
        </is>
      </c>
      <c r="AF150" s="6" t="inlineStr">
        <is>
          <t>FND-0028 (findings/SUM-0030); EXT-0215</t>
        </is>
      </c>
      <c r="AG150" s="6" t="inlineStr"/>
      <c r="AH150" s="6" t="inlineStr">
        <is>
          <t>Yes</t>
        </is>
      </c>
      <c r="AI150" s="6" t="inlineStr"/>
      <c r="AJ150" s="6" t="inlineStr">
        <is>
          <t>repo: REGISTER section E / EXT-0004</t>
        </is>
      </c>
      <c r="AK150" s="6" t="inlineStr">
        <is>
          <t>REQ-A1 A13</t>
        </is>
      </c>
      <c r="AL150" s="6" t="inlineStr">
        <is>
          <t>S11</t>
        </is>
      </c>
    </row>
    <row r="151" ht="40.5" customHeight="1">
      <c r="A151" s="5" t="inlineStr">
        <is>
          <t>C-S12</t>
        </is>
      </c>
      <c r="B151" s="6" t="inlineStr">
        <is>
          <t>Need labels and selector recall at large catalogue size have no valid estimator when the full reference can...</t>
        </is>
      </c>
      <c r="C151" s="6" t="inlineStr">
        <is>
          <t>OPEN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K12 Selector &amp; need estimation</t>
        </is>
      </c>
      <c r="I151" s="6" t="inlineStr">
        <is>
          <t>G3 Before confirmatory study</t>
        </is>
      </c>
      <c r="J151" s="6" t="inlineStr">
        <is>
          <t>Normal</t>
        </is>
      </c>
      <c r="K151" s="6" t="n">
        <v>192</v>
      </c>
      <c r="L151" s="6" t="inlineStr">
        <is>
          <t>W3 Pilots (AUTH)</t>
        </is>
      </c>
      <c r="M151" s="6" t="inlineStr">
        <is>
          <t>S20</t>
        </is>
      </c>
      <c r="N151" s="6" t="inlineStr">
        <is>
          <t>Team</t>
        </is>
      </c>
      <c r="O151" s="6" t="inlineStr">
        <is>
          <t>Needs an AUTH and a protocol</t>
        </is>
      </c>
      <c r="P151" s="6" t="inlineStr">
        <is>
          <t>No</t>
        </is>
      </c>
      <c r="Q151" s="6" t="inlineStr">
        <is>
          <t>Scientific unknown</t>
        </is>
      </c>
      <c r="R151" s="6" t="inlineStr">
        <is>
          <t>Item</t>
        </is>
      </c>
      <c r="S151" s="6" t="inlineStr"/>
      <c r="T151" s="6" t="inlineStr">
        <is>
          <t>Need labels and selector recall at large catalogue size have no valid estimator when the full reference cannot run.</t>
        </is>
      </c>
      <c r="U151" s="6" t="inlineStr">
        <is>
          <t>v4 brief: no legitimate labelled data for request-level narrowing recall.</t>
        </is>
      </c>
      <c r="V151" s="6" t="inlineStr">
        <is>
          <t>Estimator tested where the reference fits; transfer limit stated.</t>
        </is>
      </c>
      <c r="W151" s="6" t="inlineStr">
        <is>
          <t>C-D09, C-D08</t>
        </is>
      </c>
      <c r="X151" s="6" t="inlineStr">
        <is>
          <t>C-D11</t>
        </is>
      </c>
      <c r="Y151" s="6" t="inlineStr">
        <is>
          <t>Q-U03</t>
        </is>
      </c>
      <c r="Z151" s="6" t="inlineStr">
        <is>
          <t>LITERATURE-DIRECTED, ACCEPT-LIMITATION</t>
        </is>
      </c>
      <c r="AA151" s="6" t="inlineStr">
        <is>
          <t>K7 Large-catalogue reference</t>
        </is>
      </c>
      <c r="AB151" s="6" t="inlineStr">
        <is>
          <t>DATA+BOUND</t>
        </is>
      </c>
      <c r="AC151" s="6" t="inlineStr">
        <is>
          <t>OPEN</t>
        </is>
      </c>
      <c r="AD151" s="6" t="inlineStr">
        <is>
          <t>UNCHANGED</t>
        </is>
      </c>
      <c r="AE151" s="6" t="inlineStr">
        <is>
          <t>2026-10-19</t>
        </is>
      </c>
      <c r="AF151" s="6" t="inlineStr">
        <is>
          <t>v4-01 section 6 item 5</t>
        </is>
      </c>
      <c r="AG151" s="6" t="inlineStr"/>
      <c r="AH151" s="6" t="inlineStr">
        <is>
          <t>Yes</t>
        </is>
      </c>
      <c r="AI151" s="6" t="inlineStr"/>
      <c r="AJ151" s="6" t="inlineStr">
        <is>
          <t>SRC-11 canonical</t>
        </is>
      </c>
      <c r="AK151" s="6" t="inlineStr">
        <is>
          <t>SRC-06 S30, SRC-07 15, RA2, v3-04 objection 4</t>
        </is>
      </c>
      <c r="AL151" s="6" t="inlineStr">
        <is>
          <t>S13</t>
        </is>
      </c>
    </row>
    <row r="152" ht="28" customHeight="1">
      <c r="A152" s="5" t="inlineStr">
        <is>
          <t>C-S12/RA13</t>
        </is>
      </c>
      <c r="B152" s="6" t="inlineStr">
        <is>
          <t>RA13: model query vocabulary matches tool descriptions well enough</t>
        </is>
      </c>
      <c r="C152" s="6" t="inlineStr">
        <is>
          <t>OPEN</t>
        </is>
      </c>
      <c r="D152" s="6">
        <f>IFERROR(INDEX(Lists!$B$2:$B$14,MATCH(C152,Lists!$A$2:$A$14,0)),"?")</f>
        <v/>
      </c>
      <c r="E152" s="6">
        <f>IF(COUNTIFS(Links!$B$2:$B$600,A152,Links!$E$2:$E$600,"Yes")&gt;0,"REVISE","")</f>
        <v/>
      </c>
      <c r="F152" s="6">
        <f>COUNTIFS(Links!$B$2:$B$600,A152,Links!$D$2:$D$600,"No",Links!$C$2:$C$600,"&lt;&gt;INFORMS")</f>
        <v/>
      </c>
      <c r="G152" s="17" t="inlineStr">
        <is>
          <t>TEST-PILOT</t>
        </is>
      </c>
      <c r="H152" s="6" t="inlineStr">
        <is>
          <t>K12 Selector &amp; need estimation</t>
        </is>
      </c>
      <c r="I152" s="6" t="inlineStr">
        <is>
          <t>G3 Before confirmatory study</t>
        </is>
      </c>
      <c r="J152" s="6" t="inlineStr">
        <is>
          <t>Normal</t>
        </is>
      </c>
      <c r="K152" s="6" t="n">
        <v>193</v>
      </c>
      <c r="L152" s="6" t="inlineStr">
        <is>
          <t>W3 Pilots (AUTH)</t>
        </is>
      </c>
      <c r="M152" s="6" t="inlineStr">
        <is>
          <t>S20</t>
        </is>
      </c>
      <c r="N152" s="6" t="inlineStr">
        <is>
          <t>Team</t>
        </is>
      </c>
      <c r="O152" s="6" t="inlineStr">
        <is>
          <t>Needs an AUTH and a protocol</t>
        </is>
      </c>
      <c r="P152" s="6" t="inlineStr">
        <is>
          <t>No</t>
        </is>
      </c>
      <c r="Q152" s="6" t="inlineStr">
        <is>
          <t>Assumption</t>
        </is>
      </c>
      <c r="R152" s="6" t="inlineStr">
        <is>
          <t>Sub-item</t>
        </is>
      </c>
      <c r="S152" s="6" t="inlineStr">
        <is>
          <t>C-S12</t>
        </is>
      </c>
      <c r="T152" s="6" t="inlineStr">
        <is>
          <t>Recovery assumption RA13: a vocabulary mismatch is a recall failure counted in q.</t>
        </is>
      </c>
      <c r="U152" s="6" t="inlineStr">
        <is>
          <t>Assumption.</t>
        </is>
      </c>
      <c r="V152" s="6" t="inlineStr">
        <is>
          <t>Recall measured per query style.</t>
        </is>
      </c>
      <c r="W152" s="6" t="inlineStr">
        <is>
          <t>C-D09, C-D08</t>
        </is>
      </c>
      <c r="X152" s="6" t="inlineStr"/>
      <c r="Y152" s="6" t="inlineStr"/>
      <c r="Z152" s="6" t="inlineStr"/>
      <c r="AA152" s="6" t="inlineStr"/>
      <c r="AB152" s="6" t="inlineStr">
        <is>
          <t>DATA</t>
        </is>
      </c>
      <c r="AC152" s="6" t="inlineStr">
        <is>
          <t>n/a (sub-item)</t>
        </is>
      </c>
      <c r="AD152" s="6" t="inlineStr">
        <is>
          <t>NEW (SRC-11 sub-row)</t>
        </is>
      </c>
      <c r="AE152" s="6" t="inlineStr">
        <is>
          <t>2026-10-19</t>
        </is>
      </c>
      <c r="AF152" s="6" t="inlineStr">
        <is>
          <t>v3-02 section 4</t>
        </is>
      </c>
      <c r="AG152" s="6" t="inlineStr"/>
      <c r="AH152" s="6" t="inlineStr">
        <is>
          <t>Yes</t>
        </is>
      </c>
      <c r="AI152" s="6" t="inlineStr"/>
      <c r="AJ152" s="6" t="inlineStr">
        <is>
          <t>repo: v3-02 section 4</t>
        </is>
      </c>
      <c r="AK152" s="6" t="inlineStr">
        <is>
          <t>RA13</t>
        </is>
      </c>
      <c r="AL152" s="6" t="inlineStr">
        <is>
          <t>S13</t>
        </is>
      </c>
    </row>
    <row r="153" ht="40.5" customHeight="1">
      <c r="A153" s="5" t="inlineStr">
        <is>
          <t>C-S15</t>
        </is>
      </c>
      <c r="B153" s="6" t="inlineStr">
        <is>
          <t>Does a concentrated usage core exist and transfer to held-out tasks; do model-count effects hold at matched...</t>
        </is>
      </c>
      <c r="C153" s="6" t="inlineStr">
        <is>
          <t>OPEN</t>
        </is>
      </c>
      <c r="D153" s="6">
        <f>IFERROR(INDEX(Lists!$B$2:$B$14,MATCH(C153,Lists!$A$2:$A$14,0)),"?")</f>
        <v/>
      </c>
      <c r="E153" s="6">
        <f>IF(COUNTIFS(Links!$B$2:$B$600,A153,Links!$E$2:$E$600,"Yes")&gt;0,"REVISE","")</f>
        <v/>
      </c>
      <c r="F153" s="6">
        <f>COUNTIFS(Links!$B$2:$B$600,A153,Links!$D$2:$D$600,"No",Links!$C$2:$C$600,"&lt;&gt;INFORMS")</f>
        <v/>
      </c>
      <c r="G153" s="17" t="inlineStr">
        <is>
          <t>TEST-PILOT</t>
        </is>
      </c>
      <c r="H153" s="6" t="inlineStr">
        <is>
          <t>K12 Selector &amp; need estimation</t>
        </is>
      </c>
      <c r="I153" s="6" t="inlineStr">
        <is>
          <t>G3 Before confirmatory study</t>
        </is>
      </c>
      <c r="J153" s="6" t="inlineStr">
        <is>
          <t>Normal</t>
        </is>
      </c>
      <c r="K153" s="6" t="n">
        <v>194</v>
      </c>
      <c r="L153" s="6" t="inlineStr">
        <is>
          <t>W3 Pilots (AUTH)</t>
        </is>
      </c>
      <c r="M153" s="6" t="inlineStr">
        <is>
          <t>S20</t>
        </is>
      </c>
      <c r="N153" s="6" t="inlineStr">
        <is>
          <t>Team</t>
        </is>
      </c>
      <c r="O153" s="6" t="inlineStr">
        <is>
          <t>Needs an AUTH and a protocol</t>
        </is>
      </c>
      <c r="P153" s="6" t="inlineStr">
        <is>
          <t>No</t>
        </is>
      </c>
      <c r="Q153" s="6" t="inlineStr">
        <is>
          <t>Scientific unknown</t>
        </is>
      </c>
      <c r="R153" s="6" t="inlineStr">
        <is>
          <t>Item</t>
        </is>
      </c>
      <c r="S153" s="6" t="inlineStr"/>
      <c r="T153" s="6" t="inlineStr">
        <is>
          <t>Does a concentrated usage core exist and transfer to held-out tasks; do model-count effects hold at matched tokens?</t>
        </is>
      </c>
      <c r="U153" s="6" t="inlineStr">
        <is>
          <t>No held-out evidence (HYP-0014 proposed); C-A already demoted to a component.</t>
        </is>
      </c>
      <c r="V153" s="6" t="inlineStr">
        <is>
          <t>Held-out core test plus matched-token contrasts.</t>
        </is>
      </c>
      <c r="W153" s="6" t="inlineStr">
        <is>
          <t>C-D09, C-D08</t>
        </is>
      </c>
      <c r="X153" s="6" t="inlineStr">
        <is>
          <t>C-D11, C-S01</t>
        </is>
      </c>
      <c r="Y153" s="6" t="inlineStr">
        <is>
          <t>Q-J27, Q-U03</t>
        </is>
      </c>
      <c r="Z153" s="6" t="inlineStr"/>
      <c r="AA153" s="6" t="inlineStr">
        <is>
          <t>K10 Token composition</t>
        </is>
      </c>
      <c r="AB153" s="6" t="inlineStr">
        <is>
          <t>DATA</t>
        </is>
      </c>
      <c r="AC153" s="6" t="inlineStr">
        <is>
          <t>OPEN</t>
        </is>
      </c>
      <c r="AD153" s="6" t="inlineStr">
        <is>
          <t>UNCHANGED</t>
        </is>
      </c>
      <c r="AE153" s="6" t="inlineStr">
        <is>
          <t>2026-10-19</t>
        </is>
      </c>
      <c r="AF153" s="6" t="inlineStr">
        <is>
          <t>HYP-0014; v4-01 section 5</t>
        </is>
      </c>
      <c r="AG153" s="6" t="inlineStr"/>
      <c r="AH153" s="6" t="inlineStr">
        <is>
          <t>Yes</t>
        </is>
      </c>
      <c r="AI153" s="6" t="inlineStr"/>
      <c r="AJ153" s="6" t="inlineStr">
        <is>
          <t>SRC-11 canonical</t>
        </is>
      </c>
      <c r="AK153" s="6" t="inlineStr">
        <is>
          <t>SRC-06 S33, SRC-06 S39, HYP-0014</t>
        </is>
      </c>
      <c r="AL153" s="6" t="inlineStr">
        <is>
          <t>S20</t>
        </is>
      </c>
    </row>
    <row r="154" ht="28" customHeight="1">
      <c r="A154" s="5" t="inlineStr">
        <is>
          <t>C-X03</t>
        </is>
      </c>
      <c r="B154" s="6" t="inlineStr">
        <is>
          <t>E3/E8: selector recall plus need-estimator check that answers C-S12.</t>
        </is>
      </c>
      <c r="C154" s="6" t="inlineStr">
        <is>
          <t>UNRUN</t>
        </is>
      </c>
      <c r="D154" s="6">
        <f>IFERROR(INDEX(Lists!$B$2:$B$14,MATCH(C154,Lists!$A$2:$A$14,0)),"?")</f>
        <v/>
      </c>
      <c r="E154" s="6">
        <f>IF(COUNTIFS(Links!$B$2:$B$600,A154,Links!$E$2:$E$600,"Yes")&gt;0,"REVISE","")</f>
        <v/>
      </c>
      <c r="F154" s="6">
        <f>COUNTIFS(Links!$B$2:$B$600,A154,Links!$D$2:$D$600,"No",Links!$C$2:$C$600,"&lt;&gt;INFORMS")</f>
        <v/>
      </c>
      <c r="G154" s="17" t="inlineStr">
        <is>
          <t>TEST-PILOT</t>
        </is>
      </c>
      <c r="H154" s="6" t="inlineStr">
        <is>
          <t>K12 Selector &amp; need estimation</t>
        </is>
      </c>
      <c r="I154" s="6" t="inlineStr">
        <is>
          <t>G3 Before confirmatory study</t>
        </is>
      </c>
      <c r="J154" s="6" t="inlineStr">
        <is>
          <t>Normal</t>
        </is>
      </c>
      <c r="K154" s="6" t="n">
        <v>195</v>
      </c>
      <c r="L154" s="6" t="inlineStr">
        <is>
          <t>W3 Pilots (AUTH)</t>
        </is>
      </c>
      <c r="M154" s="6" t="inlineStr">
        <is>
          <t>S20</t>
        </is>
      </c>
      <c r="N154" s="6" t="inlineStr">
        <is>
          <t>Team</t>
        </is>
      </c>
      <c r="O154" s="6" t="inlineStr">
        <is>
          <t>Needs an AUTH and a protocol</t>
        </is>
      </c>
      <c r="P154" s="6" t="inlineStr">
        <is>
          <t>No</t>
        </is>
      </c>
      <c r="Q154" s="6" t="inlineStr">
        <is>
          <t>Test</t>
        </is>
      </c>
      <c r="R154" s="6" t="inlineStr">
        <is>
          <t>Check</t>
        </is>
      </c>
      <c r="S154" s="6" t="inlineStr"/>
      <c r="T154" s="6" t="inlineStr">
        <is>
          <t>E3/E8: selector recall plus need-estimator check that answers C-S12.</t>
        </is>
      </c>
      <c r="U154" s="6" t="inlineStr">
        <is>
          <t>Not run.</t>
        </is>
      </c>
      <c r="V154" s="6" t="inlineStr">
        <is>
          <t>Same as C-S12.</t>
        </is>
      </c>
      <c r="W154" s="6" t="inlineStr">
        <is>
          <t>C-D09, C-D08</t>
        </is>
      </c>
      <c r="X154" s="6" t="inlineStr">
        <is>
          <t>C-D11</t>
        </is>
      </c>
      <c r="Y154" s="6" t="inlineStr"/>
      <c r="Z154" s="6" t="inlineStr"/>
      <c r="AA154" s="6" t="inlineStr"/>
      <c r="AB154" s="6" t="inlineStr">
        <is>
          <t>DATA</t>
        </is>
      </c>
      <c r="AC154" s="6" t="inlineStr">
        <is>
          <t>NO RESULT - OPEN</t>
        </is>
      </c>
      <c r="AD154" s="6" t="inlineStr">
        <is>
          <t>UNCHANGED</t>
        </is>
      </c>
      <c r="AE154" s="6" t="inlineStr">
        <is>
          <t>2026-10-19</t>
        </is>
      </c>
      <c r="AF154" s="6" t="inlineStr">
        <is>
          <t>v3-04 section 4</t>
        </is>
      </c>
      <c r="AG154" s="6" t="inlineStr"/>
      <c r="AH154" s="6" t="inlineStr">
        <is>
          <t>Yes</t>
        </is>
      </c>
      <c r="AI154" s="6" t="inlineStr"/>
      <c r="AJ154" s="6" t="inlineStr">
        <is>
          <t>SRC-11 canonical</t>
        </is>
      </c>
      <c r="AK154" s="6" t="inlineStr">
        <is>
          <t>E3, E8</t>
        </is>
      </c>
      <c r="AL154" s="6" t="inlineStr">
        <is>
          <t>S20</t>
        </is>
      </c>
    </row>
    <row r="155" ht="28" customHeight="1">
      <c r="A155" s="5" t="inlineStr">
        <is>
          <t>C-X04</t>
        </is>
      </c>
      <c r="B155" s="6" t="inlineStr">
        <is>
          <t>E4: substitute-reference validity check that answers C-S13.</t>
        </is>
      </c>
      <c r="C155" s="6" t="inlineStr">
        <is>
          <t>UNRUN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K7 Large-catalogue reference</t>
        </is>
      </c>
      <c r="I155" s="6" t="inlineStr">
        <is>
          <t>G3 Before confirmatory study</t>
        </is>
      </c>
      <c r="J155" s="6" t="inlineStr">
        <is>
          <t>Normal</t>
        </is>
      </c>
      <c r="K155" s="6" t="n">
        <v>196</v>
      </c>
      <c r="L155" s="6" t="inlineStr">
        <is>
          <t>W3 Pilots (AUTH)</t>
        </is>
      </c>
      <c r="M155" s="6" t="inlineStr">
        <is>
          <t>S20</t>
        </is>
      </c>
      <c r="N155" s="6" t="inlineStr">
        <is>
          <t>Team</t>
        </is>
      </c>
      <c r="O155" s="6" t="inlineStr">
        <is>
          <t>Needs an AUTH and a protocol</t>
        </is>
      </c>
      <c r="P155" s="6" t="inlineStr">
        <is>
          <t>No</t>
        </is>
      </c>
      <c r="Q155" s="6" t="inlineStr">
        <is>
          <t>Test</t>
        </is>
      </c>
      <c r="R155" s="6" t="inlineStr">
        <is>
          <t>Check</t>
        </is>
      </c>
      <c r="S155" s="6" t="inlineStr"/>
      <c r="T155" s="6" t="inlineStr">
        <is>
          <t>E4: substitute-reference validity check that answers C-S13.</t>
        </is>
      </c>
      <c r="U155" s="6" t="inlineStr">
        <is>
          <t>Not run; cannot prove equivalence at an infeasible size.</t>
        </is>
      </c>
      <c r="V155" s="6" t="inlineStr">
        <is>
          <t>Same as C-S13.</t>
        </is>
      </c>
      <c r="W155" s="6" t="inlineStr">
        <is>
          <t>C-D09, C-D08, C-E06</t>
        </is>
      </c>
      <c r="X155" s="6" t="inlineStr"/>
      <c r="Y155" s="6" t="inlineStr"/>
      <c r="Z155" s="6" t="inlineStr"/>
      <c r="AA155" s="6" t="inlineStr"/>
      <c r="AB155" s="6" t="inlineStr">
        <is>
          <t>DATA</t>
        </is>
      </c>
      <c r="AC155" s="6" t="inlineStr">
        <is>
          <t>NO RESULT - OPEN</t>
        </is>
      </c>
      <c r="AD155" s="6" t="inlineStr">
        <is>
          <t>UNCHANGED</t>
        </is>
      </c>
      <c r="AE155" s="6" t="inlineStr">
        <is>
          <t>2026-10-19</t>
        </is>
      </c>
      <c r="AF155" s="6" t="inlineStr">
        <is>
          <t>v4-02 section 4</t>
        </is>
      </c>
      <c r="AG155" s="6" t="inlineStr"/>
      <c r="AH155" s="6" t="inlineStr">
        <is>
          <t>Yes</t>
        </is>
      </c>
      <c r="AI155" s="6" t="inlineStr"/>
      <c r="AJ155" s="6" t="inlineStr">
        <is>
          <t>SRC-11 canonical</t>
        </is>
      </c>
      <c r="AK155" s="6" t="inlineStr">
        <is>
          <t>E4</t>
        </is>
      </c>
      <c r="AL155" s="6" t="inlineStr">
        <is>
          <t>S20</t>
        </is>
      </c>
    </row>
    <row r="156" ht="40.5" customHeight="1">
      <c r="A156" s="5" t="inlineStr">
        <is>
          <t>C-S20</t>
        </is>
      </c>
      <c r="B156" s="6" t="inlineStr">
        <is>
          <t>Cross-reference to the offline-cost convention, the definition share and the 40-50% premise.</t>
        </is>
      </c>
      <c r="C156" s="6" t="inlineStr">
        <is>
          <t>OPEN</t>
        </is>
      </c>
      <c r="D156" s="6">
        <f>IFERROR(INDEX(Lists!$B$2:$B$14,MATCH(C156,Lists!$A$2:$A$14,0)),"?")</f>
        <v/>
      </c>
      <c r="E156" s="6">
        <f>IF(COUNTIFS(Links!$B$2:$B$600,A156,Links!$E$2:$E$600,"Yes")&gt;0,"REVISE","")</f>
        <v/>
      </c>
      <c r="F156" s="6">
        <f>COUNTIFS(Links!$B$2:$B$600,A156,Links!$D$2:$D$600,"No",Links!$C$2:$C$600,"&lt;&gt;INFORMS")</f>
        <v/>
      </c>
      <c r="G156" s="18" t="inlineStr">
        <is>
          <t>CROSS-REFERENCE</t>
        </is>
      </c>
      <c r="H156" s="6" t="inlineStr">
        <is>
          <t>K2 Objective &amp; accounting</t>
        </is>
      </c>
      <c r="I156" s="6" t="inlineStr">
        <is>
          <t>G3 Before confirmatory study</t>
        </is>
      </c>
      <c r="J156" s="6" t="inlineStr">
        <is>
          <t>Normal</t>
        </is>
      </c>
      <c r="K156" s="6" t="n">
        <v>197</v>
      </c>
      <c r="L156" s="6" t="inlineStr">
        <is>
          <t>W3 Pilots (AUTH)</t>
        </is>
      </c>
      <c r="M156" s="6" t="inlineStr">
        <is>
          <t>S20</t>
        </is>
      </c>
      <c r="N156" s="6" t="inlineStr">
        <is>
          <t>n/a</t>
        </is>
      </c>
      <c r="O156" s="6" t="inlineStr">
        <is>
          <t>None; closes when its parents close</t>
        </is>
      </c>
      <c r="P156" s="6" t="inlineStr">
        <is>
          <t>No</t>
        </is>
      </c>
      <c r="Q156" s="6" t="inlineStr">
        <is>
          <t>Scientific unknown</t>
        </is>
      </c>
      <c r="R156" s="6" t="inlineStr">
        <is>
          <t>Item</t>
        </is>
      </c>
      <c r="S156" s="6" t="inlineStr"/>
      <c r="T156" s="6" t="inlineStr">
        <is>
          <t>Cross-reference to the offline-cost convention, the definition share and the 40-50% premise.</t>
        </is>
      </c>
      <c r="U156" s="6" t="inlineStr">
        <is>
          <t>Closes when C-S17, C-S01, C-S15 close; count their measurements once.</t>
        </is>
      </c>
      <c r="V156" s="6" t="inlineStr">
        <is>
          <t>All three pointed-to items closed.</t>
        </is>
      </c>
      <c r="W156" s="6" t="inlineStr">
        <is>
          <t>C-S17, C-S01, C-S15</t>
        </is>
      </c>
      <c r="X156" s="6" t="inlineStr"/>
      <c r="Y156" s="6" t="inlineStr">
        <is>
          <t>Q-J03, Q-J19</t>
        </is>
      </c>
      <c r="Z156" s="6" t="inlineStr"/>
      <c r="AA156" s="6" t="inlineStr">
        <is>
          <t>K10 Token composition, K12 Selector &amp; need estimation</t>
        </is>
      </c>
      <c r="AB156" s="6" t="inlineStr">
        <is>
          <t>DEC+DATA</t>
        </is>
      </c>
      <c r="AC156" s="6" t="inlineStr">
        <is>
          <t>OPEN</t>
        </is>
      </c>
      <c r="AD156" s="6" t="inlineStr">
        <is>
          <t>UNCHANGED</t>
        </is>
      </c>
      <c r="AE156" s="6" t="inlineStr">
        <is>
          <t>2026-10-19</t>
        </is>
      </c>
      <c r="AF156" s="6" t="inlineStr">
        <is>
          <t>SRC-11 C-S20</t>
        </is>
      </c>
      <c r="AG156" s="6" t="inlineStr"/>
      <c r="AH156" s="6" t="inlineStr">
        <is>
          <t>n/a</t>
        </is>
      </c>
      <c r="AI156" s="6" t="inlineStr"/>
      <c r="AJ156" s="6" t="inlineStr">
        <is>
          <t>SRC-11 canonical</t>
        </is>
      </c>
      <c r="AK156" s="6" t="inlineStr">
        <is>
          <t>SRC-06 S35, SRC-06 S39</t>
        </is>
      </c>
      <c r="AL156" s="6" t="inlineStr">
        <is>
          <t>S20</t>
        </is>
      </c>
    </row>
    <row r="157" ht="265.5" customHeight="1">
      <c r="A157" s="5" t="inlineStr">
        <is>
          <t>N-6</t>
        </is>
      </c>
      <c r="B157" s="6" t="inlineStr">
        <is>
          <t>Memory of which tools exist or were discovered, in a catalogue too large to expose, measured across sessions.</t>
        </is>
      </c>
      <c r="C157" s="6" t="inlineStr">
        <is>
          <t>NOT LOCATED</t>
        </is>
      </c>
      <c r="D157" s="6">
        <f>IFERROR(INDEX(Lists!$B$2:$B$14,MATCH(C157,Lists!$A$2:$A$14,0)),"?")</f>
        <v/>
      </c>
      <c r="E157" s="6">
        <f>IF(COUNTIFS(Links!$B$2:$B$600,A157,Links!$E$2:$E$600,"Yes")&gt;0,"REVISE","")</f>
        <v/>
      </c>
      <c r="F157" s="6">
        <f>COUNTIFS(Links!$B$2:$B$600,A157,Links!$D$2:$D$600,"No",Links!$C$2:$C$600,"&lt;&gt;INFORMS")</f>
        <v/>
      </c>
      <c r="G157" s="11" t="inlineStr">
        <is>
          <t>LITERATURE-DIRECTED</t>
        </is>
      </c>
      <c r="H157" s="6" t="inlineStr">
        <is>
          <t>K4 Memory &amp; sessions</t>
        </is>
      </c>
      <c r="I157" s="6" t="inlineStr">
        <is>
          <t>G3 Before confirmatory study</t>
        </is>
      </c>
      <c r="J157" s="6" t="inlineStr">
        <is>
          <t>Normal</t>
        </is>
      </c>
      <c r="K157" s="6" t="n">
        <v>198</v>
      </c>
      <c r="L157" s="6" t="inlineStr">
        <is>
          <t>W3 Pilots (AUTH)</t>
        </is>
      </c>
      <c r="M157" s="6" t="inlineStr">
        <is>
          <t>S21</t>
        </is>
      </c>
      <c r="N157" s="6" t="inlineStr">
        <is>
          <t>Lead (search); team (pilot D)</t>
        </is>
      </c>
      <c r="O157" s="6" t="inlineStr">
        <is>
          <t>Stated deferral or a session pilot (user decision; a pilot needs its own AUTH)</t>
        </is>
      </c>
      <c r="P157" s="6" t="inlineStr">
        <is>
          <t>No</t>
        </is>
      </c>
      <c r="Q157" s="6" t="inlineStr">
        <is>
          <t>Scientific unknown</t>
        </is>
      </c>
      <c r="R157" s="6" t="inlineStr">
        <is>
          <t>Item</t>
        </is>
      </c>
      <c r="S157" s="6" t="inlineStr"/>
      <c r="T157" s="6" t="inlineStr">
        <is>
          <t>Memory of which tools exist or were discovered, in a catalogue too large to expose, measured across sessions.</t>
        </is>
      </c>
      <c r="U157"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t>
        </is>
      </c>
      <c r="V157" s="6" t="inlineStr">
        <is>
          <t>Directed search for procedural/skill memory done; if still absent, a session pilot or a stated deferral.</t>
        </is>
      </c>
      <c r="W157" s="6" t="inlineStr">
        <is>
          <t>N-2</t>
        </is>
      </c>
      <c r="X157" s="6" t="inlineStr"/>
      <c r="Y157" s="6" t="inlineStr">
        <is>
          <t>Q-J05, Q-U21</t>
        </is>
      </c>
      <c r="Z157" s="6" t="inlineStr">
        <is>
          <t>TEST-PILOT, ACCEPT-LIMITATION</t>
        </is>
      </c>
      <c r="AA157" s="6" t="inlineStr">
        <is>
          <t>K8 Search initiation &amp; recovery</t>
        </is>
      </c>
      <c r="AB157" s="6" t="inlineStr"/>
      <c r="AC157" s="6" t="inlineStr">
        <is>
          <t>n/a (new)</t>
        </is>
      </c>
      <c r="AD157" s="6" t="inlineStr">
        <is>
          <t>NEW</t>
        </is>
      </c>
      <c r="AE157" s="6" t="inlineStr">
        <is>
          <t>2026-10-20</t>
        </is>
      </c>
      <c r="AF157" s="6" t="inlineStr">
        <is>
          <t>FND-0017 (findings/SUM-0019); stored texts evidence/literature-20261019/lit-skilllens-2605.08386.txt, lit-procmem-2602.01869.txt (the paper is titled Skill-Pro), lit-codemem-2512.15813.txt, lit-efficientagents-2601.14192.txt, lit-memskill-2609.16669.txt; FND-0032 (findings/SUM-0034); evidence/literature-20261019/pdf-memory-survey-2602.06052.txt</t>
        </is>
      </c>
      <c r="AG157" s="6" t="inlineStr"/>
      <c r="AH157" s="6" t="inlineStr">
        <is>
          <t>Pilot: yes</t>
        </is>
      </c>
      <c r="AI157" s="6" t="inlineStr"/>
      <c r="AJ157" s="6" t="inlineStr">
        <is>
          <t>Review 19 Oct (section 5)</t>
        </is>
      </c>
      <c r="AK157" s="6" t="inlineStr"/>
      <c r="AL157" s="6" t="inlineStr">
        <is>
          <t>S13</t>
        </is>
      </c>
    </row>
    <row r="158" ht="40.5" customHeight="1">
      <c r="A158" s="5" t="inlineStr">
        <is>
          <t>N-7</t>
        </is>
      </c>
      <c r="B158" s="6" t="inlineStr">
        <is>
          <t>Prefix layout and cache sharing across users: memory-seeded tools could fragment a shared prefix.</t>
        </is>
      </c>
      <c r="C158" s="6" t="inlineStr">
        <is>
          <t>OPEN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K4 Memory &amp; sessions</t>
        </is>
      </c>
      <c r="I158" s="6" t="inlineStr">
        <is>
          <t>G3 Before confirmatory study</t>
        </is>
      </c>
      <c r="J158" s="6" t="inlineStr">
        <is>
          <t>Normal</t>
        </is>
      </c>
      <c r="K158" s="6" t="n">
        <v>199</v>
      </c>
      <c r="L158" s="6" t="inlineStr">
        <is>
          <t>W3 Pilots (AUTH)</t>
        </is>
      </c>
      <c r="M158" s="6" t="inlineStr">
        <is>
          <t>S21</t>
        </is>
      </c>
      <c r="N158" s="6" t="inlineStr">
        <is>
          <t>Team / provider</t>
        </is>
      </c>
      <c r="O158" s="6" t="inlineStr">
        <is>
          <t>Needs an AUTH and a protocol</t>
        </is>
      </c>
      <c r="P158" s="6" t="inlineStr">
        <is>
          <t>No</t>
        </is>
      </c>
      <c r="Q158" s="6" t="inlineStr">
        <is>
          <t>Test</t>
        </is>
      </c>
      <c r="R158" s="6" t="inlineStr">
        <is>
          <t>Item</t>
        </is>
      </c>
      <c r="S158" s="6" t="inlineStr"/>
      <c r="T158" s="6" t="inlineStr">
        <is>
          <t>Prefix layout and cache sharing across users: memory-seeded tools could fragment a shared prefix.</t>
        </is>
      </c>
      <c r="U158" s="6" t="inlineStr">
        <is>
          <t>Hypothesis; provider sharing behaviour is 'not established here'.</t>
        </is>
      </c>
      <c r="V158" s="6" t="inlineStr">
        <is>
          <t>Provider-specific probe of cross-user prefix sharing and layout.</t>
        </is>
      </c>
      <c r="W158" s="6" t="inlineStr">
        <is>
          <t>N-2</t>
        </is>
      </c>
      <c r="X158" s="6" t="inlineStr">
        <is>
          <t>N-6</t>
        </is>
      </c>
      <c r="Y158" s="6" t="inlineStr">
        <is>
          <t>Q-J05</t>
        </is>
      </c>
      <c r="Z158" s="6" t="inlineStr">
        <is>
          <t>SOURCE-REREAD</t>
        </is>
      </c>
      <c r="AA158" s="6" t="inlineStr">
        <is>
          <t>K9 Cache &amp; billing</t>
        </is>
      </c>
      <c r="AB158" s="6" t="inlineStr"/>
      <c r="AC158" s="6" t="inlineStr">
        <is>
          <t>n/a (new)</t>
        </is>
      </c>
      <c r="AD158" s="6" t="inlineStr">
        <is>
          <t>NEW</t>
        </is>
      </c>
      <c r="AE158" s="6" t="inlineStr">
        <is>
          <t>2026-10-19</t>
        </is>
      </c>
      <c r="AF158" s="6" t="inlineStr">
        <is>
          <t>v4-04 section 4 risk (iii)</t>
        </is>
      </c>
      <c r="AG158" s="6" t="inlineStr"/>
      <c r="AH158" s="6" t="inlineStr">
        <is>
          <t>Yes</t>
        </is>
      </c>
      <c r="AI158" s="6" t="inlineStr"/>
      <c r="AJ158" s="6" t="inlineStr">
        <is>
          <t>Review 19 Oct (section 5)</t>
        </is>
      </c>
      <c r="AK158" s="6" t="inlineStr"/>
      <c r="AL158" s="6" t="inlineStr">
        <is>
          <t>S21</t>
        </is>
      </c>
    </row>
    <row r="159" ht="40.5" customHeight="1">
      <c r="A159" s="5" t="inlineStr">
        <is>
          <t>C-S10</t>
        </is>
      </c>
      <c r="B159" s="6" t="inlineStr">
        <is>
          <t>Why does retrieval hurt (query, embedder, server granularity, judge)?</t>
        </is>
      </c>
      <c r="C159" s="6" t="inlineStr">
        <is>
          <t>OPEN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K11 End-to-end comparison</t>
        </is>
      </c>
      <c r="I159" s="6" t="inlineStr">
        <is>
          <t>G4 Before claims</t>
        </is>
      </c>
      <c r="J159" s="6" t="inlineStr">
        <is>
          <t>Normal</t>
        </is>
      </c>
      <c r="K159" s="6" t="n">
        <v>200</v>
      </c>
      <c r="L159" s="6" t="inlineStr">
        <is>
          <t>W4 End-to-end</t>
        </is>
      </c>
      <c r="M159" s="6" t="inlineStr">
        <is>
          <t>S22</t>
        </is>
      </c>
      <c r="N159" s="6" t="inlineStr">
        <is>
          <t>Team</t>
        </is>
      </c>
      <c r="O159" s="6" t="inlineStr">
        <is>
          <t>Needs an AUTH and a protocol</t>
        </is>
      </c>
      <c r="P159" s="6" t="inlineStr">
        <is>
          <t>No</t>
        </is>
      </c>
      <c r="Q159" s="6" t="inlineStr">
        <is>
          <t>Scientific unknown</t>
        </is>
      </c>
      <c r="R159" s="6" t="inlineStr">
        <is>
          <t>Item</t>
        </is>
      </c>
      <c r="S159" s="6" t="inlineStr"/>
      <c r="T159" s="6" t="inlineStr">
        <is>
          <t>Why does retrieval hurt (query, embedder, server granularity, judge)? Generality is not isolated.</t>
        </is>
      </c>
      <c r="U159" s="6" t="inlineStr">
        <is>
          <t>TheMCPCompany shows premiums but conflates retrieval failure with discovery.</t>
        </is>
      </c>
      <c r="V159" s="6" t="inlineStr">
        <is>
          <t>Strong-retriever full-catalogue comparison with fixed judge and query variants.</t>
        </is>
      </c>
      <c r="W159" s="6" t="inlineStr">
        <is>
          <t>C-D09, C-D08</t>
        </is>
      </c>
      <c r="X159" s="6" t="inlineStr">
        <is>
          <t>C-S11</t>
        </is>
      </c>
      <c r="Y159" s="6" t="inlineStr"/>
      <c r="Z159" s="6" t="inlineStr">
        <is>
          <t>LITERATURE-DIRECTED, SOURCE-REREAD</t>
        </is>
      </c>
      <c r="AA159" s="6" t="inlineStr">
        <is>
          <t>K12 Selector &amp; need estimation</t>
        </is>
      </c>
      <c r="AB159" s="6" t="inlineStr">
        <is>
          <t>DATA+SOURCE</t>
        </is>
      </c>
      <c r="AC159" s="6" t="inlineStr">
        <is>
          <t>OPEN</t>
        </is>
      </c>
      <c r="AD159" s="6" t="inlineStr">
        <is>
          <t>UNCHANGED</t>
        </is>
      </c>
      <c r="AE159" s="6" t="inlineStr">
        <is>
          <t>2026-10-19</t>
        </is>
      </c>
      <c r="AF159" s="6" t="inlineStr">
        <is>
          <t>v4-05 section 1A</t>
        </is>
      </c>
      <c r="AG159" s="6" t="inlineStr"/>
      <c r="AH159" s="6" t="inlineStr">
        <is>
          <t>Yes</t>
        </is>
      </c>
      <c r="AI159" s="6" t="inlineStr"/>
      <c r="AJ159" s="6" t="inlineStr">
        <is>
          <t>SRC-11 canonical</t>
        </is>
      </c>
      <c r="AK159" s="6" t="inlineStr">
        <is>
          <t>SRC-06 S24</t>
        </is>
      </c>
      <c r="AL159" s="6" t="inlineStr">
        <is>
          <t>S13</t>
        </is>
      </c>
    </row>
    <row r="160" ht="28" customHeight="1">
      <c r="A160" s="5" t="inlineStr">
        <is>
          <t>C-S10/RA3</t>
        </is>
      </c>
      <c r="B160" s="6" t="inlineStr">
        <is>
          <t>RA3: appended results do not degrade later steps</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K11 End-to-end comparison</t>
        </is>
      </c>
      <c r="I160" s="6" t="inlineStr">
        <is>
          <t>G4 Before claims</t>
        </is>
      </c>
      <c r="J160" s="6" t="inlineStr">
        <is>
          <t>Normal</t>
        </is>
      </c>
      <c r="K160" s="6" t="n">
        <v>201</v>
      </c>
      <c r="L160" s="6" t="inlineStr">
        <is>
          <t>W4 End-to-end</t>
        </is>
      </c>
      <c r="M160" s="6" t="inlineStr">
        <is>
          <t>S22</t>
        </is>
      </c>
      <c r="N160" s="6" t="inlineStr">
        <is>
          <t>Team</t>
        </is>
      </c>
      <c r="O160" s="6" t="inlineStr">
        <is>
          <t>Needs an AUTH and a protocol</t>
        </is>
      </c>
      <c r="P160" s="6" t="inlineStr">
        <is>
          <t>No</t>
        </is>
      </c>
      <c r="Q160" s="6" t="inlineStr">
        <is>
          <t>Assumption</t>
        </is>
      </c>
      <c r="R160" s="6" t="inlineStr">
        <is>
          <t>Sub-item</t>
        </is>
      </c>
      <c r="S160" s="6" t="inlineStr">
        <is>
          <t>C-S10</t>
        </is>
      </c>
      <c r="T160" s="6" t="inlineStr">
        <is>
          <t>Recovery assumption RA3: appended search results do not degrade later steps.</t>
        </is>
      </c>
      <c r="U160" s="6" t="inlineStr">
        <is>
          <t>Assumption, not assumed true.</t>
        </is>
      </c>
      <c r="V160" s="6" t="inlineStr">
        <is>
          <t>Tested end-to-end (failure of RA1-RA4 is a lost task).</t>
        </is>
      </c>
      <c r="W160" s="6" t="inlineStr">
        <is>
          <t>C-D09, C-D08</t>
        </is>
      </c>
      <c r="X160" s="6" t="inlineStr"/>
      <c r="Y160" s="6" t="inlineStr"/>
      <c r="Z160" s="6" t="inlineStr"/>
      <c r="AA160" s="6" t="inlineStr"/>
      <c r="AB160" s="6" t="inlineStr">
        <is>
          <t>DATA</t>
        </is>
      </c>
      <c r="AC160" s="6" t="inlineStr">
        <is>
          <t>n/a (sub-item)</t>
        </is>
      </c>
      <c r="AD160" s="6" t="inlineStr">
        <is>
          <t>NEW (SRC-11 sub-row)</t>
        </is>
      </c>
      <c r="AE160" s="6" t="inlineStr">
        <is>
          <t>2026-10-19</t>
        </is>
      </c>
      <c r="AF160" s="6" t="inlineStr">
        <is>
          <t>v3-02 section 4 RA1-RA13</t>
        </is>
      </c>
      <c r="AG160" s="6" t="inlineStr"/>
      <c r="AH160" s="6" t="inlineStr">
        <is>
          <t>Yes</t>
        </is>
      </c>
      <c r="AI160" s="6" t="inlineStr"/>
      <c r="AJ160" s="6" t="inlineStr">
        <is>
          <t>repo: v3-02 section 4</t>
        </is>
      </c>
      <c r="AK160" s="6" t="inlineStr">
        <is>
          <t>RA3</t>
        </is>
      </c>
      <c r="AL160" s="6" t="inlineStr">
        <is>
          <t>S13</t>
        </is>
      </c>
    </row>
    <row r="161" ht="28" customHeight="1">
      <c r="A161" s="5" t="inlineStr">
        <is>
          <t>C-S10/RA9</t>
        </is>
      </c>
      <c r="B161" s="6" t="inlineStr">
        <is>
          <t>RA9: appended definitions remain visible for the rest of the trajectory</t>
        </is>
      </c>
      <c r="C161" s="6" t="inlineStr">
        <is>
          <t>OPEN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K11 End-to-end comparison</t>
        </is>
      </c>
      <c r="I161" s="6" t="inlineStr">
        <is>
          <t>G4 Before claims</t>
        </is>
      </c>
      <c r="J161" s="6" t="inlineStr">
        <is>
          <t>Normal</t>
        </is>
      </c>
      <c r="K161" s="6" t="n">
        <v>202</v>
      </c>
      <c r="L161" s="6" t="inlineStr">
        <is>
          <t>W4 End-to-end</t>
        </is>
      </c>
      <c r="M161" s="6" t="inlineStr">
        <is>
          <t>S22</t>
        </is>
      </c>
      <c r="N161" s="6" t="inlineStr">
        <is>
          <t>Team</t>
        </is>
      </c>
      <c r="O161" s="6" t="inlineStr">
        <is>
          <t>Needs an AUTH and a protocol</t>
        </is>
      </c>
      <c r="P161" s="6" t="inlineStr">
        <is>
          <t>No</t>
        </is>
      </c>
      <c r="Q161" s="6" t="inlineStr">
        <is>
          <t>Assumption</t>
        </is>
      </c>
      <c r="R161" s="6" t="inlineStr">
        <is>
          <t>Sub-item</t>
        </is>
      </c>
      <c r="S161" s="6" t="inlineStr">
        <is>
          <t>C-S10</t>
        </is>
      </c>
      <c r="T161" s="6" t="inlineStr">
        <is>
          <t>Recovery assumption RA9 (design property to verify in the vehicle).</t>
        </is>
      </c>
      <c r="U161" s="6" t="inlineStr">
        <is>
          <t>Assumption, not assumed true.</t>
        </is>
      </c>
      <c r="V161" s="6" t="inlineStr">
        <is>
          <t>Tested end-to-end (failure of RA1-RA4 is a lost task).</t>
        </is>
      </c>
      <c r="W161" s="6" t="inlineStr">
        <is>
          <t>C-D09, C-D08</t>
        </is>
      </c>
      <c r="X161" s="6" t="inlineStr"/>
      <c r="Y161" s="6" t="inlineStr"/>
      <c r="Z161" s="6" t="inlineStr"/>
      <c r="AA161" s="6" t="inlineStr"/>
      <c r="AB161" s="6" t="inlineStr">
        <is>
          <t>DATA</t>
        </is>
      </c>
      <c r="AC161" s="6" t="inlineStr">
        <is>
          <t>n/a (sub-item)</t>
        </is>
      </c>
      <c r="AD161" s="6" t="inlineStr">
        <is>
          <t>NEW (SRC-11 sub-row)</t>
        </is>
      </c>
      <c r="AE161" s="6" t="inlineStr">
        <is>
          <t>2026-10-19</t>
        </is>
      </c>
      <c r="AF161" s="6" t="inlineStr">
        <is>
          <t>v3-02 section 4 RA1-RA13</t>
        </is>
      </c>
      <c r="AG161" s="6" t="inlineStr"/>
      <c r="AH161" s="6" t="inlineStr">
        <is>
          <t>Yes</t>
        </is>
      </c>
      <c r="AI161" s="6" t="inlineStr"/>
      <c r="AJ161" s="6" t="inlineStr">
        <is>
          <t>repo: v3-02 section 4</t>
        </is>
      </c>
      <c r="AK161" s="6" t="inlineStr">
        <is>
          <t>RA9</t>
        </is>
      </c>
      <c r="AL161" s="6" t="inlineStr">
        <is>
          <t>S13</t>
        </is>
      </c>
    </row>
    <row r="162" ht="40.5" customHeight="1">
      <c r="A162" s="5" t="inlineStr">
        <is>
          <t>C-S11</t>
        </is>
      </c>
      <c r="B162" s="6" t="inlineStr">
        <is>
          <t>Does a second filtering stage or a system trigger pay; is dependency-aware discovery useful?</t>
        </is>
      </c>
      <c r="C162" s="6" t="inlineStr">
        <is>
          <t>OPEN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K11 End-to-end comparison</t>
        </is>
      </c>
      <c r="I162" s="6" t="inlineStr">
        <is>
          <t>G4 Before claims</t>
        </is>
      </c>
      <c r="J162" s="6" t="inlineStr">
        <is>
          <t>Normal</t>
        </is>
      </c>
      <c r="K162" s="6" t="n">
        <v>203</v>
      </c>
      <c r="L162" s="6" t="inlineStr">
        <is>
          <t>W4 End-to-end</t>
        </is>
      </c>
      <c r="M162" s="6" t="inlineStr">
        <is>
          <t>S22</t>
        </is>
      </c>
      <c r="N162" s="6" t="inlineStr">
        <is>
          <t>Team</t>
        </is>
      </c>
      <c r="O162" s="6" t="inlineStr">
        <is>
          <t>Needs an AUTH and a protocol</t>
        </is>
      </c>
      <c r="P162" s="6" t="inlineStr">
        <is>
          <t>No</t>
        </is>
      </c>
      <c r="Q162" s="6" t="inlineStr">
        <is>
          <t>Scientific unknown</t>
        </is>
      </c>
      <c r="R162" s="6" t="inlineStr">
        <is>
          <t>Item</t>
        </is>
      </c>
      <c r="S162" s="6" t="inlineStr"/>
      <c r="T162" s="6" t="inlineStr">
        <is>
          <t>Does a second filtering stage or a system trigger pay; is dependency-aware discovery useful?</t>
        </is>
      </c>
      <c r="U162" s="6" t="inlineStr">
        <is>
          <t>No stored source supports a trigger; the only trigger-like result is a termination trigger.</t>
        </is>
      </c>
      <c r="V162" s="6" t="inlineStr">
        <is>
          <t>Cascade vs best single stage; trigger and no-miss overhead measured.</t>
        </is>
      </c>
      <c r="W162" s="6" t="inlineStr">
        <is>
          <t>C-D03, C-D09, C-D08</t>
        </is>
      </c>
      <c r="X162" s="6" t="inlineStr">
        <is>
          <t>C-S08, C-S12</t>
        </is>
      </c>
      <c r="Y162" s="6" t="inlineStr">
        <is>
          <t>Q-J08, Q-J11</t>
        </is>
      </c>
      <c r="Z162" s="6" t="inlineStr">
        <is>
          <t>LITERATURE-DIRECTED</t>
        </is>
      </c>
      <c r="AA162" s="6" t="inlineStr">
        <is>
          <t>K3 Policy form, K8 Search initiation &amp; recovery</t>
        </is>
      </c>
      <c r="AB162" s="6" t="inlineStr">
        <is>
          <t>DATA</t>
        </is>
      </c>
      <c r="AC162" s="6" t="inlineStr">
        <is>
          <t>OPEN</t>
        </is>
      </c>
      <c r="AD162" s="6" t="inlineStr">
        <is>
          <t>UNCHANGED</t>
        </is>
      </c>
      <c r="AE162" s="6" t="inlineStr">
        <is>
          <t>2026-10-19</t>
        </is>
      </c>
      <c r="AF162" s="6" t="inlineStr">
        <is>
          <t>v4-01 sections 4, 6</t>
        </is>
      </c>
      <c r="AG162" s="6" t="inlineStr"/>
      <c r="AH162" s="6" t="inlineStr">
        <is>
          <t>Yes</t>
        </is>
      </c>
      <c r="AI162" s="6" t="inlineStr"/>
      <c r="AJ162" s="6" t="inlineStr">
        <is>
          <t>SRC-11 canonical</t>
        </is>
      </c>
      <c r="AK162" s="6" t="inlineStr">
        <is>
          <t>SRC-06 S25, SRC-06 S26, SRC-07 21, RA5, HYP-0002, HYP-0006, HYP-0012, v3-04 objection 8</t>
        </is>
      </c>
      <c r="AL162" s="6" t="inlineStr">
        <is>
          <t>S13</t>
        </is>
      </c>
    </row>
    <row r="163" ht="28" customHeight="1">
      <c r="A163" s="5" t="inlineStr">
        <is>
          <t>C-S11/CASCADE</t>
        </is>
      </c>
      <c r="B163" s="6" t="inlineStr">
        <is>
          <t>Does a multi-stage cascade dominate the best single stage?</t>
        </is>
      </c>
      <c r="C163" s="6" t="inlineStr">
        <is>
          <t>OPEN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K11 End-to-end comparison</t>
        </is>
      </c>
      <c r="I163" s="6" t="inlineStr">
        <is>
          <t>G4 Before claims</t>
        </is>
      </c>
      <c r="J163" s="6" t="inlineStr">
        <is>
          <t>Normal</t>
        </is>
      </c>
      <c r="K163" s="6" t="n">
        <v>204</v>
      </c>
      <c r="L163" s="6" t="inlineStr">
        <is>
          <t>W4 End-to-end</t>
        </is>
      </c>
      <c r="M163" s="6" t="inlineStr">
        <is>
          <t>S22</t>
        </is>
      </c>
      <c r="N163" s="6" t="inlineStr">
        <is>
          <t>Team</t>
        </is>
      </c>
      <c r="O163" s="6" t="inlineStr">
        <is>
          <t>Needs an AUTH and a protocol</t>
        </is>
      </c>
      <c r="P163" s="6" t="inlineStr">
        <is>
          <t>No</t>
        </is>
      </c>
      <c r="Q163" s="6" t="inlineStr">
        <is>
          <t>Scientific unknown</t>
        </is>
      </c>
      <c r="R163" s="6" t="inlineStr">
        <is>
          <t>Sub-item</t>
        </is>
      </c>
      <c r="S163" s="6" t="inlineStr">
        <is>
          <t>C-S11</t>
        </is>
      </c>
      <c r="T163" s="6" t="inlineStr">
        <is>
          <t>HYP-0002: in the regimes tested no specified cascade dominates the best single-stage policy.</t>
        </is>
      </c>
      <c r="U163" s="6" t="inlineStr">
        <is>
          <t>Proposed; the DMB two-stage router scored 0.7-4.0 below rag:32 inside the +/-8 interval.</t>
        </is>
      </c>
      <c r="V163" s="6" t="inlineStr">
        <is>
          <t>Cascade vs best single stage on one scorer.</t>
        </is>
      </c>
      <c r="W163" s="6" t="inlineStr">
        <is>
          <t>C-D03, C-D09, C-D08</t>
        </is>
      </c>
      <c r="X163" s="6" t="inlineStr"/>
      <c r="Y163" s="6" t="inlineStr">
        <is>
          <t>Q-J08</t>
        </is>
      </c>
      <c r="Z163" s="6" t="inlineStr"/>
      <c r="AA163" s="6" t="inlineStr"/>
      <c r="AB163" s="6" t="inlineStr">
        <is>
          <t>DATA</t>
        </is>
      </c>
      <c r="AC163" s="6" t="inlineStr">
        <is>
          <t>n/a (sub-item)</t>
        </is>
      </c>
      <c r="AD163" s="6" t="inlineStr">
        <is>
          <t>NEW (SRC-11 sub-row)</t>
        </is>
      </c>
      <c r="AE163" s="6" t="inlineStr">
        <is>
          <t>2026-10-19</t>
        </is>
      </c>
      <c r="AF163" s="6" t="inlineStr">
        <is>
          <t>HYP-0002</t>
        </is>
      </c>
      <c r="AG163" s="6" t="inlineStr"/>
      <c r="AH163" s="6" t="inlineStr">
        <is>
          <t>Yes</t>
        </is>
      </c>
      <c r="AI163" s="6" t="inlineStr"/>
      <c r="AJ163" s="6" t="inlineStr">
        <is>
          <t>repo: HYP-0002</t>
        </is>
      </c>
      <c r="AK163" s="6" t="inlineStr">
        <is>
          <t>HYP-0002</t>
        </is>
      </c>
      <c r="AL163" s="6" t="inlineStr">
        <is>
          <t>S13</t>
        </is>
      </c>
    </row>
    <row r="164" ht="53" customHeight="1">
      <c r="A164" s="5" t="inlineStr">
        <is>
          <t>C-S11/TRIG</t>
        </is>
      </c>
      <c r="B164" s="6" t="inlineStr">
        <is>
          <t>System trigger: can it tell that a tool is missing? No source shows it</t>
        </is>
      </c>
      <c r="C164" s="6" t="inlineStr">
        <is>
          <t>OPEN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K11 End-to-end comparison</t>
        </is>
      </c>
      <c r="I164" s="6" t="inlineStr">
        <is>
          <t>G4 Before claims</t>
        </is>
      </c>
      <c r="J164" s="6" t="inlineStr">
        <is>
          <t>Normal</t>
        </is>
      </c>
      <c r="K164" s="6" t="n">
        <v>205</v>
      </c>
      <c r="L164" s="6" t="inlineStr">
        <is>
          <t>W4 End-to-end</t>
        </is>
      </c>
      <c r="M164" s="6" t="inlineStr">
        <is>
          <t>S22</t>
        </is>
      </c>
      <c r="N164" s="6" t="inlineStr">
        <is>
          <t>Team</t>
        </is>
      </c>
      <c r="O164" s="6" t="inlineStr">
        <is>
          <t>Needs an AUTH and a protocol</t>
        </is>
      </c>
      <c r="P164" s="6" t="inlineStr">
        <is>
          <t>No</t>
        </is>
      </c>
      <c r="Q164" s="6" t="inlineStr">
        <is>
          <t>Scientific unknown</t>
        </is>
      </c>
      <c r="R164" s="6" t="inlineStr">
        <is>
          <t>Sub-item</t>
        </is>
      </c>
      <c r="S164" s="6" t="inlineStr">
        <is>
          <t>C-S11</t>
        </is>
      </c>
      <c r="T164" s="6" t="inlineStr">
        <is>
          <t>HYP-0006/0012 and RA5: a system trigger over runtime-observable signals (model text of inability, termination, repeated failure) is untested; the only trigger-like result is a termination trigger (PlanBench-XL).</t>
        </is>
      </c>
      <c r="U164" s="6" t="inlineStr">
        <is>
          <t>Proposed; no stored source.</t>
        </is>
      </c>
      <c r="V164" s="6" t="inlineStr">
        <is>
          <t>Trigger arms in the end-to-end pilot.</t>
        </is>
      </c>
      <c r="W164" s="6" t="inlineStr">
        <is>
          <t>C-D03, C-D09, C-D08</t>
        </is>
      </c>
      <c r="X164" s="6" t="inlineStr"/>
      <c r="Y164" s="6" t="inlineStr"/>
      <c r="Z164" s="6" t="inlineStr"/>
      <c r="AA164" s="6" t="inlineStr"/>
      <c r="AB164" s="6" t="inlineStr">
        <is>
          <t>DATA</t>
        </is>
      </c>
      <c r="AC164" s="6" t="inlineStr">
        <is>
          <t>n/a (sub-item)</t>
        </is>
      </c>
      <c r="AD164" s="6" t="inlineStr">
        <is>
          <t>NEW (SRC-11 sub-row)</t>
        </is>
      </c>
      <c r="AE164" s="6" t="inlineStr">
        <is>
          <t>2026-10-19</t>
        </is>
      </c>
      <c r="AF164" s="6" t="inlineStr">
        <is>
          <t>v4-01 section 4; HYP-0006</t>
        </is>
      </c>
      <c r="AG164" s="6" t="inlineStr"/>
      <c r="AH164" s="6" t="inlineStr">
        <is>
          <t>Yes</t>
        </is>
      </c>
      <c r="AI164" s="6" t="inlineStr"/>
      <c r="AJ164" s="6" t="inlineStr">
        <is>
          <t>repo: v4-01 section 4; HYP-0006/0012</t>
        </is>
      </c>
      <c r="AK164" s="6" t="inlineStr">
        <is>
          <t>HYP-0006, HYP-0012, RA5, CH-0041</t>
        </is>
      </c>
      <c r="AL164" s="6" t="inlineStr">
        <is>
          <t>S13</t>
        </is>
      </c>
    </row>
    <row r="165" ht="40.5" customHeight="1">
      <c r="A165" s="5" t="inlineStr">
        <is>
          <t>C-S18</t>
        </is>
      </c>
      <c r="B165" s="6" t="inlineStr">
        <is>
          <t>Interaction among needed tools and the residual success-loss term are unbounded; the cited simulation was n...</t>
        </is>
      </c>
      <c r="C165" s="6" t="inlineStr">
        <is>
          <t>PARTLY ANSWERED</t>
        </is>
      </c>
      <c r="D165" s="6">
        <f>IFERROR(INDEX(Lists!$B$2:$B$14,MATCH(C165,Lists!$A$2:$A$14,0)),"?")</f>
        <v/>
      </c>
      <c r="E165" s="6">
        <f>IF(COUNTIFS(Links!$B$2:$B$600,A165,Links!$E$2:$E$600,"Yes")&gt;0,"REVISE","")</f>
        <v/>
      </c>
      <c r="F165" s="6">
        <f>COUNTIFS(Links!$B$2:$B$600,A165,Links!$D$2:$D$600,"No",Links!$C$2:$C$600,"&lt;&gt;INFORMS")</f>
        <v/>
      </c>
      <c r="G165" s="13" t="inlineStr">
        <is>
          <t>DESK-ANALYSIS</t>
        </is>
      </c>
      <c r="H165" s="6" t="inlineStr">
        <is>
          <t>K17 Record repair &amp; procedure error</t>
        </is>
      </c>
      <c r="I165" s="6" t="inlineStr">
        <is>
          <t>G4 Before claims</t>
        </is>
      </c>
      <c r="J165" s="6" t="inlineStr">
        <is>
          <t>Normal</t>
        </is>
      </c>
      <c r="K165" s="6" t="n">
        <v>206</v>
      </c>
      <c r="L165" s="6" t="inlineStr">
        <is>
          <t>W4 End-to-end</t>
        </is>
      </c>
      <c r="M165" s="6" t="inlineStr">
        <is>
          <t>S22</t>
        </is>
      </c>
      <c r="N165" s="6" t="inlineStr">
        <is>
          <t>Lead; team</t>
        </is>
      </c>
      <c r="O165" s="6" t="inlineStr">
        <is>
          <t>Lead computes or writes it (no model runs)</t>
        </is>
      </c>
      <c r="P165" s="6" t="inlineStr">
        <is>
          <t>Partly</t>
        </is>
      </c>
      <c r="Q165" s="6" t="inlineStr">
        <is>
          <t>Scientific unknown</t>
        </is>
      </c>
      <c r="R165" s="6" t="inlineStr">
        <is>
          <t>Item</t>
        </is>
      </c>
      <c r="S165" s="6" t="inlineStr"/>
      <c r="T165" s="6" t="inlineStr">
        <is>
          <t>Interaction among needed tools and the residual success-loss term are unbounded; the cited simulation was not rerun.</t>
        </is>
      </c>
      <c r="U165" s="6" t="inlineStr">
        <is>
          <t>Errata removed the false bound and the greedy-optimality claim; v3 maths not re-derived in v4.</t>
        </is>
      </c>
      <c r="V165" s="6" t="inlineStr">
        <is>
          <t>Simulation rerun; interactions measured on paired trajectories.</t>
        </is>
      </c>
      <c r="W165" s="6" t="inlineStr"/>
      <c r="X165" s="6" t="inlineStr">
        <is>
          <t>C-D08</t>
        </is>
      </c>
      <c r="Y165" s="6" t="inlineStr"/>
      <c r="Z165" s="6" t="inlineStr">
        <is>
          <t>TEST-PILOT</t>
        </is>
      </c>
      <c r="AA165" s="6" t="inlineStr">
        <is>
          <t>K12 Selector &amp; need estimation</t>
        </is>
      </c>
      <c r="AB165" s="6" t="inlineStr">
        <is>
          <t>DATA</t>
        </is>
      </c>
      <c r="AC165" s="6" t="inlineStr">
        <is>
          <t>PARTLY ANSWERED - OPEN</t>
        </is>
      </c>
      <c r="AD165" s="6" t="inlineStr">
        <is>
          <t>UNCHANGED</t>
        </is>
      </c>
      <c r="AE165" s="6" t="inlineStr">
        <is>
          <t>2026-10-19</t>
        </is>
      </c>
      <c r="AF165" s="6" t="inlineStr">
        <is>
          <t>v3-01 sections 2-3; v4-03 section 3</t>
        </is>
      </c>
      <c r="AG165" s="6" t="inlineStr"/>
      <c r="AH165" s="6" t="inlineStr">
        <is>
          <t>Measured part: yes</t>
        </is>
      </c>
      <c r="AI165" s="6" t="inlineStr"/>
      <c r="AJ165" s="6" t="inlineStr">
        <is>
          <t>SRC-11 canonical</t>
        </is>
      </c>
      <c r="AK165" s="6" t="inlineStr">
        <is>
          <t>SRC-06 S36, SRC-06 S37</t>
        </is>
      </c>
      <c r="AL165" s="6" t="inlineStr">
        <is>
          <t>S14</t>
        </is>
      </c>
    </row>
    <row r="166" ht="40.5" customHeight="1">
      <c r="A166" s="5" t="inlineStr">
        <is>
          <t>C-S07</t>
        </is>
      </c>
      <c r="B166" s="6" t="inlineStr">
        <is>
          <t>Published contrasts confound tool count, total tokens, overlap and position; a full factorial may be imposs...</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K11 End-to-end comparison</t>
        </is>
      </c>
      <c r="I166" s="6" t="inlineStr">
        <is>
          <t>G4 Before claims</t>
        </is>
      </c>
      <c r="J166" s="6" t="inlineStr">
        <is>
          <t>Normal</t>
        </is>
      </c>
      <c r="K166" s="6" t="n">
        <v>207</v>
      </c>
      <c r="L166" s="6" t="inlineStr">
        <is>
          <t>W4 End-to-end</t>
        </is>
      </c>
      <c r="M166" s="6" t="inlineStr">
        <is>
          <t>S22</t>
        </is>
      </c>
      <c r="N166" s="6" t="inlineStr">
        <is>
          <t>Team</t>
        </is>
      </c>
      <c r="O166" s="6" t="inlineStr">
        <is>
          <t>Needs an AUTH and a protocol</t>
        </is>
      </c>
      <c r="P166" s="6" t="inlineStr">
        <is>
          <t>No</t>
        </is>
      </c>
      <c r="Q166" s="6" t="inlineStr">
        <is>
          <t>Scientific unknown</t>
        </is>
      </c>
      <c r="R166" s="6" t="inlineStr">
        <is>
          <t>Item</t>
        </is>
      </c>
      <c r="S166" s="6" t="inlineStr"/>
      <c r="T166" s="6" t="inlineStr">
        <is>
          <t>Published contrasts confound tool count, total tokens, overlap and position; a full factorial may be impossible.</t>
        </is>
      </c>
      <c r="U166" s="6" t="inlineStr">
        <is>
          <t>MCP-Universe adds a confounded observation only.</t>
        </is>
      </c>
      <c r="V166" s="6" t="inlineStr">
        <is>
          <t>Feasible token-matched contrasts run; what cannot be isolated is stated.</t>
        </is>
      </c>
      <c r="W166" s="6" t="inlineStr">
        <is>
          <t>C-D09, C-D08</t>
        </is>
      </c>
      <c r="X166" s="6" t="inlineStr"/>
      <c r="Y166" s="6" t="inlineStr"/>
      <c r="Z166" s="6" t="inlineStr">
        <is>
          <t>ACCEPT-LIMITATION</t>
        </is>
      </c>
      <c r="AA166" s="6" t="inlineStr"/>
      <c r="AB166" s="6" t="inlineStr">
        <is>
          <t>DATA+BOUND</t>
        </is>
      </c>
      <c r="AC166" s="6" t="inlineStr">
        <is>
          <t>OPEN</t>
        </is>
      </c>
      <c r="AD166" s="6" t="inlineStr">
        <is>
          <t>UNCHANGED</t>
        </is>
      </c>
      <c r="AE166" s="6" t="inlineStr">
        <is>
          <t>2026-10-19</t>
        </is>
      </c>
      <c r="AF166" s="6" t="inlineStr">
        <is>
          <t>v4-05 Round 5</t>
        </is>
      </c>
      <c r="AG166" s="6" t="inlineStr"/>
      <c r="AH166" s="6" t="inlineStr">
        <is>
          <t>Yes</t>
        </is>
      </c>
      <c r="AI166" s="6" t="inlineStr"/>
      <c r="AJ166" s="6" t="inlineStr">
        <is>
          <t>SRC-11 canonical</t>
        </is>
      </c>
      <c r="AK166" s="6" t="inlineStr">
        <is>
          <t>SRC-06 S20, SRC-07 19</t>
        </is>
      </c>
      <c r="AL166" s="6" t="inlineStr">
        <is>
          <t>S22</t>
        </is>
      </c>
    </row>
    <row r="167" ht="40.5" customHeight="1">
      <c r="A167" s="5" t="inlineStr">
        <is>
          <t>C-S14/MULT</t>
        </is>
      </c>
      <c r="B167" s="6" t="inlineStr">
        <is>
          <t>Multiplicity enumeration (CH-0040 a, b) remains open</t>
        </is>
      </c>
      <c r="C167" s="6" t="inlineStr">
        <is>
          <t>OPEN</t>
        </is>
      </c>
      <c r="D167" s="6">
        <f>IFERROR(INDEX(Lists!$B$2:$B$14,MATCH(C167,Lists!$A$2:$A$14,0)),"?")</f>
        <v/>
      </c>
      <c r="E167" s="6">
        <f>IF(COUNTIFS(Links!$B$2:$B$600,A167,Links!$E$2:$E$600,"Yes")&gt;0,"REVISE","")</f>
        <v/>
      </c>
      <c r="F167" s="6">
        <f>COUNTIFS(Links!$B$2:$B$600,A167,Links!$D$2:$D$600,"No",Links!$C$2:$C$600,"&lt;&gt;INFORMS")</f>
        <v/>
      </c>
      <c r="G167" s="13" t="inlineStr">
        <is>
          <t>DESK-ANALYSIS</t>
        </is>
      </c>
      <c r="H167" s="6" t="inlineStr">
        <is>
          <t>K5 Evaluation contract</t>
        </is>
      </c>
      <c r="I167" s="6" t="inlineStr">
        <is>
          <t>G3 Before confirmatory study</t>
        </is>
      </c>
      <c r="J167" s="6" t="inlineStr">
        <is>
          <t>Normal</t>
        </is>
      </c>
      <c r="K167" s="6" t="n">
        <v>208</v>
      </c>
      <c r="L167" s="6" t="inlineStr">
        <is>
          <t>W4 End-to-end</t>
        </is>
      </c>
      <c r="M167" s="6" t="inlineStr">
        <is>
          <t>S23</t>
        </is>
      </c>
      <c r="N167" s="6" t="inlineStr">
        <is>
          <t>Lead; team</t>
        </is>
      </c>
      <c r="O167" s="6" t="inlineStr">
        <is>
          <t>Lead computes or writes it (no model runs)</t>
        </is>
      </c>
      <c r="P167" s="6" t="inlineStr">
        <is>
          <t>No</t>
        </is>
      </c>
      <c r="Q167" s="6" t="inlineStr">
        <is>
          <t>Scientific unknown</t>
        </is>
      </c>
      <c r="R167" s="6" t="inlineStr">
        <is>
          <t>Sub-item</t>
        </is>
      </c>
      <c r="S167" s="6" t="inlineStr">
        <is>
          <t>C-S14</t>
        </is>
      </c>
      <c r="T167" s="6" t="inlineStr">
        <is>
          <t>The enumeration of contrasts and the multiplicity rule across the arm table are open.</t>
        </is>
      </c>
      <c r="U167" s="6" t="inlineStr">
        <is>
          <t>Documented as open.</t>
        </is>
      </c>
      <c r="V167" s="6" t="inlineStr">
        <is>
          <t>Contrast list fixed and correction chosen.</t>
        </is>
      </c>
      <c r="W167" s="6" t="inlineStr"/>
      <c r="X167" s="6" t="inlineStr"/>
      <c r="Y167" s="6" t="inlineStr"/>
      <c r="Z167" s="6" t="inlineStr"/>
      <c r="AA167" s="6" t="inlineStr"/>
      <c r="AB167" s="6" t="inlineStr">
        <is>
          <t>DATA</t>
        </is>
      </c>
      <c r="AC167" s="6" t="inlineStr">
        <is>
          <t>n/a (sub-item)</t>
        </is>
      </c>
      <c r="AD167" s="6" t="inlineStr">
        <is>
          <t>NEW (SRC-11 sub-row)</t>
        </is>
      </c>
      <c r="AE167" s="6" t="inlineStr">
        <is>
          <t>2026-10-19</t>
        </is>
      </c>
      <c r="AF167" s="6" t="inlineStr">
        <is>
          <t>v4-02 section 6</t>
        </is>
      </c>
      <c r="AG167" s="6" t="inlineStr"/>
      <c r="AH167" s="6" t="inlineStr">
        <is>
          <t>No for simulation; yes for cross-setting</t>
        </is>
      </c>
      <c r="AI167" s="6" t="inlineStr"/>
      <c r="AJ167" s="6" t="inlineStr">
        <is>
          <t>repo: v4-02 section 6 / v4-03 section 5</t>
        </is>
      </c>
      <c r="AK167" s="6" t="inlineStr">
        <is>
          <t>CH-0040</t>
        </is>
      </c>
      <c r="AL167" s="6" t="inlineStr">
        <is>
          <t>S14</t>
        </is>
      </c>
    </row>
    <row r="168" ht="40.5" customHeight="1">
      <c r="A168" s="5" t="inlineStr">
        <is>
          <t>C-S14/PATHDEP</t>
        </is>
      </c>
      <c r="B168" s="6" t="inlineStr">
        <is>
          <t>Stage-inclusion reading is path-dependent</t>
        </is>
      </c>
      <c r="C168" s="6" t="inlineStr">
        <is>
          <t>OPEN</t>
        </is>
      </c>
      <c r="D168" s="6">
        <f>IFERROR(INDEX(Lists!$B$2:$B$14,MATCH(C168,Lists!$A$2:$A$14,0)),"?")</f>
        <v/>
      </c>
      <c r="E168" s="6">
        <f>IF(COUNTIFS(Links!$B$2:$B$600,A168,Links!$E$2:$E$600,"Yes")&gt;0,"REVISE","")</f>
        <v/>
      </c>
      <c r="F168" s="6">
        <f>COUNTIFS(Links!$B$2:$B$600,A168,Links!$D$2:$D$600,"No",Links!$C$2:$C$600,"&lt;&gt;INFORMS")</f>
        <v/>
      </c>
      <c r="G168" s="13" t="inlineStr">
        <is>
          <t>DESK-ANALYSIS</t>
        </is>
      </c>
      <c r="H168" s="6" t="inlineStr">
        <is>
          <t>K5 Evaluation contract</t>
        </is>
      </c>
      <c r="I168" s="6" t="inlineStr">
        <is>
          <t>G3 Before confirmatory study</t>
        </is>
      </c>
      <c r="J168" s="6" t="inlineStr">
        <is>
          <t>Normal</t>
        </is>
      </c>
      <c r="K168" s="6" t="n">
        <v>209</v>
      </c>
      <c r="L168" s="6" t="inlineStr">
        <is>
          <t>W4 End-to-end</t>
        </is>
      </c>
      <c r="M168" s="6" t="inlineStr">
        <is>
          <t>S23</t>
        </is>
      </c>
      <c r="N168" s="6" t="inlineStr">
        <is>
          <t>Lead; team</t>
        </is>
      </c>
      <c r="O168" s="6" t="inlineStr">
        <is>
          <t>Lead computes or writes it (no model runs)</t>
        </is>
      </c>
      <c r="P168" s="6" t="inlineStr">
        <is>
          <t>No</t>
        </is>
      </c>
      <c r="Q168" s="6" t="inlineStr">
        <is>
          <t>Scientific unknown</t>
        </is>
      </c>
      <c r="R168" s="6" t="inlineStr">
        <is>
          <t>Sub-item</t>
        </is>
      </c>
      <c r="S168" s="6" t="inlineStr">
        <is>
          <t>C-S14</t>
        </is>
      </c>
      <c r="T168" s="6" t="inlineStr">
        <is>
          <t>A component that pays only in the presence of another is found only if that pair is in the arm table; table size drives multiplicity.</t>
        </is>
      </c>
      <c r="U168" s="6" t="inlineStr">
        <is>
          <t>Documented as open.</t>
        </is>
      </c>
      <c r="V168" s="6" t="inlineStr">
        <is>
          <t>Matched pairs listed; table size fixed.</t>
        </is>
      </c>
      <c r="W168" s="6" t="inlineStr"/>
      <c r="X168" s="6" t="inlineStr"/>
      <c r="Y168" s="6" t="inlineStr"/>
      <c r="Z168" s="6" t="inlineStr"/>
      <c r="AA168" s="6" t="inlineStr"/>
      <c r="AB168" s="6" t="inlineStr">
        <is>
          <t>DATA</t>
        </is>
      </c>
      <c r="AC168" s="6" t="inlineStr">
        <is>
          <t>n/a (sub-item)</t>
        </is>
      </c>
      <c r="AD168" s="6" t="inlineStr">
        <is>
          <t>NEW (SRC-11 sub-row)</t>
        </is>
      </c>
      <c r="AE168" s="6" t="inlineStr">
        <is>
          <t>2026-10-19</t>
        </is>
      </c>
      <c r="AF168" s="6" t="inlineStr">
        <is>
          <t>v4-02 section 6</t>
        </is>
      </c>
      <c r="AG168" s="6" t="inlineStr"/>
      <c r="AH168" s="6" t="inlineStr">
        <is>
          <t>No for simulation; yes for cross-setting</t>
        </is>
      </c>
      <c r="AI168" s="6" t="inlineStr"/>
      <c r="AJ168" s="6" t="inlineStr">
        <is>
          <t>repo: v4-02 section 6 / v4-03 section 5</t>
        </is>
      </c>
      <c r="AK168" s="6" t="inlineStr">
        <is>
          <t>CH-0049, RV-0005 R2</t>
        </is>
      </c>
      <c r="AL168" s="6" t="inlineStr">
        <is>
          <t>S14</t>
        </is>
      </c>
    </row>
    <row r="169" ht="40.5" customHeight="1">
      <c r="A169" s="5" t="inlineStr">
        <is>
          <t>C-S14/POSTSEL</t>
        </is>
      </c>
      <c r="B169" s="6" t="inlineStr">
        <is>
          <t>S is a post-selection set with unknown coverage</t>
        </is>
      </c>
      <c r="C169" s="6" t="inlineStr">
        <is>
          <t>OPEN</t>
        </is>
      </c>
      <c r="D169" s="6">
        <f>IFERROR(INDEX(Lists!$B$2:$B$14,MATCH(C169,Lists!$A$2:$A$14,0)),"?")</f>
        <v/>
      </c>
      <c r="E169" s="6">
        <f>IF(COUNTIFS(Links!$B$2:$B$600,A169,Links!$E$2:$E$600,"Yes")&gt;0,"REVISE","")</f>
        <v/>
      </c>
      <c r="F169" s="6">
        <f>COUNTIFS(Links!$B$2:$B$600,A169,Links!$D$2:$D$600,"No",Links!$C$2:$C$600,"&lt;&gt;INFORMS")</f>
        <v/>
      </c>
      <c r="G169" s="13" t="inlineStr">
        <is>
          <t>DESK-ANALYSIS</t>
        </is>
      </c>
      <c r="H169" s="6" t="inlineStr">
        <is>
          <t>K5 Evaluation contract</t>
        </is>
      </c>
      <c r="I169" s="6" t="inlineStr">
        <is>
          <t>G3 Before confirmatory study</t>
        </is>
      </c>
      <c r="J169" s="6" t="inlineStr">
        <is>
          <t>Normal</t>
        </is>
      </c>
      <c r="K169" s="6" t="n">
        <v>210</v>
      </c>
      <c r="L169" s="6" t="inlineStr">
        <is>
          <t>W4 End-to-end</t>
        </is>
      </c>
      <c r="M169" s="6" t="inlineStr">
        <is>
          <t>S23</t>
        </is>
      </c>
      <c r="N169" s="6" t="inlineStr">
        <is>
          <t>Lead; team</t>
        </is>
      </c>
      <c r="O169" s="6" t="inlineStr">
        <is>
          <t>Lead computes or writes it (no model runs)</t>
        </is>
      </c>
      <c r="P169" s="6" t="inlineStr">
        <is>
          <t>No</t>
        </is>
      </c>
      <c r="Q169" s="6" t="inlineStr">
        <is>
          <t>Scientific unknown</t>
        </is>
      </c>
      <c r="R169" s="6" t="inlineStr">
        <is>
          <t>Sub-item</t>
        </is>
      </c>
      <c r="S169" s="6" t="inlineStr">
        <is>
          <t>C-S14</t>
        </is>
      </c>
      <c r="T169" s="6" t="inlineStr">
        <is>
          <t>F and S are estimated on the same split, so S's coverage is not nominal; its error rate is unknown (E6).</t>
        </is>
      </c>
      <c r="U169" s="6" t="inlineStr">
        <is>
          <t>Documented as open.</t>
        </is>
      </c>
      <c r="V169" s="6" t="inlineStr">
        <is>
          <t>Simulation of coverage and sensitivity.</t>
        </is>
      </c>
      <c r="W169" s="6" t="inlineStr"/>
      <c r="X169" s="6" t="inlineStr"/>
      <c r="Y169" s="6" t="inlineStr"/>
      <c r="Z169" s="6" t="inlineStr"/>
      <c r="AA169" s="6" t="inlineStr"/>
      <c r="AB169" s="6" t="inlineStr">
        <is>
          <t>DATA</t>
        </is>
      </c>
      <c r="AC169" s="6" t="inlineStr">
        <is>
          <t>n/a (sub-item)</t>
        </is>
      </c>
      <c r="AD169" s="6" t="inlineStr">
        <is>
          <t>NEW (SRC-11 sub-row)</t>
        </is>
      </c>
      <c r="AE169" s="6" t="inlineStr">
        <is>
          <t>2026-10-19</t>
        </is>
      </c>
      <c r="AF169" s="6" t="inlineStr">
        <is>
          <t>v4-02 section 6</t>
        </is>
      </c>
      <c r="AG169" s="6" t="inlineStr"/>
      <c r="AH169" s="6" t="inlineStr">
        <is>
          <t>No for simulation; yes for cross-setting</t>
        </is>
      </c>
      <c r="AI169" s="6" t="inlineStr"/>
      <c r="AJ169" s="6" t="inlineStr">
        <is>
          <t>repo: v4-02 section 6 / v4-03 section 5</t>
        </is>
      </c>
      <c r="AK169" s="6" t="inlineStr">
        <is>
          <t>CH-0050</t>
        </is>
      </c>
      <c r="AL169" s="6" t="inlineStr">
        <is>
          <t>S14</t>
        </is>
      </c>
    </row>
    <row r="170" ht="53" customHeight="1">
      <c r="A170" s="5" t="inlineStr">
        <is>
          <t>C-S14</t>
        </is>
      </c>
      <c r="B170" s="6" t="inlineStr">
        <is>
          <t>Error of the arm-selection procedure (multiplicity, strata, tails, power); margins and arm table unset.</t>
        </is>
      </c>
      <c r="C170" s="6" t="inlineStr">
        <is>
          <t>PARTLY ANSWERED</t>
        </is>
      </c>
      <c r="D170" s="6">
        <f>IFERROR(INDEX(Lists!$B$2:$B$14,MATCH(C170,Lists!$A$2:$A$14,0)),"?")</f>
        <v/>
      </c>
      <c r="E170" s="6">
        <f>IF(COUNTIFS(Links!$B$2:$B$600,A170,Links!$E$2:$E$600,"Yes")&gt;0,"REVISE","")</f>
        <v/>
      </c>
      <c r="F170" s="6">
        <f>COUNTIFS(Links!$B$2:$B$600,A170,Links!$D$2:$D$600,"No",Links!$C$2:$C$600,"&lt;&gt;INFORMS")</f>
        <v/>
      </c>
      <c r="G170" s="13" t="inlineStr">
        <is>
          <t>DESK-ANALYSIS</t>
        </is>
      </c>
      <c r="H170" s="6" t="inlineStr">
        <is>
          <t>K5 Evaluation contract</t>
        </is>
      </c>
      <c r="I170" s="6" t="inlineStr">
        <is>
          <t>G3 Before confirmatory study</t>
        </is>
      </c>
      <c r="J170" s="6" t="inlineStr">
        <is>
          <t>Normal</t>
        </is>
      </c>
      <c r="K170" s="6" t="n">
        <v>211</v>
      </c>
      <c r="L170" s="6" t="inlineStr">
        <is>
          <t>W4 End-to-end</t>
        </is>
      </c>
      <c r="M170" s="6" t="inlineStr">
        <is>
          <t>S23</t>
        </is>
      </c>
      <c r="N170" s="6" t="inlineStr">
        <is>
          <t>Lead (simulation); Joaa/you (parameters)</t>
        </is>
      </c>
      <c r="O170" s="6" t="inlineStr">
        <is>
          <t>Lead computes or writes it (no model runs)</t>
        </is>
      </c>
      <c r="P170" s="6" t="inlineStr">
        <is>
          <t>Partly</t>
        </is>
      </c>
      <c r="Q170" s="6" t="inlineStr">
        <is>
          <t>Scientific unknown</t>
        </is>
      </c>
      <c r="R170" s="6" t="inlineStr">
        <is>
          <t>Item</t>
        </is>
      </c>
      <c r="S170" s="6" t="inlineStr"/>
      <c r="T170" s="6" t="inlineStr">
        <is>
          <t>Error of the arm-selection procedure (multiplicity, strata, tails, power); margins and arm table unset.</t>
        </is>
      </c>
      <c r="U170" s="6" t="inlineStr">
        <is>
          <t>Tie rule rewritten (feasible set F, directional set S, human epsilon); power table verified; selection error unmeasured; multiplicity enumeration (CH-0040) open.</t>
        </is>
      </c>
      <c r="V170" s="6" t="inlineStr">
        <is>
          <t>Simulation done; cross-setting test run on confirmatory data.</t>
        </is>
      </c>
      <c r="W170" s="6" t="inlineStr">
        <is>
          <t>C-D08, C-D06</t>
        </is>
      </c>
      <c r="X170" s="6" t="inlineStr"/>
      <c r="Y170" s="6" t="inlineStr">
        <is>
          <t>Q-J14, Q-J20, Q-U26</t>
        </is>
      </c>
      <c r="Z170" s="6" t="inlineStr">
        <is>
          <t>JOAA-DECISION, TEST-PILOT</t>
        </is>
      </c>
      <c r="AA170" s="6" t="inlineStr">
        <is>
          <t>K17 Record repair &amp; procedure error</t>
        </is>
      </c>
      <c r="AB170" s="6" t="inlineStr">
        <is>
          <t>DATA+DEC</t>
        </is>
      </c>
      <c r="AC170" s="6" t="inlineStr">
        <is>
          <t>PARTLY ANSWERED - OPEN</t>
        </is>
      </c>
      <c r="AD170" s="6" t="inlineStr">
        <is>
          <t>RE-CHARACTERISED</t>
        </is>
      </c>
      <c r="AE170" s="6" t="inlineStr">
        <is>
          <t>2026-10-19</t>
        </is>
      </c>
      <c r="AF170" s="6" t="inlineStr">
        <is>
          <t>v4-02 sections 6-7; v4-03 section 5</t>
        </is>
      </c>
      <c r="AG170" s="6" t="inlineStr"/>
      <c r="AH170" s="6" t="inlineStr">
        <is>
          <t>No for simulation; yes for cross-setting</t>
        </is>
      </c>
      <c r="AI170" s="6" t="inlineStr"/>
      <c r="AJ170" s="6" t="inlineStr">
        <is>
          <t>SRC-11 canonical</t>
        </is>
      </c>
      <c r="AK170" s="6" t="inlineStr">
        <is>
          <t>SRC-06 S32, SRC-06 S38, SRC-06 C01, SRC-06 C12, SRC-07 09, SRC-07 16, SRC-07 17, CH-0040, v3-04 objection 1</t>
        </is>
      </c>
      <c r="AL170" s="6" t="inlineStr">
        <is>
          <t>S14</t>
        </is>
      </c>
    </row>
    <row r="171" ht="28" customHeight="1">
      <c r="A171" s="5" t="inlineStr">
        <is>
          <t>C-X06</t>
        </is>
      </c>
      <c r="B171" s="6" t="inlineStr">
        <is>
          <t>E6: error rates of the arm-selection procedure (simulation plus cross-setting test).</t>
        </is>
      </c>
      <c r="C171" s="6" t="inlineStr">
        <is>
          <t>UNRUN</t>
        </is>
      </c>
      <c r="D171" s="6">
        <f>IFERROR(INDEX(Lists!$B$2:$B$14,MATCH(C171,Lists!$A$2:$A$14,0)),"?")</f>
        <v/>
      </c>
      <c r="E171" s="6">
        <f>IF(COUNTIFS(Links!$B$2:$B$600,A171,Links!$E$2:$E$600,"Yes")&gt;0,"REVISE","")</f>
        <v/>
      </c>
      <c r="F171" s="6">
        <f>COUNTIFS(Links!$B$2:$B$600,A171,Links!$D$2:$D$600,"No",Links!$C$2:$C$600,"&lt;&gt;INFORMS")</f>
        <v/>
      </c>
      <c r="G171" s="13" t="inlineStr">
        <is>
          <t>DESK-ANALYSIS</t>
        </is>
      </c>
      <c r="H171" s="6" t="inlineStr">
        <is>
          <t>K5 Evaluation contract</t>
        </is>
      </c>
      <c r="I171" s="6" t="inlineStr">
        <is>
          <t>G3 Before confirmatory study</t>
        </is>
      </c>
      <c r="J171" s="6" t="inlineStr">
        <is>
          <t>Normal</t>
        </is>
      </c>
      <c r="K171" s="6" t="n">
        <v>212</v>
      </c>
      <c r="L171" s="6" t="inlineStr">
        <is>
          <t>W4 End-to-end</t>
        </is>
      </c>
      <c r="M171" s="6" t="inlineStr">
        <is>
          <t>S23</t>
        </is>
      </c>
      <c r="N171" s="6" t="inlineStr">
        <is>
          <t>Lead / team</t>
        </is>
      </c>
      <c r="O171" s="6" t="inlineStr">
        <is>
          <t>Lead computes or writes it (no model runs)</t>
        </is>
      </c>
      <c r="P171" s="6" t="inlineStr">
        <is>
          <t>No</t>
        </is>
      </c>
      <c r="Q171" s="6" t="inlineStr">
        <is>
          <t>Test</t>
        </is>
      </c>
      <c r="R171" s="6" t="inlineStr">
        <is>
          <t>Check</t>
        </is>
      </c>
      <c r="S171" s="6" t="inlineStr"/>
      <c r="T171" s="6" t="inlineStr">
        <is>
          <t>E6: error rates of the arm-selection procedure (simulation plus cross-setting test).</t>
        </is>
      </c>
      <c r="U171" s="6" t="inlineStr">
        <is>
          <t>Not run.</t>
        </is>
      </c>
      <c r="V171" s="6" t="inlineStr">
        <is>
          <t>Same as C-S14.</t>
        </is>
      </c>
      <c r="W171" s="6" t="inlineStr">
        <is>
          <t>C-D08</t>
        </is>
      </c>
      <c r="X171" s="6" t="inlineStr"/>
      <c r="Y171" s="6" t="inlineStr">
        <is>
          <t>Q-U26</t>
        </is>
      </c>
      <c r="Z171" s="6" t="inlineStr">
        <is>
          <t>TEST-PILOT</t>
        </is>
      </c>
      <c r="AA171" s="6" t="inlineStr">
        <is>
          <t>K17 Record repair &amp; procedure error</t>
        </is>
      </c>
      <c r="AB171" s="6" t="inlineStr">
        <is>
          <t>DATA</t>
        </is>
      </c>
      <c r="AC171" s="6" t="inlineStr">
        <is>
          <t>NO RESULT - OPEN</t>
        </is>
      </c>
      <c r="AD171" s="6" t="inlineStr">
        <is>
          <t>UNCHANGED</t>
        </is>
      </c>
      <c r="AE171" s="6" t="inlineStr">
        <is>
          <t>2026-10-19</t>
        </is>
      </c>
      <c r="AF171" s="6" t="inlineStr">
        <is>
          <t>v4-02 section 6</t>
        </is>
      </c>
      <c r="AG171" s="6" t="inlineStr"/>
      <c r="AH171" s="6" t="inlineStr">
        <is>
          <t>Cross-setting part: yes</t>
        </is>
      </c>
      <c r="AI171" s="6" t="inlineStr"/>
      <c r="AJ171" s="6" t="inlineStr">
        <is>
          <t>SRC-11 canonical</t>
        </is>
      </c>
      <c r="AK171" s="6" t="inlineStr">
        <is>
          <t>E6</t>
        </is>
      </c>
      <c r="AL171" s="6" t="inlineStr">
        <is>
          <t>S14</t>
        </is>
      </c>
    </row>
    <row r="172" ht="53" customHeight="1">
      <c r="A172" s="5" t="inlineStr">
        <is>
          <t>N-12</t>
        </is>
      </c>
      <c r="B172" s="6" t="inlineStr">
        <is>
          <t>Does an early-observable quantity predict whether restriction pays?</t>
        </is>
      </c>
      <c r="C172" s="6" t="inlineStr">
        <is>
          <t>OPEN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K9 Cache &amp; billing</t>
        </is>
      </c>
      <c r="I172" s="6" t="inlineStr">
        <is>
          <t>G3 Before confirmatory study</t>
        </is>
      </c>
      <c r="J172" s="6" t="inlineStr">
        <is>
          <t>Normal</t>
        </is>
      </c>
      <c r="K172" s="6" t="n">
        <v>213</v>
      </c>
      <c r="L172" s="6" t="inlineStr">
        <is>
          <t>W4 End-to-end</t>
        </is>
      </c>
      <c r="M172" s="6" t="inlineStr">
        <is>
          <t>S23</t>
        </is>
      </c>
      <c r="N172" s="6" t="inlineStr">
        <is>
          <t>Team</t>
        </is>
      </c>
      <c r="O172" s="6" t="inlineStr">
        <is>
          <t>Needs an AUTH and a protocol</t>
        </is>
      </c>
      <c r="P172" s="6" t="inlineStr">
        <is>
          <t>No</t>
        </is>
      </c>
      <c r="Q172" s="6" t="inlineStr">
        <is>
          <t>Scientific unknown</t>
        </is>
      </c>
      <c r="R172" s="6" t="inlineStr">
        <is>
          <t>Item</t>
        </is>
      </c>
      <c r="S172" s="6" t="inlineStr"/>
      <c r="T172" s="6" t="inlineStr">
        <is>
          <t>HYP-0001: a quantity observable at or shortly after session start (early cache-read share, request repetition) predicts which exposure arm is non-dominated better than pre-session variables.</t>
        </is>
      </c>
      <c r="U172" s="6" t="inlineStr">
        <is>
          <t>Proposed; falsifier stated.</t>
        </is>
      </c>
      <c r="V172" s="6" t="inlineStr">
        <is>
          <t>Regime grid run with early-observable features; falsifier tested.</t>
        </is>
      </c>
      <c r="W172" s="6" t="inlineStr">
        <is>
          <t>C-D09, C-D08</t>
        </is>
      </c>
      <c r="X172" s="6" t="inlineStr">
        <is>
          <t>N-3</t>
        </is>
      </c>
      <c r="Y172" s="6" t="inlineStr">
        <is>
          <t>Q-J04</t>
        </is>
      </c>
      <c r="Z172" s="6" t="inlineStr"/>
      <c r="AA172" s="6" t="inlineStr"/>
      <c r="AB172" s="6" t="inlineStr">
        <is>
          <t>DATA</t>
        </is>
      </c>
      <c r="AC172" s="6" t="inlineStr">
        <is>
          <t>n/a (new)</t>
        </is>
      </c>
      <c r="AD172" s="6" t="inlineStr">
        <is>
          <t>NEW (repo sweep)</t>
        </is>
      </c>
      <c r="AE172" s="6" t="inlineStr">
        <is>
          <t>2026-10-19</t>
        </is>
      </c>
      <c r="AF172" s="6" t="inlineStr">
        <is>
          <t>HYP-0001 (proposed); untestable on the closest vehicle (no sessions, no cache fields)</t>
        </is>
      </c>
      <c r="AG172" s="6" t="inlineStr"/>
      <c r="AH172" s="6" t="inlineStr">
        <is>
          <t>Yes</t>
        </is>
      </c>
      <c r="AI172" s="6" t="inlineStr"/>
      <c r="AJ172" s="6" t="inlineStr">
        <is>
          <t>repo: hypotheses/HYP-0001.md</t>
        </is>
      </c>
      <c r="AK172" s="6" t="inlineStr">
        <is>
          <t>HYP-0001</t>
        </is>
      </c>
      <c r="AL172" s="6" t="inlineStr">
        <is>
          <t>S18</t>
        </is>
      </c>
    </row>
    <row r="173" ht="40.5" customHeight="1">
      <c r="A173" s="5" t="inlineStr">
        <is>
          <t>C-S02/INVERSION</t>
        </is>
      </c>
      <c r="B173" s="6" t="inlineStr">
        <is>
          <t>Does a regime exist where fewer exposed tokens cost more in billed terms?</t>
        </is>
      </c>
      <c r="C173" s="6" t="inlineStr">
        <is>
          <t>OPEN</t>
        </is>
      </c>
      <c r="D173" s="6">
        <f>IFERROR(INDEX(Lists!$B$2:$B$14,MATCH(C173,Lists!$A$2:$A$14,0)),"?")</f>
        <v/>
      </c>
      <c r="E173" s="6">
        <f>IF(COUNTIFS(Links!$B$2:$B$600,A173,Links!$E$2:$E$600,"Yes")&gt;0,"REVISE","")</f>
        <v/>
      </c>
      <c r="F173" s="6">
        <f>COUNTIFS(Links!$B$2:$B$600,A173,Links!$D$2:$D$600,"No",Links!$C$2:$C$600,"&lt;&gt;INFORMS")</f>
        <v/>
      </c>
      <c r="G173" s="19" t="inlineStr">
        <is>
          <t>TEST-CONFIRMATORY</t>
        </is>
      </c>
      <c r="H173" s="6" t="inlineStr">
        <is>
          <t>K11 End-to-end comparison</t>
        </is>
      </c>
      <c r="I173" s="6" t="inlineStr">
        <is>
          <t>G4 Before claims</t>
        </is>
      </c>
      <c r="J173" s="6" t="inlineStr">
        <is>
          <t>Normal</t>
        </is>
      </c>
      <c r="K173" s="6" t="n">
        <v>214</v>
      </c>
      <c r="L173" s="6" t="inlineStr">
        <is>
          <t>W4 End-to-end</t>
        </is>
      </c>
      <c r="M173" s="6" t="inlineStr">
        <is>
          <t>S23</t>
        </is>
      </c>
      <c r="N173" s="6" t="inlineStr">
        <is>
          <t>Team</t>
        </is>
      </c>
      <c r="O173" s="6" t="inlineStr">
        <is>
          <t>Only after pilots, decisions and an AUTH</t>
        </is>
      </c>
      <c r="P173" s="6" t="inlineStr">
        <is>
          <t>No</t>
        </is>
      </c>
      <c r="Q173" s="6" t="inlineStr">
        <is>
          <t>Scientific unknown</t>
        </is>
      </c>
      <c r="R173" s="6" t="inlineStr">
        <is>
          <t>Sub-item</t>
        </is>
      </c>
      <c r="S173" s="6" t="inlineStr">
        <is>
          <t>C-S02</t>
        </is>
      </c>
      <c r="T173" s="6" t="inlineStr">
        <is>
          <t>HYP-0005/0008: the exposure-cost relation is not monotone; an inversion arises only via a lower hit rate, longer decision path or higher price of the restricted arm.</t>
        </is>
      </c>
      <c r="U173" s="6" t="inlineStr">
        <is>
          <t>Proposed.</t>
        </is>
      </c>
      <c r="V173" s="6" t="inlineStr">
        <is>
          <t>Sweep over cache regimes and surface policies with intervals.</t>
        </is>
      </c>
      <c r="W173" s="6" t="inlineStr">
        <is>
          <t>C-D09, C-D08</t>
        </is>
      </c>
      <c r="X173" s="6" t="inlineStr"/>
      <c r="Y173" s="6" t="inlineStr"/>
      <c r="Z173" s="6" t="inlineStr"/>
      <c r="AA173" s="6" t="inlineStr"/>
      <c r="AB173" s="6" t="inlineStr">
        <is>
          <t>DATA</t>
        </is>
      </c>
      <c r="AC173" s="6" t="inlineStr">
        <is>
          <t>n/a (sub-item)</t>
        </is>
      </c>
      <c r="AD173" s="6" t="inlineStr">
        <is>
          <t>NEW (SRC-11 sub-row)</t>
        </is>
      </c>
      <c r="AE173" s="6" t="inlineStr">
        <is>
          <t>2026-10-19</t>
        </is>
      </c>
      <c r="AF173" s="6" t="inlineStr">
        <is>
          <t>HYP-0005, HYP-0008</t>
        </is>
      </c>
      <c r="AG173" s="6" t="inlineStr"/>
      <c r="AH173" s="6" t="inlineStr">
        <is>
          <t>Yes</t>
        </is>
      </c>
      <c r="AI173" s="6" t="inlineStr"/>
      <c r="AJ173" s="6" t="inlineStr">
        <is>
          <t>repo: HYP records / CH-0042</t>
        </is>
      </c>
      <c r="AK173" s="6" t="inlineStr">
        <is>
          <t>HYP-0005, HYP-0008</t>
        </is>
      </c>
      <c r="AL173" s="6" t="inlineStr">
        <is>
          <t>S22</t>
        </is>
      </c>
    </row>
    <row r="174" ht="40.5" customHeight="1">
      <c r="A174" s="5" t="inlineStr">
        <is>
          <t>C-S02/PERVERSE</t>
        </is>
      </c>
      <c r="B174" s="6" t="inlineStr">
        <is>
          <t>Perverse optima of the token objective (tail dilution, expensive-task shedding, uncounted compute)</t>
        </is>
      </c>
      <c r="C174" s="6" t="inlineStr">
        <is>
          <t>OPEN</t>
        </is>
      </c>
      <c r="D174" s="6">
        <f>IFERROR(INDEX(Lists!$B$2:$B$14,MATCH(C174,Lists!$A$2:$A$14,0)),"?")</f>
        <v/>
      </c>
      <c r="E174" s="6">
        <f>IF(COUNTIFS(Links!$B$2:$B$600,A174,Links!$E$2:$E$600,"Yes")&gt;0,"REVISE","")</f>
        <v/>
      </c>
      <c r="F174" s="6">
        <f>COUNTIFS(Links!$B$2:$B$600,A174,Links!$D$2:$D$600,"No",Links!$C$2:$C$600,"&lt;&gt;INFORMS")</f>
        <v/>
      </c>
      <c r="G174" s="13" t="inlineStr">
        <is>
          <t>DESK-ANALYSIS</t>
        </is>
      </c>
      <c r="H174" s="6" t="inlineStr">
        <is>
          <t>K11 End-to-end comparison</t>
        </is>
      </c>
      <c r="I174" s="6" t="inlineStr">
        <is>
          <t>G4 Before claims</t>
        </is>
      </c>
      <c r="J174" s="6" t="inlineStr">
        <is>
          <t>Normal</t>
        </is>
      </c>
      <c r="K174" s="6" t="n">
        <v>215</v>
      </c>
      <c r="L174" s="6" t="inlineStr">
        <is>
          <t>W4 End-to-end</t>
        </is>
      </c>
      <c r="M174" s="6" t="inlineStr">
        <is>
          <t>S23</t>
        </is>
      </c>
      <c r="N174" s="6" t="inlineStr">
        <is>
          <t>Team</t>
        </is>
      </c>
      <c r="O174" s="6" t="inlineStr">
        <is>
          <t>Lead computes or writes it (no model runs)</t>
        </is>
      </c>
      <c r="P174" s="6" t="inlineStr">
        <is>
          <t>No</t>
        </is>
      </c>
      <c r="Q174" s="6" t="inlineStr">
        <is>
          <t>Scientific unknown</t>
        </is>
      </c>
      <c r="R174" s="6" t="inlineStr">
        <is>
          <t>Sub-item</t>
        </is>
      </c>
      <c r="S174" s="6" t="inlineStr">
        <is>
          <t>C-S02</t>
        </is>
      </c>
      <c r="T174" s="6" t="inlineStr">
        <is>
          <t>CH-0042: an aggregate noninferiority constraint on tokens can have perverse optima; non-token compute is uncounted.</t>
        </is>
      </c>
      <c r="U174" s="6" t="inlineStr">
        <is>
          <t>Stratum guard added; tokens split by outcome belong to E1.</t>
        </is>
      </c>
      <c r="V174" s="6" t="inlineStr">
        <is>
          <t>Success and tokens reported by stratum and outcome; non-token compute listed.</t>
        </is>
      </c>
      <c r="W174" s="6" t="inlineStr">
        <is>
          <t>C-D09, C-D08</t>
        </is>
      </c>
      <c r="X174" s="6" t="inlineStr"/>
      <c r="Y174" s="6" t="inlineStr"/>
      <c r="Z174" s="6" t="inlineStr"/>
      <c r="AA174" s="6" t="inlineStr"/>
      <c r="AB174" s="6" t="inlineStr">
        <is>
          <t>DATA</t>
        </is>
      </c>
      <c r="AC174" s="6" t="inlineStr">
        <is>
          <t>n/a (sub-item)</t>
        </is>
      </c>
      <c r="AD174" s="6" t="inlineStr">
        <is>
          <t>NEW (SRC-11 sub-row)</t>
        </is>
      </c>
      <c r="AE174" s="6" t="inlineStr">
        <is>
          <t>2026-10-19</t>
        </is>
      </c>
      <c r="AF174" s="6" t="inlineStr">
        <is>
          <t>v3-04 section 1 (CH-0042 residual)</t>
        </is>
      </c>
      <c r="AG174" s="6" t="inlineStr"/>
      <c r="AH174" s="6" t="inlineStr">
        <is>
          <t>Yes</t>
        </is>
      </c>
      <c r="AI174" s="6" t="inlineStr"/>
      <c r="AJ174" s="6" t="inlineStr">
        <is>
          <t>repo: HYP records / CH-0042</t>
        </is>
      </c>
      <c r="AK174" s="6" t="inlineStr">
        <is>
          <t>CH-0042</t>
        </is>
      </c>
      <c r="AL174" s="6" t="inlineStr">
        <is>
          <t>S22</t>
        </is>
      </c>
    </row>
    <row r="175" ht="40.5" customHeight="1">
      <c r="A175" s="5" t="inlineStr">
        <is>
          <t>C-S02/PREV</t>
        </is>
      </c>
      <c r="B175" s="6" t="inlineStr">
        <is>
          <t>Is recovery worth its price as a function of prevalence w of tasks needing non-core tools?</t>
        </is>
      </c>
      <c r="C175" s="6" t="inlineStr">
        <is>
          <t>OPEN</t>
        </is>
      </c>
      <c r="D175" s="6">
        <f>IFERROR(INDEX(Lists!$B$2:$B$14,MATCH(C175,Lists!$A$2:$A$14,0)),"?")</f>
        <v/>
      </c>
      <c r="E175" s="6">
        <f>IF(COUNTIFS(Links!$B$2:$B$600,A175,Links!$E$2:$E$600,"Yes")&gt;0,"REVISE","")</f>
        <v/>
      </c>
      <c r="F175" s="6">
        <f>COUNTIFS(Links!$B$2:$B$600,A175,Links!$D$2:$D$600,"No",Links!$C$2:$C$600,"&lt;&gt;INFORMS")</f>
        <v/>
      </c>
      <c r="G175" s="19" t="inlineStr">
        <is>
          <t>TEST-CONFIRMATORY</t>
        </is>
      </c>
      <c r="H175" s="6" t="inlineStr">
        <is>
          <t>K11 End-to-end comparison</t>
        </is>
      </c>
      <c r="I175" s="6" t="inlineStr">
        <is>
          <t>G4 Before claims</t>
        </is>
      </c>
      <c r="J175" s="6" t="inlineStr">
        <is>
          <t>Normal</t>
        </is>
      </c>
      <c r="K175" s="6" t="n">
        <v>216</v>
      </c>
      <c r="L175" s="6" t="inlineStr">
        <is>
          <t>W4 End-to-end</t>
        </is>
      </c>
      <c r="M175" s="6" t="inlineStr">
        <is>
          <t>S23</t>
        </is>
      </c>
      <c r="N175" s="6" t="inlineStr">
        <is>
          <t>Team</t>
        </is>
      </c>
      <c r="O175" s="6" t="inlineStr">
        <is>
          <t>Only after pilots, decisions and an AUTH</t>
        </is>
      </c>
      <c r="P175" s="6" t="inlineStr">
        <is>
          <t>No</t>
        </is>
      </c>
      <c r="Q175" s="6" t="inlineStr">
        <is>
          <t>Scientific unknown</t>
        </is>
      </c>
      <c r="R175" s="6" t="inlineStr">
        <is>
          <t>Sub-item</t>
        </is>
      </c>
      <c r="S175" s="6" t="inlineStr">
        <is>
          <t>C-S02</t>
        </is>
      </c>
      <c r="T175" s="6" t="inlineStr">
        <is>
          <t>HYP-0011: value accrues only in tasks needing a tool outside the core while price accrues in all tasks.</t>
        </is>
      </c>
      <c r="U175" s="6" t="inlineStr">
        <is>
          <t>Proposed.</t>
        </is>
      </c>
      <c r="V175" s="6" t="inlineStr">
        <is>
          <t>Population net effect w x gain - (1-w) x price estimated; prevalence reported.</t>
        </is>
      </c>
      <c r="W175" s="6" t="inlineStr">
        <is>
          <t>C-D09, C-D08</t>
        </is>
      </c>
      <c r="X175" s="6" t="inlineStr"/>
      <c r="Y175" s="6" t="inlineStr"/>
      <c r="Z175" s="6" t="inlineStr"/>
      <c r="AA175" s="6" t="inlineStr"/>
      <c r="AB175" s="6" t="inlineStr">
        <is>
          <t>DATA</t>
        </is>
      </c>
      <c r="AC175" s="6" t="inlineStr">
        <is>
          <t>n/a (sub-item)</t>
        </is>
      </c>
      <c r="AD175" s="6" t="inlineStr">
        <is>
          <t>NEW (SRC-11 sub-row)</t>
        </is>
      </c>
      <c r="AE175" s="6" t="inlineStr">
        <is>
          <t>2026-10-19</t>
        </is>
      </c>
      <c r="AF175" s="6" t="inlineStr">
        <is>
          <t>HYP-0011</t>
        </is>
      </c>
      <c r="AG175" s="6" t="inlineStr"/>
      <c r="AH175" s="6" t="inlineStr">
        <is>
          <t>Yes</t>
        </is>
      </c>
      <c r="AI175" s="6" t="inlineStr"/>
      <c r="AJ175" s="6" t="inlineStr">
        <is>
          <t>repo: HYP records / CH-0042</t>
        </is>
      </c>
      <c r="AK175" s="6" t="inlineStr">
        <is>
          <t>HYP-0011</t>
        </is>
      </c>
      <c r="AL175" s="6" t="inlineStr">
        <is>
          <t>S22</t>
        </is>
      </c>
    </row>
    <row r="176" ht="228" customHeight="1">
      <c r="A176" s="5" t="inlineStr">
        <is>
          <t>C-S02</t>
        </is>
      </c>
      <c r="B176" s="6" t="inlineStr">
        <is>
          <t>Repeated complete-trajectory success and cache-aware billed cost: deferral/discovery vs cached full exposure.</t>
        </is>
      </c>
      <c r="C176" s="6" t="inlineStr">
        <is>
          <t>OPEN</t>
        </is>
      </c>
      <c r="D176" s="6">
        <f>IFERROR(INDEX(Lists!$B$2:$B$14,MATCH(C176,Lists!$A$2:$A$14,0)),"?")</f>
        <v/>
      </c>
      <c r="E176" s="6">
        <f>IF(COUNTIFS(Links!$B$2:$B$600,A176,Links!$E$2:$E$600,"Yes")&gt;0,"REVISE","")</f>
        <v/>
      </c>
      <c r="F176" s="6">
        <f>COUNTIFS(Links!$B$2:$B$600,A176,Links!$D$2:$D$600,"No",Links!$C$2:$C$600,"&lt;&gt;INFORMS")</f>
        <v/>
      </c>
      <c r="G176" s="19" t="inlineStr">
        <is>
          <t>TEST-CONFIRMATORY</t>
        </is>
      </c>
      <c r="H176" s="6" t="inlineStr">
        <is>
          <t>K11 End-to-end comparison</t>
        </is>
      </c>
      <c r="I176" s="6" t="inlineStr">
        <is>
          <t>G4 Before claims</t>
        </is>
      </c>
      <c r="J176" s="6" t="inlineStr">
        <is>
          <t>Normal</t>
        </is>
      </c>
      <c r="K176" s="6" t="n">
        <v>217</v>
      </c>
      <c r="L176" s="6" t="inlineStr">
        <is>
          <t>W4 End-to-end</t>
        </is>
      </c>
      <c r="M176" s="6" t="inlineStr">
        <is>
          <t>S23</t>
        </is>
      </c>
      <c r="N176" s="6" t="inlineStr">
        <is>
          <t>Team</t>
        </is>
      </c>
      <c r="O176" s="6" t="inlineStr">
        <is>
          <t>Only after pilots, decisions and an AUTH</t>
        </is>
      </c>
      <c r="P176" s="6" t="inlineStr">
        <is>
          <t>No</t>
        </is>
      </c>
      <c r="Q176" s="6" t="inlineStr">
        <is>
          <t>Scientific unknown</t>
        </is>
      </c>
      <c r="R176" s="6" t="inlineStr">
        <is>
          <t>Item</t>
        </is>
      </c>
      <c r="S176" s="6" t="inlineStr"/>
      <c r="T176" s="6" t="inlineStr">
        <is>
          <t>Repeated complete-trajectory success and cache-aware billed cost: deferral/discovery vs cached full exposure.</t>
        </is>
      </c>
      <c r="U176"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76" s="6" t="inlineStr">
        <is>
          <t>Feasibility pilot, then an appropriately powered paired comparison with provider usage and invoice reconciliation.</t>
        </is>
      </c>
      <c r="W176" s="6" t="inlineStr">
        <is>
          <t>C-D09, C-D08, C-D02, C-D06, C-E06, C-S01, C-S03, C-S08, C-S14</t>
        </is>
      </c>
      <c r="X176" s="6" t="inlineStr">
        <is>
          <t>C-S12, C-S13, C-S15, C-D11</t>
        </is>
      </c>
      <c r="Y176" s="6" t="inlineStr">
        <is>
          <t>Q-U03</t>
        </is>
      </c>
      <c r="Z176" s="6" t="inlineStr">
        <is>
          <t>TEST-PILOT</t>
        </is>
      </c>
      <c r="AA176" s="6" t="inlineStr">
        <is>
          <t>K9 Cache &amp; billing</t>
        </is>
      </c>
      <c r="AB176" s="6" t="inlineStr">
        <is>
          <t>DATA</t>
        </is>
      </c>
      <c r="AC176" s="6" t="inlineStr">
        <is>
          <t>OPEN</t>
        </is>
      </c>
      <c r="AD176" s="6" t="inlineStr">
        <is>
          <t>UNCHANGED</t>
        </is>
      </c>
      <c r="AE176" s="6" t="inlineStr">
        <is>
          <t>2026-10-19</t>
        </is>
      </c>
      <c r="AF176" s="6" t="inlineStr">
        <is>
          <t>v4-05 section 1A; v4-04 section 3</t>
        </is>
      </c>
      <c r="AG176" s="6" t="inlineStr"/>
      <c r="AH176" s="6" t="inlineStr">
        <is>
          <t>Yes</t>
        </is>
      </c>
      <c r="AI176" s="6" t="inlineStr"/>
      <c r="AJ176" s="6" t="inlineStr">
        <is>
          <t>SRC-11 canonical</t>
        </is>
      </c>
      <c r="AK176" s="6" t="inlineStr">
        <is>
          <t>SRC-06 S01, SRC-06 S03, SRC-07 13, SRC-07 22, v3-04 E5, v3-04 E7, HYP-0005, HYP-0008, RA11</t>
        </is>
      </c>
      <c r="AL176" s="6" t="inlineStr">
        <is>
          <t>S22</t>
        </is>
      </c>
    </row>
    <row r="177" ht="40.5" customHeight="1">
      <c r="A177" s="5" t="inlineStr">
        <is>
          <t>C-X05</t>
        </is>
      </c>
      <c r="B177" s="6" t="inlineStr">
        <is>
          <t>E5: repeated end-to-end success/cost sweep that answers C-S02.</t>
        </is>
      </c>
      <c r="C177" s="6" t="inlineStr">
        <is>
          <t>UNRUN</t>
        </is>
      </c>
      <c r="D177" s="6">
        <f>IFERROR(INDEX(Lists!$B$2:$B$14,MATCH(C177,Lists!$A$2:$A$14,0)),"?")</f>
        <v/>
      </c>
      <c r="E177" s="6">
        <f>IF(COUNTIFS(Links!$B$2:$B$600,A177,Links!$E$2:$E$600,"Yes")&gt;0,"REVISE","")</f>
        <v/>
      </c>
      <c r="F177" s="6">
        <f>COUNTIFS(Links!$B$2:$B$600,A177,Links!$D$2:$D$600,"No",Links!$C$2:$C$600,"&lt;&gt;INFORMS")</f>
        <v/>
      </c>
      <c r="G177" s="19" t="inlineStr">
        <is>
          <t>TEST-CONFIRMATORY</t>
        </is>
      </c>
      <c r="H177" s="6" t="inlineStr">
        <is>
          <t>K11 End-to-end comparison</t>
        </is>
      </c>
      <c r="I177" s="6" t="inlineStr">
        <is>
          <t>G4 Before claims</t>
        </is>
      </c>
      <c r="J177" s="6" t="inlineStr">
        <is>
          <t>Normal</t>
        </is>
      </c>
      <c r="K177" s="6" t="n">
        <v>218</v>
      </c>
      <c r="L177" s="6" t="inlineStr">
        <is>
          <t>W4 End-to-end</t>
        </is>
      </c>
      <c r="M177" s="6" t="inlineStr">
        <is>
          <t>S23</t>
        </is>
      </c>
      <c r="N177" s="6" t="inlineStr">
        <is>
          <t>Team</t>
        </is>
      </c>
      <c r="O177" s="6" t="inlineStr">
        <is>
          <t>Only after pilots, decisions and an AUTH</t>
        </is>
      </c>
      <c r="P177" s="6" t="inlineStr">
        <is>
          <t>No</t>
        </is>
      </c>
      <c r="Q177" s="6" t="inlineStr">
        <is>
          <t>Test</t>
        </is>
      </c>
      <c r="R177" s="6" t="inlineStr">
        <is>
          <t>Check</t>
        </is>
      </c>
      <c r="S177" s="6" t="inlineStr"/>
      <c r="T177" s="6" t="inlineStr">
        <is>
          <t>E5: repeated end-to-end success/cost sweep that answers C-S02.</t>
        </is>
      </c>
      <c r="U177" s="6" t="inlineStr">
        <is>
          <t>Power arithmetic only: about 495 pairs for a single five-point contrast; 800-2,300 for several contrasts or strata.</t>
        </is>
      </c>
      <c r="V177" s="6" t="inlineStr">
        <is>
          <t>Same as C-S02.</t>
        </is>
      </c>
      <c r="W177" s="6" t="inlineStr">
        <is>
          <t>C-D09, C-D08, C-D02, C-D06, C-E06, C-S01, C-S03, C-S08</t>
        </is>
      </c>
      <c r="X177" s="6" t="inlineStr">
        <is>
          <t>C-D11</t>
        </is>
      </c>
      <c r="Y177" s="6" t="inlineStr"/>
      <c r="Z177" s="6" t="inlineStr">
        <is>
          <t>TEST-PILOT</t>
        </is>
      </c>
      <c r="AA177" s="6" t="inlineStr"/>
      <c r="AB177" s="6" t="inlineStr">
        <is>
          <t>DATA</t>
        </is>
      </c>
      <c r="AC177" s="6" t="inlineStr">
        <is>
          <t>NO RESULT - OPEN</t>
        </is>
      </c>
      <c r="AD177" s="6" t="inlineStr">
        <is>
          <t>UNCHANGED</t>
        </is>
      </c>
      <c r="AE177" s="6" t="inlineStr">
        <is>
          <t>2026-10-19</t>
        </is>
      </c>
      <c r="AF177" s="6" t="inlineStr">
        <is>
          <t>v4-02 section 7</t>
        </is>
      </c>
      <c r="AG177" s="6" t="inlineStr"/>
      <c r="AH177" s="6" t="inlineStr">
        <is>
          <t>Yes</t>
        </is>
      </c>
      <c r="AI177" s="6" t="inlineStr"/>
      <c r="AJ177" s="6" t="inlineStr">
        <is>
          <t>SRC-11 canonical</t>
        </is>
      </c>
      <c r="AK177" s="6" t="inlineStr">
        <is>
          <t>E5</t>
        </is>
      </c>
      <c r="AL177" s="6" t="inlineStr">
        <is>
          <t>S22</t>
        </is>
      </c>
    </row>
    <row r="178" ht="253" customHeight="1">
      <c r="A178" s="5" t="inlineStr">
        <is>
          <t>C-E03</t>
        </is>
      </c>
      <c r="B178" s="6" t="inlineStr">
        <is>
          <t>Version drift, vendor arithmetic and evaluator error need version labels and primary checks.</t>
        </is>
      </c>
      <c r="C178" s="6" t="inlineStr">
        <is>
          <t>PARTLY ANSWERED</t>
        </is>
      </c>
      <c r="D178" s="6">
        <f>IFERROR(INDEX(Lists!$B$2:$B$14,MATCH(C178,Lists!$A$2:$A$14,0)),"?")</f>
        <v/>
      </c>
      <c r="E178" s="6">
        <f>IF(COUNTIFS(Links!$B$2:$B$600,A178,Links!$E$2:$E$600,"Yes")&gt;0,"REVISE","")</f>
        <v/>
      </c>
      <c r="F178" s="6">
        <f>COUNTIFS(Links!$B$2:$B$600,A178,Links!$D$2:$D$600,"No",Links!$C$2:$C$600,"&lt;&gt;INFORMS")</f>
        <v/>
      </c>
      <c r="G178" s="14" t="inlineStr">
        <is>
          <t>SOURCE-REREAD</t>
        </is>
      </c>
      <c r="H178" s="6" t="inlineStr">
        <is>
          <t>K14 Source &amp; vendor verification</t>
        </is>
      </c>
      <c r="I178" s="6" t="inlineStr">
        <is>
          <t>G4 Before claims</t>
        </is>
      </c>
      <c r="J178" s="6" t="inlineStr">
        <is>
          <t>Normal</t>
        </is>
      </c>
      <c r="K178" s="6" t="n">
        <v>219</v>
      </c>
      <c r="L178" s="6" t="inlineStr">
        <is>
          <t>W5 Claim-time</t>
        </is>
      </c>
      <c r="M178" s="6" t="inlineStr">
        <is>
          <t>S24</t>
        </is>
      </c>
      <c r="N178" s="6" t="inlineStr">
        <is>
          <t>Lead</t>
        </is>
      </c>
      <c r="O178" s="6" t="inlineStr">
        <is>
          <t>You approve the pointer sentence (06 row 3.29); then this row can close</t>
        </is>
      </c>
      <c r="P178" s="6" t="inlineStr">
        <is>
          <t>Yes - stored text, unread</t>
        </is>
      </c>
      <c r="Q178" s="6" t="inlineStr">
        <is>
          <t>Source check</t>
        </is>
      </c>
      <c r="R178" s="6" t="inlineStr">
        <is>
          <t>Item</t>
        </is>
      </c>
      <c r="S178" s="6" t="inlineStr"/>
      <c r="T178" s="6" t="inlineStr">
        <is>
          <t>Version drift, vendor arithmetic and evaluator error need version labels and primary checks.</t>
        </is>
      </c>
      <c r="U178"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78" s="6" t="inlineStr">
        <is>
          <t>Every quoted number carries its version and date.</t>
        </is>
      </c>
      <c r="W178" s="6" t="inlineStr"/>
      <c r="X178" s="6" t="inlineStr">
        <is>
          <t>C-D01</t>
        </is>
      </c>
      <c r="Y178" s="6" t="inlineStr"/>
      <c r="Z178" s="6" t="inlineStr">
        <is>
          <t>TIME-RECHECK</t>
        </is>
      </c>
      <c r="AA178" s="6" t="inlineStr">
        <is>
          <t>K15 Expiring provider facts</t>
        </is>
      </c>
      <c r="AB178" s="6" t="inlineStr">
        <is>
          <t>SOURCE+TIME+DATA</t>
        </is>
      </c>
      <c r="AC178" s="6" t="inlineStr">
        <is>
          <t>OPEN</t>
        </is>
      </c>
      <c r="AD178" s="6" t="inlineStr">
        <is>
          <t>UNCHANGED</t>
        </is>
      </c>
      <c r="AE178" s="6" t="inlineStr">
        <is>
          <t>2026-10-20</t>
        </is>
      </c>
      <c r="AF178" s="6" t="inlineStr">
        <is>
          <t>FND-0033 (findings/SUM-0035); FND-0034 (findings/SUM-0036); EXT-0177, EXT-0220..0223</t>
        </is>
      </c>
      <c r="AG178" s="6" t="inlineStr">
        <is>
          <t>When a claim is used in the thesis</t>
        </is>
      </c>
      <c r="AH178" s="6" t="inlineStr">
        <is>
          <t>No</t>
        </is>
      </c>
      <c r="AI178" s="6" t="inlineStr"/>
      <c r="AJ178" s="6" t="inlineStr">
        <is>
          <t>SRC-11 canonical</t>
        </is>
      </c>
      <c r="AK178" s="6" t="inlineStr">
        <is>
          <t>SRC-06 E03, SRC-06 E40, SRC-07 25-27, CAVEATS 7, CAVEATS 8, CAVEATS 9</t>
        </is>
      </c>
      <c r="AL178" s="6" t="inlineStr">
        <is>
          <t>S11</t>
        </is>
      </c>
    </row>
    <row r="179" ht="290.5" customHeight="1">
      <c r="A179" s="5" t="inlineStr">
        <is>
          <t>C-E03/E40</t>
        </is>
      </c>
      <c r="B179" s="6" t="inlineStr">
        <is>
          <t>MCPVerse, MCP-Atlas, LiveMCPBench version-sensitive numbers</t>
        </is>
      </c>
      <c r="C179" s="6" t="inlineStr">
        <is>
          <t>PARTLY ANSWERED</t>
        </is>
      </c>
      <c r="D179" s="6">
        <f>IFERROR(INDEX(Lists!$B$2:$B$14,MATCH(C179,Lists!$A$2:$A$14,0)),"?")</f>
        <v/>
      </c>
      <c r="E179" s="6">
        <f>IF(COUNTIFS(Links!$B$2:$B$600,A179,Links!$E$2:$E$600,"Yes")&gt;0,"REVISE","")</f>
        <v/>
      </c>
      <c r="F179" s="6">
        <f>COUNTIFS(Links!$B$2:$B$600,A179,Links!$D$2:$D$600,"No",Links!$C$2:$C$600,"&lt;&gt;INFORMS")</f>
        <v/>
      </c>
      <c r="G179" s="14" t="inlineStr">
        <is>
          <t>SOURCE-REREAD</t>
        </is>
      </c>
      <c r="H179" s="6" t="inlineStr">
        <is>
          <t>K14 Source &amp; vendor verification</t>
        </is>
      </c>
      <c r="I179" s="6" t="inlineStr">
        <is>
          <t>G4 Before claims</t>
        </is>
      </c>
      <c r="J179" s="6" t="inlineStr">
        <is>
          <t>Normal</t>
        </is>
      </c>
      <c r="K179" s="6" t="n">
        <v>220</v>
      </c>
      <c r="L179" s="6" t="inlineStr">
        <is>
          <t>W5 Claim-time</t>
        </is>
      </c>
      <c r="M179" s="6" t="inlineStr">
        <is>
          <t>S24</t>
        </is>
      </c>
      <c r="N179" s="6" t="inlineStr">
        <is>
          <t>Lead</t>
        </is>
      </c>
      <c r="O179" s="6" t="inlineStr">
        <is>
          <t>Apply version tags at claim time (thesis text) or approve 06 row 3.29</t>
        </is>
      </c>
      <c r="P179" s="6" t="inlineStr">
        <is>
          <t>Yes - stored text, unread</t>
        </is>
      </c>
      <c r="Q179" s="6" t="inlineStr">
        <is>
          <t>Source check</t>
        </is>
      </c>
      <c r="R179" s="6" t="inlineStr">
        <is>
          <t>Sub-item</t>
        </is>
      </c>
      <c r="S179" s="6" t="inlineStr">
        <is>
          <t>C-E03</t>
        </is>
      </c>
      <c r="T179" s="6" t="inlineStr">
        <is>
          <t>SRC-06 E40 / SRC-07 25: MCPVerse, MCP-Atlas and LiveMCPBench numbers and attribution are version-sensitive.</t>
        </is>
      </c>
      <c r="U179"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79" s="6" t="inlineStr">
        <is>
          <t>Every quoted number carries version and date.</t>
        </is>
      </c>
      <c r="W179" s="6" t="inlineStr"/>
      <c r="X179" s="6" t="inlineStr"/>
      <c r="Y179" s="6" t="inlineStr"/>
      <c r="Z179" s="6" t="inlineStr"/>
      <c r="AA179" s="6" t="inlineStr"/>
      <c r="AB179" s="6" t="inlineStr">
        <is>
          <t>SOURCE+TIME</t>
        </is>
      </c>
      <c r="AC179" s="6" t="inlineStr">
        <is>
          <t>n/a (sub-item)</t>
        </is>
      </c>
      <c r="AD179" s="6" t="inlineStr">
        <is>
          <t>NARROWED</t>
        </is>
      </c>
      <c r="AE179" s="6" t="inlineStr">
        <is>
          <t>2026-10-20</t>
        </is>
      </c>
      <c r="AF179" s="6" t="inlineStr">
        <is>
          <t>FND-0033, FND-0034</t>
        </is>
      </c>
      <c r="AG179" s="6" t="inlineStr"/>
      <c r="AH179" s="6" t="inlineStr">
        <is>
          <t>No</t>
        </is>
      </c>
      <c r="AI179" s="6" t="inlineStr"/>
      <c r="AJ179" s="6" t="inlineStr">
        <is>
          <t>SRC-11 section D1</t>
        </is>
      </c>
      <c r="AK179" s="6" t="inlineStr">
        <is>
          <t>SRC-06 E40, SRC-07 25, CAVEATS 7</t>
        </is>
      </c>
      <c r="AL179" s="6" t="inlineStr">
        <is>
          <t>S11</t>
        </is>
      </c>
    </row>
    <row r="180" ht="300" customHeight="1">
      <c r="A180" s="5" t="inlineStr">
        <is>
          <t>C-E03/O7-27</t>
        </is>
      </c>
      <c r="B180" s="6" t="inlineStr">
        <is>
          <t>Evaluator-human disagreement and incomplete LLM-judge answers</t>
        </is>
      </c>
      <c r="C180" s="6" t="inlineStr">
        <is>
          <t>PARTLY ANSWERED</t>
        </is>
      </c>
      <c r="D180" s="6">
        <f>IFERROR(INDEX(Lists!$B$2:$B$14,MATCH(C180,Lists!$A$2:$A$14,0)),"?")</f>
        <v/>
      </c>
      <c r="E180" s="6">
        <f>IF(COUNTIFS(Links!$B$2:$B$600,A180,Links!$E$2:$E$600,"Yes")&gt;0,"REVISE","")</f>
        <v/>
      </c>
      <c r="F180" s="6">
        <f>COUNTIFS(Links!$B$2:$B$600,A180,Links!$D$2:$D$600,"No",Links!$C$2:$C$600,"&lt;&gt;INFORMS")</f>
        <v/>
      </c>
      <c r="G180" s="14" t="inlineStr">
        <is>
          <t>SOURCE-REREAD</t>
        </is>
      </c>
      <c r="H180" s="6" t="inlineStr">
        <is>
          <t>K14 Source &amp; vendor verification</t>
        </is>
      </c>
      <c r="I180" s="6" t="inlineStr">
        <is>
          <t>G4 Before claims</t>
        </is>
      </c>
      <c r="J180" s="6" t="inlineStr">
        <is>
          <t>Normal</t>
        </is>
      </c>
      <c r="K180" s="6" t="n">
        <v>222</v>
      </c>
      <c r="L180" s="6" t="inlineStr">
        <is>
          <t>W5 Claim-time</t>
        </is>
      </c>
      <c r="M180" s="6" t="inlineStr">
        <is>
          <t>S24</t>
        </is>
      </c>
      <c r="N180" s="6" t="inlineStr">
        <is>
          <t>Team</t>
        </is>
      </c>
      <c r="O180" s="6" t="inlineStr">
        <is>
          <t>You send the drafted ask (design/ledger/notes/AUTHOR-ASKS-DRAFT-20261020.md, section 2) and record the reply; until then it waits on the authors</t>
        </is>
      </c>
      <c r="P180" s="6" t="inlineStr">
        <is>
          <t>Yes - stored text, unread</t>
        </is>
      </c>
      <c r="Q180" s="6" t="inlineStr">
        <is>
          <t>Source check</t>
        </is>
      </c>
      <c r="R180" s="6" t="inlineStr">
        <is>
          <t>Sub-item</t>
        </is>
      </c>
      <c r="S180" s="6" t="inlineStr">
        <is>
          <t>C-E03</t>
        </is>
      </c>
      <c r="T180" s="6" t="inlineStr">
        <is>
          <t>SRC-07 27: evaluator-human disagreement (18.5% in one audit) and plausible but incomplete LLM-judge answers.</t>
        </is>
      </c>
      <c r="U180"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80" s="6" t="inlineStr">
        <is>
          <t>Source figure verified; scorer chosen; a sample audited against humans.</t>
        </is>
      </c>
      <c r="W180" s="6" t="inlineStr"/>
      <c r="X180" s="6" t="inlineStr"/>
      <c r="Y180" s="6" t="inlineStr"/>
      <c r="Z180" s="6" t="inlineStr"/>
      <c r="AA180" s="6" t="inlineStr"/>
      <c r="AB180" s="6" t="inlineStr">
        <is>
          <t>DATA+SOURCE</t>
        </is>
      </c>
      <c r="AC180" s="6" t="inlineStr">
        <is>
          <t>n/a (sub-item)</t>
        </is>
      </c>
      <c r="AD180" s="6" t="inlineStr">
        <is>
          <t>NEW (SRC-11 sub-row)</t>
        </is>
      </c>
      <c r="AE180" s="6" t="inlineStr">
        <is>
          <t>2026-10-20</t>
        </is>
      </c>
      <c r="AF180" s="6" t="inlineStr">
        <is>
          <t>FND-0021 (findings/SUM-0023); EXT-0184, EXT-0186, EXT-0187, EXT-0190, EXT-0156, EXT-0159</t>
        </is>
      </c>
      <c r="AG180" s="6" t="inlineStr"/>
      <c r="AH180" s="6" t="inlineStr">
        <is>
          <t>No</t>
        </is>
      </c>
      <c r="AI180" s="6" t="inlineStr"/>
      <c r="AJ180" s="6" t="inlineStr">
        <is>
          <t>SRC-11 section D1</t>
        </is>
      </c>
      <c r="AK180" s="6" t="inlineStr">
        <is>
          <t>SRC-07 27, CAVEATS 9</t>
        </is>
      </c>
      <c r="AL180" s="6" t="inlineStr">
        <is>
          <t>S11</t>
        </is>
      </c>
    </row>
    <row r="181" ht="53" customHeight="1">
      <c r="A181" s="5" t="inlineStr">
        <is>
          <t>N-23</t>
        </is>
      </c>
      <c r="B181" s="6" t="inlineStr">
        <is>
          <t>Move the review and this ledger into tracked docs; record an AUTH row for the review</t>
        </is>
      </c>
      <c r="C181" s="6" t="inlineStr">
        <is>
          <t>PARTLY ANSWERED</t>
        </is>
      </c>
      <c r="D181" s="6">
        <f>IFERROR(INDEX(Lists!$B$2:$B$14,MATCH(C181,Lists!$A$2:$A$14,0)),"?")</f>
        <v/>
      </c>
      <c r="E181" s="6">
        <f>IF(COUNTIFS(Links!$B$2:$B$600,A181,Links!$E$2:$E$600,"Yes")&gt;0,"REVISE","")</f>
        <v/>
      </c>
      <c r="F181" s="6">
        <f>COUNTIFS(Links!$B$2:$B$600,A181,Links!$D$2:$D$600,"No",Links!$C$2:$C$600,"&lt;&gt;INFORMS")</f>
        <v/>
      </c>
      <c r="G181" s="9" t="inlineStr">
        <is>
          <t>USER-DECISION</t>
        </is>
      </c>
      <c r="H181" s="6" t="inlineStr">
        <is>
          <t>K16 Limits &amp; provenance</t>
        </is>
      </c>
      <c r="I181" s="6" t="inlineStr">
        <is>
          <t>G5 Housekeeping / no block</t>
        </is>
      </c>
      <c r="J181" s="6" t="inlineStr">
        <is>
          <t>Low</t>
        </is>
      </c>
      <c r="K181" s="6" t="n">
        <v>231</v>
      </c>
      <c r="L181" s="6" t="inlineStr">
        <is>
          <t>W5 Claim-time</t>
        </is>
      </c>
      <c r="M181" s="6" t="inlineStr">
        <is>
          <t>S25</t>
        </is>
      </c>
      <c r="N181" s="6" t="inlineStr">
        <is>
          <t>You</t>
        </is>
      </c>
      <c r="O181" s="6" t="inlineStr">
        <is>
          <t>Answer Q-U18</t>
        </is>
      </c>
      <c r="P181" s="6" t="inlineStr">
        <is>
          <t>n/a</t>
        </is>
      </c>
      <c r="Q181" s="6" t="inlineStr">
        <is>
          <t>Decision</t>
        </is>
      </c>
      <c r="R181" s="6" t="inlineStr">
        <is>
          <t>Item</t>
        </is>
      </c>
      <c r="S181" s="6" t="inlineStr"/>
      <c r="T181" s="6" t="inlineStr">
        <is>
          <t>Review section 9: no AUTH covers the review or the ledger; moving them into tracked documentation needs your approval; SRC-11/12 would need an intake route if they become inputs; the .workspace folder is untracked and not in the remote backup.</t>
        </is>
      </c>
      <c r="U181" s="6" t="inlineStr">
        <is>
          <t>Ledger workbook is tracked at design/ledger/ under AUTH-016 (CSV export alongside). The review report and SRC-11/12 remain untracked in .workspace; admitting them is undecided.</t>
        </is>
      </c>
      <c r="V181" s="6" t="inlineStr">
        <is>
          <t>Review report and SRC-11/12 either admitted (review as SUM; SRC-11/12 via the intake route with provenance) or explicitly kept outside.</t>
        </is>
      </c>
      <c r="W181" s="6" t="inlineStr"/>
      <c r="X181" s="6" t="inlineStr"/>
      <c r="Y181" s="6" t="inlineStr">
        <is>
          <t>Q-U18</t>
        </is>
      </c>
      <c r="Z181" s="6" t="inlineStr"/>
      <c r="AA181" s="6" t="inlineStr"/>
      <c r="AB181" s="6" t="inlineStr">
        <is>
          <t>DEC+RECORD</t>
        </is>
      </c>
      <c r="AC181" s="6" t="inlineStr">
        <is>
          <t>n/a (new)</t>
        </is>
      </c>
      <c r="AD181" s="6" t="inlineStr">
        <is>
          <t>NEW (repo sweep)</t>
        </is>
      </c>
      <c r="AE181" s="6" t="inlineStr">
        <is>
          <t>2026-10-19</t>
        </is>
      </c>
      <c r="AF181" s="6" t="inlineStr">
        <is>
          <t>ops/AUTHORIZATIONS.md AUTH-016; Questions Q-U18 answer</t>
        </is>
      </c>
      <c r="AG181" s="6" t="inlineStr"/>
      <c r="AH181" s="6" t="inlineStr">
        <is>
          <t>Yes (AUTH row)</t>
        </is>
      </c>
      <c r="AI181" s="6" t="inlineStr"/>
      <c r="AJ181" s="6" t="inlineStr">
        <is>
          <t>review 19 Oct section 9</t>
        </is>
      </c>
      <c r="AK181" s="6" t="inlineStr"/>
      <c r="AL181" s="6" t="inlineStr">
        <is>
          <t>S03</t>
        </is>
      </c>
    </row>
    <row r="182" ht="278" customHeight="1">
      <c r="A182" s="5" t="inlineStr">
        <is>
          <t>AS-02</t>
        </is>
      </c>
      <c r="B182" s="6" t="inlineStr">
        <is>
          <t>Supervisor assertion A2: No symbolic algorithm can beat the LLM across all cases</t>
        </is>
      </c>
      <c r="C182" s="6" t="inlineStr">
        <is>
          <t>PARTLY ANSWERED</t>
        </is>
      </c>
      <c r="D182" s="6">
        <f>IFERROR(INDEX(Lists!$B$2:$B$14,MATCH(C182,Lists!$A$2:$A$14,0)),"?")</f>
        <v/>
      </c>
      <c r="E182" s="6">
        <f>IF(COUNTIFS(Links!$B$2:$B$600,A182,Links!$E$2:$E$600,"Yes")&gt;0,"REVISE","")</f>
        <v/>
      </c>
      <c r="F182" s="6">
        <f>COUNTIFS(Links!$B$2:$B$600,A182,Links!$D$2:$D$600,"No",Links!$C$2:$C$600,"&lt;&gt;INFORMS")</f>
        <v/>
      </c>
      <c r="G182" s="12" t="inlineStr">
        <is>
          <t>ACCEPT-LIMITATION</t>
        </is>
      </c>
      <c r="H182" s="6" t="inlineStr">
        <is>
          <t>K14 Source &amp; vendor verification</t>
        </is>
      </c>
      <c r="I182" s="6" t="inlineStr">
        <is>
          <t>G5 Housekeeping / no block</t>
        </is>
      </c>
      <c r="J182" s="6" t="inlineStr">
        <is>
          <t>Low</t>
        </is>
      </c>
      <c r="K182" s="6" t="n">
        <v>232</v>
      </c>
      <c r="L182" s="6" t="inlineStr">
        <is>
          <t>W5 Claim-time</t>
        </is>
      </c>
      <c r="M182" s="6" t="inlineStr">
        <is>
          <t>S25</t>
        </is>
      </c>
      <c r="N182" s="6" t="inlineStr">
        <is>
          <t>Lead / team</t>
        </is>
      </c>
      <c r="O182" s="6" t="inlineStr">
        <is>
          <t>Q-J29; the testable version would need a pilot arm</t>
        </is>
      </c>
      <c r="P182" s="6" t="inlineStr">
        <is>
          <t>No</t>
        </is>
      </c>
      <c r="Q182" s="6" t="inlineStr">
        <is>
          <t>Claim to test</t>
        </is>
      </c>
      <c r="R182" s="6" t="inlineStr">
        <is>
          <t>Item</t>
        </is>
      </c>
      <c r="S182" s="6" t="inlineStr"/>
      <c r="T182" s="6" t="inlineStr">
        <is>
          <t>REQ-A1 A2: No symbolic algorithm can beat the LLM across all cases. Universal, partly definitional claim; hard to test as stated.</t>
        </is>
      </c>
      <c r="U182"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82" s="6" t="inlineStr">
        <is>
          <t>Universal, partly definitional claim; hard to test as stated.</t>
        </is>
      </c>
      <c r="W182" s="6" t="inlineStr"/>
      <c r="X182" s="6" t="inlineStr"/>
      <c r="Y182" s="6" t="inlineStr">
        <is>
          <t>Q-J29</t>
        </is>
      </c>
      <c r="Z182" s="6" t="inlineStr"/>
      <c r="AA182" s="6" t="inlineStr"/>
      <c r="AB182" s="6" t="inlineStr">
        <is>
          <t>SOURCE</t>
        </is>
      </c>
      <c r="AC182" s="6" t="inlineStr">
        <is>
          <t>n/a (REGISTER E)</t>
        </is>
      </c>
      <c r="AD182" s="6" t="inlineStr">
        <is>
          <t>NEW (repo sweep)</t>
        </is>
      </c>
      <c r="AE182" s="6" t="inlineStr">
        <is>
          <t>2026-10-20</t>
        </is>
      </c>
      <c r="AF182" s="6" t="inlineStr">
        <is>
          <t>FND-0031 (findings/SUM-0033); EXT-0207, EXT-0208</t>
        </is>
      </c>
      <c r="AG182" s="6" t="inlineStr"/>
      <c r="AH182" s="6" t="inlineStr">
        <is>
          <t>No</t>
        </is>
      </c>
      <c r="AI182" s="6" t="inlineStr"/>
      <c r="AJ182" s="6" t="inlineStr">
        <is>
          <t>repo: REGISTER section E / EXT-0004</t>
        </is>
      </c>
      <c r="AK182" s="6" t="inlineStr">
        <is>
          <t>REQ-A1 A2</t>
        </is>
      </c>
      <c r="AL182" s="6" t="inlineStr">
        <is>
          <t>S11</t>
        </is>
      </c>
    </row>
    <row r="183" ht="103" customHeight="1">
      <c r="A183" s="5" t="inlineStr">
        <is>
          <t>AS-08</t>
        </is>
      </c>
      <c r="B183" s="6" t="inlineStr">
        <is>
          <t>Supervisor assertion A8: Industry has tried to solve LLM interpretability for years without a solution</t>
        </is>
      </c>
      <c r="C183" s="6" t="inlineStr">
        <is>
          <t>DEFERRED</t>
        </is>
      </c>
      <c r="D183" s="6">
        <f>IFERROR(INDEX(Lists!$B$2:$B$14,MATCH(C183,Lists!$A$2:$A$14,0)),"?")</f>
        <v/>
      </c>
      <c r="E183" s="6">
        <f>IF(COUNTIFS(Links!$B$2:$B$600,A183,Links!$E$2:$E$600,"Yes")&gt;0,"REVISE","")</f>
        <v/>
      </c>
      <c r="F183" s="6">
        <f>COUNTIFS(Links!$B$2:$B$600,A183,Links!$D$2:$D$600,"No",Links!$C$2:$C$600,"&lt;&gt;INFORMS")</f>
        <v/>
      </c>
      <c r="G183" s="12" t="inlineStr">
        <is>
          <t>ACCEPT-LIMITATION</t>
        </is>
      </c>
      <c r="H183" s="6" t="inlineStr">
        <is>
          <t>K14 Source &amp; vendor verification</t>
        </is>
      </c>
      <c r="I183" s="6" t="inlineStr">
        <is>
          <t>G5 Housekeeping / no block</t>
        </is>
      </c>
      <c r="J183" s="6" t="inlineStr">
        <is>
          <t>Low</t>
        </is>
      </c>
      <c r="K183" s="6" t="n">
        <v>233</v>
      </c>
      <c r="L183" s="6" t="inlineStr">
        <is>
          <t>W5 Claim-time</t>
        </is>
      </c>
      <c r="M183" s="6" t="inlineStr">
        <is>
          <t>S25</t>
        </is>
      </c>
      <c r="N183" s="6" t="inlineStr">
        <is>
          <t>Lead / team</t>
        </is>
      </c>
      <c r="O183" s="6" t="inlineStr">
        <is>
          <t>none</t>
        </is>
      </c>
      <c r="P183" s="6" t="inlineStr">
        <is>
          <t>No</t>
        </is>
      </c>
      <c r="Q183" s="6" t="inlineStr">
        <is>
          <t>Claim to test</t>
        </is>
      </c>
      <c r="R183" s="6" t="inlineStr">
        <is>
          <t>Item</t>
        </is>
      </c>
      <c r="S183" s="6" t="inlineStr"/>
      <c r="T183" s="6" t="inlineStr">
        <is>
          <t>REQ-A1 A8: Industry has tried to solve LLM interpretability for years without a solution. Background claim; low priority.</t>
        </is>
      </c>
      <c r="U183"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83" s="6" t="inlineStr">
        <is>
          <t>Background claim; low priority.</t>
        </is>
      </c>
      <c r="W183" s="6" t="inlineStr"/>
      <c r="X183" s="6" t="inlineStr"/>
      <c r="Y183" s="6" t="inlineStr"/>
      <c r="Z183" s="6" t="inlineStr"/>
      <c r="AA183" s="6" t="inlineStr"/>
      <c r="AB183" s="6" t="inlineStr">
        <is>
          <t>SOURCE</t>
        </is>
      </c>
      <c r="AC183" s="6" t="inlineStr">
        <is>
          <t>n/a (REGISTER E)</t>
        </is>
      </c>
      <c r="AD183" s="6" t="inlineStr">
        <is>
          <t>NEW (repo sweep)</t>
        </is>
      </c>
      <c r="AE183" s="6" t="inlineStr">
        <is>
          <t>2026-10-20</t>
        </is>
      </c>
      <c r="AF183" s="6" t="inlineStr">
        <is>
          <t>this row; ledger README (status DEFERRED)</t>
        </is>
      </c>
      <c r="AG183" s="6" t="inlineStr">
        <is>
          <t>The supervisor or a reviewer asks for evidence on it, or a thesis sentence relies on it</t>
        </is>
      </c>
      <c r="AH183" s="6" t="inlineStr">
        <is>
          <t>No</t>
        </is>
      </c>
      <c r="AI183" s="6" t="inlineStr"/>
      <c r="AJ183" s="6" t="inlineStr">
        <is>
          <t>repo: REGISTER section E / EXT-0004</t>
        </is>
      </c>
      <c r="AK183" s="6" t="inlineStr">
        <is>
          <t>REQ-A1 A8</t>
        </is>
      </c>
      <c r="AL183" s="6" t="inlineStr">
        <is>
          <t>S11</t>
        </is>
      </c>
    </row>
    <row r="184" ht="240.5" customHeight="1">
      <c r="A184" s="5" t="inlineStr">
        <is>
          <t>AS-10</t>
        </is>
      </c>
      <c r="B184" s="6" t="inlineStr">
        <is>
          <t>Supervisor assertion A10: Synonyms get the same embedding; keyword search is 'a layer before' semantic search</t>
        </is>
      </c>
      <c r="C184" s="6" t="inlineStr">
        <is>
          <t>PARTLY ANSWERED</t>
        </is>
      </c>
      <c r="D184" s="6">
        <f>IFERROR(INDEX(Lists!$B$2:$B$14,MATCH(C184,Lists!$A$2:$A$14,0)),"?")</f>
        <v/>
      </c>
      <c r="E184" s="6">
        <f>IF(COUNTIFS(Links!$B$2:$B$600,A184,Links!$E$2:$E$600,"Yes")&gt;0,"REVISE","")</f>
        <v/>
      </c>
      <c r="F184" s="6">
        <f>COUNTIFS(Links!$B$2:$B$600,A184,Links!$D$2:$D$600,"No",Links!$C$2:$C$600,"&lt;&gt;INFORMS")</f>
        <v/>
      </c>
      <c r="G184" s="12" t="inlineStr">
        <is>
          <t>ACCEPT-LIMITATION</t>
        </is>
      </c>
      <c r="H184" s="6" t="inlineStr">
        <is>
          <t>K14 Source &amp; vendor verification</t>
        </is>
      </c>
      <c r="I184" s="6" t="inlineStr">
        <is>
          <t>G5 Housekeeping / no block</t>
        </is>
      </c>
      <c r="J184" s="6" t="inlineStr">
        <is>
          <t>Low</t>
        </is>
      </c>
      <c r="K184" s="6" t="n">
        <v>234</v>
      </c>
      <c r="L184" s="6" t="inlineStr">
        <is>
          <t>W5 Claim-time</t>
        </is>
      </c>
      <c r="M184" s="6" t="inlineStr">
        <is>
          <t>S25</t>
        </is>
      </c>
      <c r="N184" s="6" t="inlineStr">
        <is>
          <t>Lead / team</t>
        </is>
      </c>
      <c r="O184" s="6" t="inlineStr">
        <is>
          <t>low priority; Q-J29 covers the mixed reading</t>
        </is>
      </c>
      <c r="P184" s="6" t="inlineStr">
        <is>
          <t>No</t>
        </is>
      </c>
      <c r="Q184" s="6" t="inlineStr">
        <is>
          <t>Claim to test</t>
        </is>
      </c>
      <c r="R184" s="6" t="inlineStr">
        <is>
          <t>Item</t>
        </is>
      </c>
      <c r="S184" s="6" t="inlineStr"/>
      <c r="T184" s="6" t="inlineStr">
        <is>
          <t>REQ-A1 A10: Synonyms get the same embedding; keyword search is 'a layer before' semantic search. Simplification; low priority.</t>
        </is>
      </c>
      <c r="U184"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84" s="6" t="inlineStr">
        <is>
          <t>Simplification; low priority.</t>
        </is>
      </c>
      <c r="W184" s="6" t="inlineStr"/>
      <c r="X184" s="6" t="inlineStr"/>
      <c r="Y184" s="6" t="inlineStr"/>
      <c r="Z184" s="6" t="inlineStr"/>
      <c r="AA184" s="6" t="inlineStr"/>
      <c r="AB184" s="6" t="inlineStr">
        <is>
          <t>SOURCE</t>
        </is>
      </c>
      <c r="AC184" s="6" t="inlineStr">
        <is>
          <t>n/a (REGISTER E)</t>
        </is>
      </c>
      <c r="AD184" s="6" t="inlineStr">
        <is>
          <t>NEW (repo sweep)</t>
        </is>
      </c>
      <c r="AE184" s="6" t="inlineStr">
        <is>
          <t>2026-10-20</t>
        </is>
      </c>
      <c r="AF184" s="6" t="inlineStr">
        <is>
          <t>FND-0031 (findings/SUM-0033)</t>
        </is>
      </c>
      <c r="AG184" s="6" t="inlineStr"/>
      <c r="AH184" s="6" t="inlineStr">
        <is>
          <t>No</t>
        </is>
      </c>
      <c r="AI184" s="6" t="inlineStr"/>
      <c r="AJ184" s="6" t="inlineStr">
        <is>
          <t>repo: REGISTER section E / EXT-0004</t>
        </is>
      </c>
      <c r="AK184" s="6" t="inlineStr">
        <is>
          <t>REQ-A1 A10</t>
        </is>
      </c>
      <c r="AL184" s="6" t="inlineStr">
        <is>
          <t>S11</t>
        </is>
      </c>
    </row>
    <row r="185" ht="228" customHeight="1">
      <c r="A185" s="5" t="inlineStr">
        <is>
          <t>AS-11</t>
        </is>
      </c>
      <c r="B185" s="6" t="inlineStr">
        <is>
          <t>Supervisor assertion A11: 'Semantic is doing the same thing LLM is doing'</t>
        </is>
      </c>
      <c r="C185" s="6" t="inlineStr">
        <is>
          <t>PARTLY ANSWERED</t>
        </is>
      </c>
      <c r="D185" s="6">
        <f>IFERROR(INDEX(Lists!$B$2:$B$14,MATCH(C185,Lists!$A$2:$A$14,0)),"?")</f>
        <v/>
      </c>
      <c r="E185" s="6">
        <f>IF(COUNTIFS(Links!$B$2:$B$600,A185,Links!$E$2:$E$600,"Yes")&gt;0,"REVISE","")</f>
        <v/>
      </c>
      <c r="F185" s="6">
        <f>COUNTIFS(Links!$B$2:$B$600,A185,Links!$D$2:$D$600,"No",Links!$C$2:$C$600,"&lt;&gt;INFORMS")</f>
        <v/>
      </c>
      <c r="G185" s="12" t="inlineStr">
        <is>
          <t>ACCEPT-LIMITATION</t>
        </is>
      </c>
      <c r="H185" s="6" t="inlineStr">
        <is>
          <t>K14 Source &amp; vendor verification</t>
        </is>
      </c>
      <c r="I185" s="6" t="inlineStr">
        <is>
          <t>G5 Housekeeping / no block</t>
        </is>
      </c>
      <c r="J185" s="6" t="inlineStr">
        <is>
          <t>Low</t>
        </is>
      </c>
      <c r="K185" s="6" t="n">
        <v>235</v>
      </c>
      <c r="L185" s="6" t="inlineStr">
        <is>
          <t>W5 Claim-time</t>
        </is>
      </c>
      <c r="M185" s="6" t="inlineStr">
        <is>
          <t>S25</t>
        </is>
      </c>
      <c r="N185" s="6" t="inlineStr">
        <is>
          <t>Lead / team</t>
        </is>
      </c>
      <c r="O185" s="6" t="inlineStr">
        <is>
          <t>low priority; Q-J29 covers it</t>
        </is>
      </c>
      <c r="P185" s="6" t="inlineStr">
        <is>
          <t>No</t>
        </is>
      </c>
      <c r="Q185" s="6" t="inlineStr">
        <is>
          <t>Claim to test</t>
        </is>
      </c>
      <c r="R185" s="6" t="inlineStr">
        <is>
          <t>Item</t>
        </is>
      </c>
      <c r="S185" s="6" t="inlineStr"/>
      <c r="T185" s="6" t="inlineStr">
        <is>
          <t>REQ-A1 A11: 'Semantic is doing the same thing LLM is doing'. Analogy, not an established claim.</t>
        </is>
      </c>
      <c r="U185"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85" s="6" t="inlineStr">
        <is>
          <t>Analogy, not an established claim.</t>
        </is>
      </c>
      <c r="W185" s="6" t="inlineStr"/>
      <c r="X185" s="6" t="inlineStr"/>
      <c r="Y185" s="6" t="inlineStr">
        <is>
          <t>Q-J29</t>
        </is>
      </c>
      <c r="Z185" s="6" t="inlineStr"/>
      <c r="AA185" s="6" t="inlineStr"/>
      <c r="AB185" s="6" t="inlineStr">
        <is>
          <t>SOURCE</t>
        </is>
      </c>
      <c r="AC185" s="6" t="inlineStr">
        <is>
          <t>n/a (REGISTER E)</t>
        </is>
      </c>
      <c r="AD185" s="6" t="inlineStr">
        <is>
          <t>NEW (repo sweep)</t>
        </is>
      </c>
      <c r="AE185" s="6" t="inlineStr">
        <is>
          <t>2026-10-20</t>
        </is>
      </c>
      <c r="AF185" s="6" t="inlineStr">
        <is>
          <t>FND-0031 (findings/SUM-0033); page images complexmcp p7-p8</t>
        </is>
      </c>
      <c r="AG185" s="6" t="inlineStr"/>
      <c r="AH185" s="6" t="inlineStr">
        <is>
          <t>No</t>
        </is>
      </c>
      <c r="AI185" s="6" t="inlineStr"/>
      <c r="AJ185" s="6" t="inlineStr">
        <is>
          <t>repo: REGISTER section E / EXT-0004</t>
        </is>
      </c>
      <c r="AK185" s="6" t="inlineStr">
        <is>
          <t>REQ-A1 A11</t>
        </is>
      </c>
      <c r="AL185" s="6" t="inlineStr">
        <is>
          <t>S11</t>
        </is>
      </c>
    </row>
    <row r="186" ht="28" customHeight="1">
      <c r="A186" s="5" t="inlineStr">
        <is>
          <t>C-D12</t>
        </is>
      </c>
      <c r="B186" s="6" t="inlineStr">
        <is>
          <t>Whether to commission a further independent replication track.</t>
        </is>
      </c>
      <c r="C186" s="6" t="inlineStr">
        <is>
          <t>OPEN</t>
        </is>
      </c>
      <c r="D186" s="6">
        <f>IFERROR(INDEX(Lists!$B$2:$B$14,MATCH(C186,Lists!$A$2:$A$14,0)),"?")</f>
        <v/>
      </c>
      <c r="E186" s="6">
        <f>IF(COUNTIFS(Links!$B$2:$B$600,A186,Links!$E$2:$E$600,"Yes")&gt;0,"REVISE","")</f>
        <v/>
      </c>
      <c r="F186" s="6">
        <f>COUNTIFS(Links!$B$2:$B$600,A186,Links!$D$2:$D$600,"No",Links!$C$2:$C$600,"&lt;&gt;INFORMS")</f>
        <v/>
      </c>
      <c r="G186" s="9" t="inlineStr">
        <is>
          <t>USER-DECISION</t>
        </is>
      </c>
      <c r="H186" s="6" t="inlineStr">
        <is>
          <t>K16 Limits &amp; provenance</t>
        </is>
      </c>
      <c r="I186" s="6" t="inlineStr">
        <is>
          <t>G5 Housekeeping / no block</t>
        </is>
      </c>
      <c r="J186" s="6" t="inlineStr">
        <is>
          <t>Low</t>
        </is>
      </c>
      <c r="K186" s="6" t="n">
        <v>236</v>
      </c>
      <c r="L186" s="6" t="inlineStr">
        <is>
          <t>W5 Claim-time</t>
        </is>
      </c>
      <c r="M186" s="6" t="inlineStr">
        <is>
          <t>S25</t>
        </is>
      </c>
      <c r="N186" s="6" t="inlineStr">
        <is>
          <t>You</t>
        </is>
      </c>
      <c r="O186" s="6" t="inlineStr">
        <is>
          <t>You decide (Q-U13, Q-U15)</t>
        </is>
      </c>
      <c r="P186" s="6" t="inlineStr">
        <is>
          <t>n/a</t>
        </is>
      </c>
      <c r="Q186" s="6" t="inlineStr">
        <is>
          <t>Decision</t>
        </is>
      </c>
      <c r="R186" s="6" t="inlineStr">
        <is>
          <t>Item</t>
        </is>
      </c>
      <c r="S186" s="6" t="inlineStr"/>
      <c r="T186" s="6" t="inlineStr">
        <is>
          <t>Whether to commission a further independent replication track.</t>
        </is>
      </c>
      <c r="U186" s="6" t="inlineStr">
        <is>
          <t>Phase 1/2/2b exist outside the repo; this is a separate decision.</t>
        </is>
      </c>
      <c r="V186" s="6" t="inlineStr">
        <is>
          <t>Decide after checking existing Project A evidence.</t>
        </is>
      </c>
      <c r="W186" s="6" t="inlineStr"/>
      <c r="X186" s="6" t="inlineStr"/>
      <c r="Y186" s="6" t="inlineStr">
        <is>
          <t>Q-U13, Q-U15</t>
        </is>
      </c>
      <c r="Z186" s="6" t="inlineStr"/>
      <c r="AA186" s="6" t="inlineStr"/>
      <c r="AB186" s="6" t="inlineStr">
        <is>
          <t>DEC</t>
        </is>
      </c>
      <c r="AC186" s="6" t="inlineStr">
        <is>
          <t>OPEN</t>
        </is>
      </c>
      <c r="AD186" s="6" t="inlineStr">
        <is>
          <t>UNCHANGED</t>
        </is>
      </c>
      <c r="AE186" s="6" t="inlineStr">
        <is>
          <t>2026-10-19</t>
        </is>
      </c>
      <c r="AF186" s="6" t="inlineStr">
        <is>
          <t>STATE; AUTH-007..009</t>
        </is>
      </c>
      <c r="AG186" s="6" t="inlineStr">
        <is>
          <t>After existing Project A evidence is checked</t>
        </is>
      </c>
      <c r="AH186" s="6" t="inlineStr">
        <is>
          <t>No</t>
        </is>
      </c>
      <c r="AI186" s="6" t="inlineStr"/>
      <c r="AJ186" s="6" t="inlineStr">
        <is>
          <t>SRC-11 canonical</t>
        </is>
      </c>
      <c r="AK186" s="6" t="inlineStr">
        <is>
          <t>SRC-06 D15</t>
        </is>
      </c>
      <c r="AL186" s="6" t="inlineStr">
        <is>
          <t>S25</t>
        </is>
      </c>
    </row>
    <row r="187" ht="28" customHeight="1">
      <c r="A187" s="5" t="inlineStr">
        <is>
          <t>C-D14</t>
        </is>
      </c>
      <c r="B187" s="6" t="inlineStr">
        <is>
          <t>Optional dated near-miss-source note: add or decline.</t>
        </is>
      </c>
      <c r="C187" s="6" t="inlineStr">
        <is>
          <t>OPEN</t>
        </is>
      </c>
      <c r="D187" s="6">
        <f>IFERROR(INDEX(Lists!$B$2:$B$14,MATCH(C187,Lists!$A$2:$A$14,0)),"?")</f>
        <v/>
      </c>
      <c r="E187" s="6">
        <f>IF(COUNTIFS(Links!$B$2:$B$600,A187,Links!$E$2:$E$600,"Yes")&gt;0,"REVISE","")</f>
        <v/>
      </c>
      <c r="F187" s="6">
        <f>COUNTIFS(Links!$B$2:$B$600,A187,Links!$D$2:$D$600,"No",Links!$C$2:$C$600,"&lt;&gt;INFORMS")</f>
        <v/>
      </c>
      <c r="G187" s="9" t="inlineStr">
        <is>
          <t>USER-DECISION</t>
        </is>
      </c>
      <c r="H187" s="6" t="inlineStr">
        <is>
          <t>K16 Limits &amp; provenance</t>
        </is>
      </c>
      <c r="I187" s="6" t="inlineStr">
        <is>
          <t>G5 Housekeeping / no block</t>
        </is>
      </c>
      <c r="J187" s="6" t="inlineStr">
        <is>
          <t>Low</t>
        </is>
      </c>
      <c r="K187" s="6" t="n">
        <v>237</v>
      </c>
      <c r="L187" s="6" t="inlineStr">
        <is>
          <t>W5 Claim-time</t>
        </is>
      </c>
      <c r="M187" s="6" t="inlineStr">
        <is>
          <t>S25</t>
        </is>
      </c>
      <c r="N187" s="6" t="inlineStr">
        <is>
          <t>You</t>
        </is>
      </c>
      <c r="O187" s="6" t="inlineStr">
        <is>
          <t>You decide (Q-U16)</t>
        </is>
      </c>
      <c r="P187" s="6" t="inlineStr">
        <is>
          <t>n/a</t>
        </is>
      </c>
      <c r="Q187" s="6" t="inlineStr">
        <is>
          <t>Decision</t>
        </is>
      </c>
      <c r="R187" s="6" t="inlineStr">
        <is>
          <t>Item</t>
        </is>
      </c>
      <c r="S187" s="6" t="inlineStr"/>
      <c r="T187" s="6" t="inlineStr">
        <is>
          <t>Optional dated near-miss-source note: add or decline.</t>
        </is>
      </c>
      <c r="U187" s="6" t="inlineStr">
        <is>
          <t>No decision found.</t>
        </is>
      </c>
      <c r="V187" s="6" t="inlineStr">
        <is>
          <t>Added or explicitly declined.</t>
        </is>
      </c>
      <c r="W187" s="6" t="inlineStr"/>
      <c r="X187" s="6" t="inlineStr"/>
      <c r="Y187" s="6" t="inlineStr">
        <is>
          <t>Q-U16</t>
        </is>
      </c>
      <c r="Z187" s="6" t="inlineStr"/>
      <c r="AA187" s="6" t="inlineStr"/>
      <c r="AB187" s="6" t="inlineStr">
        <is>
          <t>DEC+RECORD</t>
        </is>
      </c>
      <c r="AC187" s="6" t="inlineStr">
        <is>
          <t>OPEN</t>
        </is>
      </c>
      <c r="AD187" s="6" t="inlineStr">
        <is>
          <t>UNCHANGED</t>
        </is>
      </c>
      <c r="AE187" s="6" t="inlineStr">
        <is>
          <t>2026-10-19</t>
        </is>
      </c>
      <c r="AF187" s="6" t="inlineStr">
        <is>
          <t>not found</t>
        </is>
      </c>
      <c r="AG187" s="6" t="inlineStr">
        <is>
          <t>Before the final literature audit</t>
        </is>
      </c>
      <c r="AH187" s="6" t="inlineStr">
        <is>
          <t>No</t>
        </is>
      </c>
      <c r="AI187" s="6" t="inlineStr"/>
      <c r="AJ187" s="6" t="inlineStr">
        <is>
          <t>SRC-11 canonical</t>
        </is>
      </c>
      <c r="AK187" s="6" t="inlineStr">
        <is>
          <t>SRC-06 D17</t>
        </is>
      </c>
      <c r="AL187" s="6" t="inlineStr">
        <is>
          <t>S25</t>
        </is>
      </c>
    </row>
    <row r="188" ht="40.5" customHeight="1">
      <c r="A188" s="5" t="inlineStr">
        <is>
          <t>C-P01</t>
        </is>
      </c>
      <c r="B188" s="6" t="inlineStr">
        <is>
          <t>Aborted launch attempts are provenance, not findings; two copied thesis workspaces remain in the parent tree.</t>
        </is>
      </c>
      <c r="C188" s="6" t="inlineStr">
        <is>
          <t>OPEN</t>
        </is>
      </c>
      <c r="D188" s="6">
        <f>IFERROR(INDEX(Lists!$B$2:$B$14,MATCH(C188,Lists!$A$2:$A$14,0)),"?")</f>
        <v/>
      </c>
      <c r="E188" s="6">
        <f>IF(COUNTIFS(Links!$B$2:$B$600,A188,Links!$E$2:$E$600,"Yes")&gt;0,"REVISE","")</f>
        <v/>
      </c>
      <c r="F188" s="6">
        <f>COUNTIFS(Links!$B$2:$B$600,A188,Links!$D$2:$D$600,"No",Links!$C$2:$C$600,"&lt;&gt;INFORMS")</f>
        <v/>
      </c>
      <c r="G188" s="9" t="inlineStr">
        <is>
          <t>USER-DECISION</t>
        </is>
      </c>
      <c r="H188" s="6" t="inlineStr">
        <is>
          <t>K16 Limits &amp; provenance</t>
        </is>
      </c>
      <c r="I188" s="6" t="inlineStr">
        <is>
          <t>G5 Housekeeping / no block</t>
        </is>
      </c>
      <c r="J188" s="6" t="inlineStr">
        <is>
          <t>Low</t>
        </is>
      </c>
      <c r="K188" s="6" t="n">
        <v>239</v>
      </c>
      <c r="L188" s="6" t="inlineStr">
        <is>
          <t>W5 Claim-time</t>
        </is>
      </c>
      <c r="M188" s="6" t="inlineStr">
        <is>
          <t>S25</t>
        </is>
      </c>
      <c r="N188" s="6" t="inlineStr">
        <is>
          <t>You</t>
        </is>
      </c>
      <c r="O188" s="6" t="inlineStr">
        <is>
          <t>You decide (Q-U17)</t>
        </is>
      </c>
      <c r="P188" s="6" t="inlineStr">
        <is>
          <t>No</t>
        </is>
      </c>
      <c r="Q188" s="6" t="inlineStr">
        <is>
          <t>Decision</t>
        </is>
      </c>
      <c r="R188" s="6" t="inlineStr">
        <is>
          <t>Item</t>
        </is>
      </c>
      <c r="S188" s="6" t="inlineStr"/>
      <c r="T188" s="6" t="inlineStr">
        <is>
          <t>Aborted launch attempts are provenance, not findings; two copied thesis workspaces remain in the parent tree.</t>
        </is>
      </c>
      <c r="U188" s="6" t="inlineStr">
        <is>
          <t>Outside the repo.</t>
        </is>
      </c>
      <c r="V188" s="6" t="inlineStr">
        <is>
          <t>Keep/move/remove decided; provenance preserved.</t>
        </is>
      </c>
      <c r="W188" s="6" t="inlineStr"/>
      <c r="X188" s="6" t="inlineStr"/>
      <c r="Y188" s="6" t="inlineStr">
        <is>
          <t>Q-U17</t>
        </is>
      </c>
      <c r="Z188" s="6" t="inlineStr">
        <is>
          <t>ACCEPT-LIMITATION</t>
        </is>
      </c>
      <c r="AA188" s="6" t="inlineStr"/>
      <c r="AB188" s="6" t="inlineStr">
        <is>
          <t>RECORD+DEC</t>
        </is>
      </c>
      <c r="AC188" s="6" t="inlineStr">
        <is>
          <t>BOUNDARY - OPEN</t>
        </is>
      </c>
      <c r="AD188" s="6" t="inlineStr">
        <is>
          <t>UNCHANGED</t>
        </is>
      </c>
      <c r="AE188" s="6" t="inlineStr">
        <is>
          <t>2026-10-19</t>
        </is>
      </c>
      <c r="AF188" s="6" t="inlineStr">
        <is>
          <t>SRC-11 C-P01</t>
        </is>
      </c>
      <c r="AG188" s="6" t="inlineStr"/>
      <c r="AH188" s="6" t="inlineStr">
        <is>
          <t>No</t>
        </is>
      </c>
      <c r="AI188" s="6" t="inlineStr"/>
      <c r="AJ188" s="6" t="inlineStr">
        <is>
          <t>SRC-11 canonical</t>
        </is>
      </c>
      <c r="AK188" s="6" t="inlineStr">
        <is>
          <t>SRC-06 P01-P02</t>
        </is>
      </c>
      <c r="AL188" s="6" t="inlineStr">
        <is>
          <t>S25</t>
        </is>
      </c>
    </row>
    <row r="189" ht="28" customHeight="1">
      <c r="A189" s="5" t="inlineStr">
        <is>
          <t>C-P01/P01</t>
        </is>
      </c>
      <c r="B189" s="6" t="inlineStr">
        <is>
          <t>Four aborted/unfinished launch attempts</t>
        </is>
      </c>
      <c r="C189" s="6" t="inlineStr">
        <is>
          <t>OPEN</t>
        </is>
      </c>
      <c r="D189" s="6">
        <f>IFERROR(INDEX(Lists!$B$2:$B$14,MATCH(C189,Lists!$A$2:$A$14,0)),"?")</f>
        <v/>
      </c>
      <c r="E189" s="6">
        <f>IF(COUNTIFS(Links!$B$2:$B$600,A189,Links!$E$2:$E$600,"Yes")&gt;0,"REVISE","")</f>
        <v/>
      </c>
      <c r="F189" s="6">
        <f>COUNTIFS(Links!$B$2:$B$600,A189,Links!$D$2:$D$600,"No",Links!$C$2:$C$600,"&lt;&gt;INFORMS")</f>
        <v/>
      </c>
      <c r="G189" s="9" t="inlineStr">
        <is>
          <t>USER-DECISION</t>
        </is>
      </c>
      <c r="H189" s="6" t="inlineStr">
        <is>
          <t>K16 Limits &amp; provenance</t>
        </is>
      </c>
      <c r="I189" s="6" t="inlineStr">
        <is>
          <t>G5 Housekeeping / no block</t>
        </is>
      </c>
      <c r="J189" s="6" t="inlineStr">
        <is>
          <t>Low</t>
        </is>
      </c>
      <c r="K189" s="6" t="n">
        <v>240</v>
      </c>
      <c r="L189" s="6" t="inlineStr">
        <is>
          <t>W5 Claim-time</t>
        </is>
      </c>
      <c r="M189" s="6" t="inlineStr">
        <is>
          <t>S25</t>
        </is>
      </c>
      <c r="N189" s="6" t="inlineStr">
        <is>
          <t>You</t>
        </is>
      </c>
      <c r="O189" s="6" t="inlineStr">
        <is>
          <t>You decide (Q-U17)</t>
        </is>
      </c>
      <c r="P189" s="6" t="inlineStr">
        <is>
          <t>No</t>
        </is>
      </c>
      <c r="Q189" s="6" t="inlineStr">
        <is>
          <t>Record fix</t>
        </is>
      </c>
      <c r="R189" s="6" t="inlineStr">
        <is>
          <t>Sub-item</t>
        </is>
      </c>
      <c r="S189" s="6" t="inlineStr">
        <is>
          <t>C-P01</t>
        </is>
      </c>
      <c r="T189" s="6" t="inlineStr">
        <is>
          <t>SRC-06 P01: four aborted or unfinished launch attempts are provenance, not independent findings.</t>
        </is>
      </c>
      <c r="U189" s="6" t="inlineStr">
        <is>
          <t>Outside the repo.</t>
        </is>
      </c>
      <c r="V189" s="6" t="inlineStr">
        <is>
          <t>Repaired or disclosed.</t>
        </is>
      </c>
      <c r="W189" s="6" t="inlineStr"/>
      <c r="X189" s="6" t="inlineStr"/>
      <c r="Y189" s="6" t="inlineStr">
        <is>
          <t>Q-U17</t>
        </is>
      </c>
      <c r="Z189" s="6" t="inlineStr"/>
      <c r="AA189" s="6" t="inlineStr"/>
      <c r="AB189" s="6" t="inlineStr">
        <is>
          <t>RECORD+DEC</t>
        </is>
      </c>
      <c r="AC189" s="6" t="inlineStr">
        <is>
          <t>n/a (sub-item)</t>
        </is>
      </c>
      <c r="AD189" s="6" t="inlineStr">
        <is>
          <t>NEW (SRC-11 sub-row)</t>
        </is>
      </c>
      <c r="AE189" s="6" t="inlineStr">
        <is>
          <t>2026-10-19</t>
        </is>
      </c>
      <c r="AF189" s="6" t="inlineStr">
        <is>
          <t>Outside repo (SRC-11 D5)</t>
        </is>
      </c>
      <c r="AG189" s="6" t="inlineStr"/>
      <c r="AH189" s="6" t="inlineStr">
        <is>
          <t>No</t>
        </is>
      </c>
      <c r="AI189" s="6" t="inlineStr"/>
      <c r="AJ189" s="6" t="inlineStr">
        <is>
          <t>SRC-11 section D5</t>
        </is>
      </c>
      <c r="AK189" s="6" t="inlineStr">
        <is>
          <t>SRC-06 P01</t>
        </is>
      </c>
      <c r="AL189" s="6" t="inlineStr">
        <is>
          <t>S25</t>
        </is>
      </c>
    </row>
    <row r="190" ht="28" customHeight="1">
      <c r="A190" s="5" t="inlineStr">
        <is>
          <t>C-P01/P02</t>
        </is>
      </c>
      <c r="B190" s="6" t="inlineStr">
        <is>
          <t>Two copied thesis workspaces remain in the parent tree</t>
        </is>
      </c>
      <c r="C190" s="6" t="inlineStr">
        <is>
          <t>OPEN</t>
        </is>
      </c>
      <c r="D190" s="6">
        <f>IFERROR(INDEX(Lists!$B$2:$B$14,MATCH(C190,Lists!$A$2:$A$14,0)),"?")</f>
        <v/>
      </c>
      <c r="E190" s="6">
        <f>IF(COUNTIFS(Links!$B$2:$B$600,A190,Links!$E$2:$E$600,"Yes")&gt;0,"REVISE","")</f>
        <v/>
      </c>
      <c r="F190" s="6">
        <f>COUNTIFS(Links!$B$2:$B$600,A190,Links!$D$2:$D$600,"No",Links!$C$2:$C$600,"&lt;&gt;INFORMS")</f>
        <v/>
      </c>
      <c r="G190" s="9" t="inlineStr">
        <is>
          <t>USER-DECISION</t>
        </is>
      </c>
      <c r="H190" s="6" t="inlineStr">
        <is>
          <t>K16 Limits &amp; provenance</t>
        </is>
      </c>
      <c r="I190" s="6" t="inlineStr">
        <is>
          <t>G5 Housekeeping / no block</t>
        </is>
      </c>
      <c r="J190" s="6" t="inlineStr">
        <is>
          <t>Low</t>
        </is>
      </c>
      <c r="K190" s="6" t="n">
        <v>241</v>
      </c>
      <c r="L190" s="6" t="inlineStr">
        <is>
          <t>W5 Claim-time</t>
        </is>
      </c>
      <c r="M190" s="6" t="inlineStr">
        <is>
          <t>S25</t>
        </is>
      </c>
      <c r="N190" s="6" t="inlineStr">
        <is>
          <t>You</t>
        </is>
      </c>
      <c r="O190" s="6" t="inlineStr">
        <is>
          <t>You decide (Q-U17)</t>
        </is>
      </c>
      <c r="P190" s="6" t="inlineStr">
        <is>
          <t>No</t>
        </is>
      </c>
      <c r="Q190" s="6" t="inlineStr">
        <is>
          <t>Record fix</t>
        </is>
      </c>
      <c r="R190" s="6" t="inlineStr">
        <is>
          <t>Sub-item</t>
        </is>
      </c>
      <c r="S190" s="6" t="inlineStr">
        <is>
          <t>C-P01</t>
        </is>
      </c>
      <c r="T190" s="6" t="inlineStr">
        <is>
          <t>SRC-06 P02: two copied thesis workspaces remain in the parent tree; moving them cannot retroactively create independence.</t>
        </is>
      </c>
      <c r="U190" s="6" t="inlineStr">
        <is>
          <t>Outside the repo.</t>
        </is>
      </c>
      <c r="V190" s="6" t="inlineStr">
        <is>
          <t>Repaired or disclosed.</t>
        </is>
      </c>
      <c r="W190" s="6" t="inlineStr"/>
      <c r="X190" s="6" t="inlineStr"/>
      <c r="Y190" s="6" t="inlineStr">
        <is>
          <t>Q-U17</t>
        </is>
      </c>
      <c r="Z190" s="6" t="inlineStr"/>
      <c r="AA190" s="6" t="inlineStr"/>
      <c r="AB190" s="6" t="inlineStr">
        <is>
          <t>RECORD+DEC</t>
        </is>
      </c>
      <c r="AC190" s="6" t="inlineStr">
        <is>
          <t>n/a (sub-item)</t>
        </is>
      </c>
      <c r="AD190" s="6" t="inlineStr">
        <is>
          <t>NEW (SRC-11 sub-row)</t>
        </is>
      </c>
      <c r="AE190" s="6" t="inlineStr">
        <is>
          <t>2026-10-19</t>
        </is>
      </c>
      <c r="AF190" s="6" t="inlineStr">
        <is>
          <t>Outside repo (SRC-11 D5)</t>
        </is>
      </c>
      <c r="AG190" s="6" t="inlineStr"/>
      <c r="AH190" s="6" t="inlineStr">
        <is>
          <t>No</t>
        </is>
      </c>
      <c r="AI190" s="6" t="inlineStr"/>
      <c r="AJ190" s="6" t="inlineStr">
        <is>
          <t>SRC-11 section D5</t>
        </is>
      </c>
      <c r="AK190" s="6" t="inlineStr">
        <is>
          <t>SRC-06 P02</t>
        </is>
      </c>
      <c r="AL190" s="6" t="inlineStr">
        <is>
          <t>S25</t>
        </is>
      </c>
    </row>
    <row r="191" ht="140.5" customHeight="1">
      <c r="A191" s="5" t="inlineStr">
        <is>
          <t>C-P02</t>
        </is>
      </c>
      <c r="B191" s="6" t="inlineStr">
        <is>
          <t>Hash gaps, wrong boilerplate, same-model/operator/source risk, asymmetric coverage in the independent track.</t>
        </is>
      </c>
      <c r="C191" s="6" t="inlineStr">
        <is>
          <t>PARTLY ANSWERED</t>
        </is>
      </c>
      <c r="D191" s="6">
        <f>IFERROR(INDEX(Lists!$B$2:$B$14,MATCH(C191,Lists!$A$2:$A$14,0)),"?")</f>
        <v/>
      </c>
      <c r="E191" s="6">
        <f>IF(COUNTIFS(Links!$B$2:$B$600,A191,Links!$E$2:$E$600,"Yes")&gt;0,"REVISE","")</f>
        <v/>
      </c>
      <c r="F191" s="6">
        <f>COUNTIFS(Links!$B$2:$B$600,A191,Links!$D$2:$D$600,"No",Links!$C$2:$C$600,"&lt;&gt;INFORMS")</f>
        <v/>
      </c>
      <c r="G191" s="8" t="inlineStr">
        <is>
          <t>RECORDS-AT-HAND</t>
        </is>
      </c>
      <c r="H191" s="6" t="inlineStr">
        <is>
          <t>K16 Limits &amp; provenance</t>
        </is>
      </c>
      <c r="I191" s="6" t="inlineStr">
        <is>
          <t>G5 Housekeeping / no block</t>
        </is>
      </c>
      <c r="J191" s="6" t="inlineStr">
        <is>
          <t>Low</t>
        </is>
      </c>
      <c r="K191" s="6" t="n">
        <v>242</v>
      </c>
      <c r="L191" s="6" t="inlineStr">
        <is>
          <t>W5 Claim-time</t>
        </is>
      </c>
      <c r="M191" s="6" t="inlineStr">
        <is>
          <t>S25</t>
        </is>
      </c>
      <c r="N191" s="6" t="inlineStr">
        <is>
          <t>You</t>
        </is>
      </c>
      <c r="O191" s="6" t="inlineStr">
        <is>
          <t>Repairs P03, P04, P06, P10 need the human (files outside the repo)</t>
        </is>
      </c>
      <c r="P191" s="6" t="inlineStr">
        <is>
          <t>No</t>
        </is>
      </c>
      <c r="Q191" s="6" t="inlineStr">
        <is>
          <t>Record fix</t>
        </is>
      </c>
      <c r="R191" s="6" t="inlineStr">
        <is>
          <t>Item</t>
        </is>
      </c>
      <c r="S191" s="6" t="inlineStr"/>
      <c r="T191" s="6" t="inlineStr">
        <is>
          <t>Hash gaps, wrong boilerplate, same-model/operator/source risk, asymmetric coverage in the independent track.</t>
        </is>
      </c>
      <c r="U191"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91" s="6" t="inlineStr">
        <is>
          <t>Repairs made where cheap; independence claims qualified.</t>
        </is>
      </c>
      <c r="W191" s="6" t="inlineStr"/>
      <c r="X191" s="6" t="inlineStr"/>
      <c r="Y191" s="6" t="inlineStr">
        <is>
          <t>Q-U20</t>
        </is>
      </c>
      <c r="Z191" s="6" t="inlineStr">
        <is>
          <t>ACCEPT-LIMITATION</t>
        </is>
      </c>
      <c r="AA191" s="6" t="inlineStr"/>
      <c r="AB191" s="6" t="inlineStr">
        <is>
          <t>RECORD+BOUND</t>
        </is>
      </c>
      <c r="AC191" s="6" t="inlineStr">
        <is>
          <t>BOUNDARY - OPEN</t>
        </is>
      </c>
      <c r="AD191" s="6" t="inlineStr">
        <is>
          <t>UNCHANGED</t>
        </is>
      </c>
      <c r="AE191" s="6" t="inlineStr">
        <is>
          <t>2026-10-20</t>
        </is>
      </c>
      <c r="AF191" s="6" t="inlineStr">
        <is>
          <t>Questions Q-U20; chat message of 2026-10-20</t>
        </is>
      </c>
      <c r="AG191" s="6" t="inlineStr"/>
      <c r="AH191" s="6" t="inlineStr">
        <is>
          <t>No</t>
        </is>
      </c>
      <c r="AI191" s="6" t="inlineStr"/>
      <c r="AJ191" s="6" t="inlineStr">
        <is>
          <t>SRC-11 canonical</t>
        </is>
      </c>
      <c r="AK191" s="6" t="inlineStr">
        <is>
          <t>SRC-06 P03-P10</t>
        </is>
      </c>
      <c r="AL191" s="6" t="inlineStr">
        <is>
          <t>S25</t>
        </is>
      </c>
    </row>
    <row r="192" ht="28" customHeight="1">
      <c r="A192" s="5" t="inlineStr">
        <is>
          <t>C-P02/P03</t>
        </is>
      </c>
      <c r="B192" s="6" t="inlineStr">
        <is>
          <t>Incomplete externally held hashes</t>
        </is>
      </c>
      <c r="C192" s="6" t="inlineStr">
        <is>
          <t>OPEN</t>
        </is>
      </c>
      <c r="D192" s="6">
        <f>IFERROR(INDEX(Lists!$B$2:$B$14,MATCH(C192,Lists!$A$2:$A$14,0)),"?")</f>
        <v/>
      </c>
      <c r="E192" s="6">
        <f>IF(COUNTIFS(Links!$B$2:$B$600,A192,Links!$E$2:$E$600,"Yes")&gt;0,"REVISE","")</f>
        <v/>
      </c>
      <c r="F192" s="6">
        <f>COUNTIFS(Links!$B$2:$B$600,A192,Links!$D$2:$D$600,"No",Links!$C$2:$C$600,"&lt;&gt;INFORMS")</f>
        <v/>
      </c>
      <c r="G192" s="8" t="inlineStr">
        <is>
          <t>RECORDS-AT-HAND</t>
        </is>
      </c>
      <c r="H192" s="6" t="inlineStr">
        <is>
          <t>K16 Limits &amp; provenance</t>
        </is>
      </c>
      <c r="I192" s="6" t="inlineStr">
        <is>
          <t>G5 Housekeeping / no block</t>
        </is>
      </c>
      <c r="J192" s="6" t="inlineStr">
        <is>
          <t>Low</t>
        </is>
      </c>
      <c r="K192" s="6" t="n">
        <v>243</v>
      </c>
      <c r="L192" s="6" t="inlineStr">
        <is>
          <t>W5 Claim-time</t>
        </is>
      </c>
      <c r="M192" s="6" t="inlineStr">
        <is>
          <t>S25</t>
        </is>
      </c>
      <c r="N192" s="6" t="inlineStr">
        <is>
          <t>You</t>
        </is>
      </c>
      <c r="O192" s="6" t="inlineStr">
        <is>
          <t>Lead drafts the fix; you approve</t>
        </is>
      </c>
      <c r="P192" s="6" t="inlineStr">
        <is>
          <t>No</t>
        </is>
      </c>
      <c r="Q192" s="6" t="inlineStr">
        <is>
          <t>Record fix</t>
        </is>
      </c>
      <c r="R192" s="6" t="inlineStr">
        <is>
          <t>Sub-item</t>
        </is>
      </c>
      <c r="S192" s="6" t="inlineStr">
        <is>
          <t>C-P02</t>
        </is>
      </c>
      <c r="T192" s="6" t="inlineStr">
        <is>
          <t>SRC-06 P03: externally held hashes are incomplete.</t>
        </is>
      </c>
      <c r="U192" s="6" t="inlineStr">
        <is>
          <t>Outside the repo.</t>
        </is>
      </c>
      <c r="V192" s="6" t="inlineStr">
        <is>
          <t>Repaired or disclosed.</t>
        </is>
      </c>
      <c r="W192" s="6" t="inlineStr"/>
      <c r="X192" s="6" t="inlineStr"/>
      <c r="Y192" s="6" t="inlineStr"/>
      <c r="Z192" s="6" t="inlineStr"/>
      <c r="AA192" s="6" t="inlineStr"/>
      <c r="AB192" s="6" t="inlineStr">
        <is>
          <t>RECORD</t>
        </is>
      </c>
      <c r="AC192" s="6" t="inlineStr">
        <is>
          <t>n/a (sub-item)</t>
        </is>
      </c>
      <c r="AD192" s="6" t="inlineStr">
        <is>
          <t>NEW (SRC-11 sub-row)</t>
        </is>
      </c>
      <c r="AE192" s="6" t="inlineStr">
        <is>
          <t>2026-10-19</t>
        </is>
      </c>
      <c r="AF192" s="6" t="inlineStr">
        <is>
          <t>Outside repo (SRC-11 D5)</t>
        </is>
      </c>
      <c r="AG192" s="6" t="inlineStr"/>
      <c r="AH192" s="6" t="inlineStr">
        <is>
          <t>No</t>
        </is>
      </c>
      <c r="AI192" s="6" t="inlineStr"/>
      <c r="AJ192" s="6" t="inlineStr">
        <is>
          <t>SRC-11 section D5</t>
        </is>
      </c>
      <c r="AK192" s="6" t="inlineStr">
        <is>
          <t>SRC-06 P03</t>
        </is>
      </c>
      <c r="AL192" s="6" t="inlineStr">
        <is>
          <t>S25</t>
        </is>
      </c>
    </row>
    <row r="193" ht="28" customHeight="1">
      <c r="A193" s="5" t="inlineStr">
        <is>
          <t>C-P02/P04</t>
        </is>
      </c>
      <c r="B193" s="6" t="inlineStr">
        <is>
          <t>Wrong freeze boilerplate; missing authorizations in inspected files</t>
        </is>
      </c>
      <c r="C193" s="6" t="inlineStr">
        <is>
          <t>OPEN</t>
        </is>
      </c>
      <c r="D193" s="6">
        <f>IFERROR(INDEX(Lists!$B$2:$B$14,MATCH(C193,Lists!$A$2:$A$14,0)),"?")</f>
        <v/>
      </c>
      <c r="E193" s="6">
        <f>IF(COUNTIFS(Links!$B$2:$B$600,A193,Links!$E$2:$E$600,"Yes")&gt;0,"REVISE","")</f>
        <v/>
      </c>
      <c r="F193" s="6">
        <f>COUNTIFS(Links!$B$2:$B$600,A193,Links!$D$2:$D$600,"No",Links!$C$2:$C$600,"&lt;&gt;INFORMS")</f>
        <v/>
      </c>
      <c r="G193" s="8" t="inlineStr">
        <is>
          <t>RECORDS-AT-HAND</t>
        </is>
      </c>
      <c r="H193" s="6" t="inlineStr">
        <is>
          <t>K16 Limits &amp; provenance</t>
        </is>
      </c>
      <c r="I193" s="6" t="inlineStr">
        <is>
          <t>G5 Housekeeping / no block</t>
        </is>
      </c>
      <c r="J193" s="6" t="inlineStr">
        <is>
          <t>Low</t>
        </is>
      </c>
      <c r="K193" s="6" t="n">
        <v>244</v>
      </c>
      <c r="L193" s="6" t="inlineStr">
        <is>
          <t>W5 Claim-time</t>
        </is>
      </c>
      <c r="M193" s="6" t="inlineStr">
        <is>
          <t>S25</t>
        </is>
      </c>
      <c r="N193" s="6" t="inlineStr">
        <is>
          <t>You</t>
        </is>
      </c>
      <c r="O193" s="6" t="inlineStr">
        <is>
          <t>Lead drafts the fix; you approve</t>
        </is>
      </c>
      <c r="P193" s="6" t="inlineStr">
        <is>
          <t>No</t>
        </is>
      </c>
      <c r="Q193" s="6" t="inlineStr">
        <is>
          <t>Record fix</t>
        </is>
      </c>
      <c r="R193" s="6" t="inlineStr">
        <is>
          <t>Sub-item</t>
        </is>
      </c>
      <c r="S193" s="6" t="inlineStr">
        <is>
          <t>C-P02</t>
        </is>
      </c>
      <c r="T193" s="6" t="inlineStr">
        <is>
          <t>SRC-06 P04: wrong freeze boilerplate and missing authorizations in inspected files.</t>
        </is>
      </c>
      <c r="U193" s="6" t="inlineStr">
        <is>
          <t>Outside the repo.</t>
        </is>
      </c>
      <c r="V193" s="6" t="inlineStr">
        <is>
          <t>Repaired or disclosed.</t>
        </is>
      </c>
      <c r="W193" s="6" t="inlineStr"/>
      <c r="X193" s="6" t="inlineStr"/>
      <c r="Y193" s="6" t="inlineStr"/>
      <c r="Z193" s="6" t="inlineStr"/>
      <c r="AA193" s="6" t="inlineStr"/>
      <c r="AB193" s="6" t="inlineStr">
        <is>
          <t>RECORD</t>
        </is>
      </c>
      <c r="AC193" s="6" t="inlineStr">
        <is>
          <t>n/a (sub-item)</t>
        </is>
      </c>
      <c r="AD193" s="6" t="inlineStr">
        <is>
          <t>NEW (SRC-11 sub-row)</t>
        </is>
      </c>
      <c r="AE193" s="6" t="inlineStr">
        <is>
          <t>2026-10-19</t>
        </is>
      </c>
      <c r="AF193" s="6" t="inlineStr">
        <is>
          <t>Outside repo (SRC-11 D5)</t>
        </is>
      </c>
      <c r="AG193" s="6" t="inlineStr"/>
      <c r="AH193" s="6" t="inlineStr">
        <is>
          <t>No</t>
        </is>
      </c>
      <c r="AI193" s="6" t="inlineStr"/>
      <c r="AJ193" s="6" t="inlineStr">
        <is>
          <t>SRC-11 section D5</t>
        </is>
      </c>
      <c r="AK193" s="6" t="inlineStr">
        <is>
          <t>SRC-06 P04</t>
        </is>
      </c>
      <c r="AL193" s="6" t="inlineStr">
        <is>
          <t>S25</t>
        </is>
      </c>
    </row>
    <row r="194" ht="28" customHeight="1">
      <c r="A194" s="5" t="inlineStr">
        <is>
          <t>C-P02/P06</t>
        </is>
      </c>
      <c r="B194" s="6" t="inlineStr">
        <is>
          <t>Two out-of-folder reads lacking a human check</t>
        </is>
      </c>
      <c r="C194" s="6" t="inlineStr">
        <is>
          <t>OPEN</t>
        </is>
      </c>
      <c r="D194" s="6">
        <f>IFERROR(INDEX(Lists!$B$2:$B$14,MATCH(C194,Lists!$A$2:$A$14,0)),"?")</f>
        <v/>
      </c>
      <c r="E194" s="6">
        <f>IF(COUNTIFS(Links!$B$2:$B$600,A194,Links!$E$2:$E$600,"Yes")&gt;0,"REVISE","")</f>
        <v/>
      </c>
      <c r="F194" s="6">
        <f>COUNTIFS(Links!$B$2:$B$600,A194,Links!$D$2:$D$600,"No",Links!$C$2:$C$600,"&lt;&gt;INFORMS")</f>
        <v/>
      </c>
      <c r="G194" s="8" t="inlineStr">
        <is>
          <t>RECORDS-AT-HAND</t>
        </is>
      </c>
      <c r="H194" s="6" t="inlineStr">
        <is>
          <t>K16 Limits &amp; provenance</t>
        </is>
      </c>
      <c r="I194" s="6" t="inlineStr">
        <is>
          <t>G5 Housekeeping / no block</t>
        </is>
      </c>
      <c r="J194" s="6" t="inlineStr">
        <is>
          <t>Low</t>
        </is>
      </c>
      <c r="K194" s="6" t="n">
        <v>246</v>
      </c>
      <c r="L194" s="6" t="inlineStr">
        <is>
          <t>W5 Claim-time</t>
        </is>
      </c>
      <c r="M194" s="6" t="inlineStr">
        <is>
          <t>S25</t>
        </is>
      </c>
      <c r="N194" s="6" t="inlineStr">
        <is>
          <t>You</t>
        </is>
      </c>
      <c r="O194" s="6" t="inlineStr">
        <is>
          <t>Lead drafts the fix; you approve</t>
        </is>
      </c>
      <c r="P194" s="6" t="inlineStr">
        <is>
          <t>No</t>
        </is>
      </c>
      <c r="Q194" s="6" t="inlineStr">
        <is>
          <t>Record fix</t>
        </is>
      </c>
      <c r="R194" s="6" t="inlineStr">
        <is>
          <t>Sub-item</t>
        </is>
      </c>
      <c r="S194" s="6" t="inlineStr">
        <is>
          <t>C-P02</t>
        </is>
      </c>
      <c r="T194" s="6" t="inlineStr">
        <is>
          <t>SRC-06 P06: two out-of-folder reads occurred without a human check.</t>
        </is>
      </c>
      <c r="U194" s="6" t="inlineStr">
        <is>
          <t>Outside the repo.</t>
        </is>
      </c>
      <c r="V194" s="6" t="inlineStr">
        <is>
          <t>Repaired or disclosed.</t>
        </is>
      </c>
      <c r="W194" s="6" t="inlineStr"/>
      <c r="X194" s="6" t="inlineStr"/>
      <c r="Y194" s="6" t="inlineStr"/>
      <c r="Z194" s="6" t="inlineStr"/>
      <c r="AA194" s="6" t="inlineStr"/>
      <c r="AB194" s="6" t="inlineStr">
        <is>
          <t>RECORD</t>
        </is>
      </c>
      <c r="AC194" s="6" t="inlineStr">
        <is>
          <t>n/a (sub-item)</t>
        </is>
      </c>
      <c r="AD194" s="6" t="inlineStr">
        <is>
          <t>NEW (SRC-11 sub-row)</t>
        </is>
      </c>
      <c r="AE194" s="6" t="inlineStr">
        <is>
          <t>2026-10-19</t>
        </is>
      </c>
      <c r="AF194" s="6" t="inlineStr">
        <is>
          <t>Outside repo (SRC-11 D5)</t>
        </is>
      </c>
      <c r="AG194" s="6" t="inlineStr"/>
      <c r="AH194" s="6" t="inlineStr">
        <is>
          <t>No</t>
        </is>
      </c>
      <c r="AI194" s="6" t="inlineStr"/>
      <c r="AJ194" s="6" t="inlineStr">
        <is>
          <t>SRC-11 section D5</t>
        </is>
      </c>
      <c r="AK194" s="6" t="inlineStr">
        <is>
          <t>SRC-06 P06</t>
        </is>
      </c>
      <c r="AL194" s="6" t="inlineStr">
        <is>
          <t>S25</t>
        </is>
      </c>
    </row>
    <row r="195" ht="28" customHeight="1">
      <c r="A195" s="5" t="inlineStr">
        <is>
          <t>C-P02/P10</t>
        </is>
      </c>
      <c r="B195" s="6" t="inlineStr">
        <is>
          <t>Small glyph/denominator/extract limits</t>
        </is>
      </c>
      <c r="C195" s="6" t="inlineStr">
        <is>
          <t>OPEN</t>
        </is>
      </c>
      <c r="D195" s="6">
        <f>IFERROR(INDEX(Lists!$B$2:$B$14,MATCH(C195,Lists!$A$2:$A$14,0)),"?")</f>
        <v/>
      </c>
      <c r="E195" s="6">
        <f>IF(COUNTIFS(Links!$B$2:$B$600,A195,Links!$E$2:$E$600,"Yes")&gt;0,"REVISE","")</f>
        <v/>
      </c>
      <c r="F195" s="6">
        <f>COUNTIFS(Links!$B$2:$B$600,A195,Links!$D$2:$D$600,"No",Links!$C$2:$C$600,"&lt;&gt;INFORMS")</f>
        <v/>
      </c>
      <c r="G195" s="8" t="inlineStr">
        <is>
          <t>RECORDS-AT-HAND</t>
        </is>
      </c>
      <c r="H195" s="6" t="inlineStr">
        <is>
          <t>K16 Limits &amp; provenance</t>
        </is>
      </c>
      <c r="I195" s="6" t="inlineStr">
        <is>
          <t>G5 Housekeeping / no block</t>
        </is>
      </c>
      <c r="J195" s="6" t="inlineStr">
        <is>
          <t>Low</t>
        </is>
      </c>
      <c r="K195" s="6" t="n">
        <v>250</v>
      </c>
      <c r="L195" s="6" t="inlineStr">
        <is>
          <t>W5 Claim-time</t>
        </is>
      </c>
      <c r="M195" s="6" t="inlineStr">
        <is>
          <t>S25</t>
        </is>
      </c>
      <c r="N195" s="6" t="inlineStr">
        <is>
          <t>You</t>
        </is>
      </c>
      <c r="O195" s="6" t="inlineStr">
        <is>
          <t>Lead drafts the fix; you approve</t>
        </is>
      </c>
      <c r="P195" s="6" t="inlineStr">
        <is>
          <t>No</t>
        </is>
      </c>
      <c r="Q195" s="6" t="inlineStr">
        <is>
          <t>Record fix</t>
        </is>
      </c>
      <c r="R195" s="6" t="inlineStr">
        <is>
          <t>Sub-item</t>
        </is>
      </c>
      <c r="S195" s="6" t="inlineStr">
        <is>
          <t>C-P02</t>
        </is>
      </c>
      <c r="T195" s="6" t="inlineStr">
        <is>
          <t>SRC-06 P10: small glyph, denominator and extract limits.</t>
        </is>
      </c>
      <c r="U195" s="6" t="inlineStr">
        <is>
          <t>Outside the repo.</t>
        </is>
      </c>
      <c r="V195" s="6" t="inlineStr">
        <is>
          <t>Repaired or disclosed.</t>
        </is>
      </c>
      <c r="W195" s="6" t="inlineStr"/>
      <c r="X195" s="6" t="inlineStr"/>
      <c r="Y195" s="6" t="inlineStr"/>
      <c r="Z195" s="6" t="inlineStr"/>
      <c r="AA195" s="6" t="inlineStr"/>
      <c r="AB195" s="6" t="inlineStr">
        <is>
          <t>RECORD</t>
        </is>
      </c>
      <c r="AC195" s="6" t="inlineStr">
        <is>
          <t>n/a (sub-item)</t>
        </is>
      </c>
      <c r="AD195" s="6" t="inlineStr">
        <is>
          <t>NEW (SRC-11 sub-row)</t>
        </is>
      </c>
      <c r="AE195" s="6" t="inlineStr">
        <is>
          <t>2026-10-19</t>
        </is>
      </c>
      <c r="AF195" s="6" t="inlineStr">
        <is>
          <t>Outside repo (SRC-11 D5)</t>
        </is>
      </c>
      <c r="AG195" s="6" t="inlineStr"/>
      <c r="AH195" s="6" t="inlineStr">
        <is>
          <t>No</t>
        </is>
      </c>
      <c r="AI195" s="6" t="inlineStr"/>
      <c r="AJ195" s="6" t="inlineStr">
        <is>
          <t>SRC-11 section D5</t>
        </is>
      </c>
      <c r="AK195" s="6" t="inlineStr">
        <is>
          <t>SRC-06 P10</t>
        </is>
      </c>
      <c r="AL195" s="6" t="inlineStr">
        <is>
          <t>S25</t>
        </is>
      </c>
    </row>
    <row r="196" ht="40.5" customHeight="1">
      <c r="A196" s="5" t="inlineStr">
        <is>
          <t>C-P03</t>
        </is>
      </c>
      <c r="B196" s="6" t="inlineStr">
        <is>
          <t>First-session reconciliation not executed; safeguards untested; evidence ledger partly spot-checked; ASR pr...</t>
        </is>
      </c>
      <c r="C196" s="6" t="inlineStr">
        <is>
          <t>OPEN</t>
        </is>
      </c>
      <c r="D196" s="6">
        <f>IFERROR(INDEX(Lists!$B$2:$B$14,MATCH(C196,Lists!$A$2:$A$14,0)),"?")</f>
        <v/>
      </c>
      <c r="E196" s="6">
        <f>IF(COUNTIFS(Links!$B$2:$B$600,A196,Links!$E$2:$E$600,"Yes")&gt;0,"REVISE","")</f>
        <v/>
      </c>
      <c r="F196" s="6">
        <f>COUNTIFS(Links!$B$2:$B$600,A196,Links!$D$2:$D$600,"No",Links!$C$2:$C$600,"&lt;&gt;INFORMS")</f>
        <v/>
      </c>
      <c r="G196" s="9" t="inlineStr">
        <is>
          <t>USER-DECISION</t>
        </is>
      </c>
      <c r="H196" s="6" t="inlineStr">
        <is>
          <t>K16 Limits &amp; provenance</t>
        </is>
      </c>
      <c r="I196" s="6" t="inlineStr">
        <is>
          <t>G5 Housekeeping / no block</t>
        </is>
      </c>
      <c r="J196" s="6" t="inlineStr">
        <is>
          <t>Low</t>
        </is>
      </c>
      <c r="K196" s="6" t="n">
        <v>251</v>
      </c>
      <c r="L196" s="6" t="inlineStr">
        <is>
          <t>W5 Claim-time</t>
        </is>
      </c>
      <c r="M196" s="6" t="inlineStr">
        <is>
          <t>S25</t>
        </is>
      </c>
      <c r="N196" s="6" t="inlineStr">
        <is>
          <t>You</t>
        </is>
      </c>
      <c r="O196" s="6" t="inlineStr">
        <is>
          <t>You decide (Q-U03)</t>
        </is>
      </c>
      <c r="P196" s="6" t="inlineStr">
        <is>
          <t>No</t>
        </is>
      </c>
      <c r="Q196" s="6" t="inlineStr">
        <is>
          <t>Decision</t>
        </is>
      </c>
      <c r="R196" s="6" t="inlineStr">
        <is>
          <t>Item</t>
        </is>
      </c>
      <c r="S196" s="6" t="inlineStr"/>
      <c r="T196" s="6" t="inlineStr">
        <is>
          <t>First-session reconciliation not executed; safeguards untested; evidence ledger partly spot-checked; ASR provenance.</t>
        </is>
      </c>
      <c r="U196" s="6" t="inlineStr">
        <is>
          <t>Reconciliation still out of scope until a separate authorization.</t>
        </is>
      </c>
      <c r="V196" s="6" t="inlineStr">
        <is>
          <t>Reconciliation run only with Project A records and an AUTH; safeguards tested or accepted.</t>
        </is>
      </c>
      <c r="W196" s="6" t="inlineStr"/>
      <c r="X196" s="6" t="inlineStr">
        <is>
          <t>C-D11</t>
        </is>
      </c>
      <c r="Y196" s="6" t="inlineStr">
        <is>
          <t>Q-U03</t>
        </is>
      </c>
      <c r="Z196" s="6" t="inlineStr">
        <is>
          <t>RECORDS-AT-HAND</t>
        </is>
      </c>
      <c r="AA196" s="6" t="inlineStr">
        <is>
          <t>K0 Earlier results</t>
        </is>
      </c>
      <c r="AB196" s="6" t="inlineStr">
        <is>
          <t>ACCESS+RECORD+DEC</t>
        </is>
      </c>
      <c r="AC196" s="6" t="inlineStr">
        <is>
          <t>BOUNDARY - OPEN</t>
        </is>
      </c>
      <c r="AD196" s="6" t="inlineStr">
        <is>
          <t>UNCHANGED</t>
        </is>
      </c>
      <c r="AE196" s="6" t="inlineStr">
        <is>
          <t>2026-10-19</t>
        </is>
      </c>
      <c r="AF196" s="6" t="inlineStr">
        <is>
          <t>CLAUDE.md; CAVEATS row 14</t>
        </is>
      </c>
      <c r="AG196" s="6" t="inlineStr"/>
      <c r="AH196" s="6" t="inlineStr">
        <is>
          <t>Yes (reconciliation)</t>
        </is>
      </c>
      <c r="AI196" s="6" t="inlineStr"/>
      <c r="AJ196" s="6" t="inlineStr">
        <is>
          <t>SRC-11 canonical</t>
        </is>
      </c>
      <c r="AK196" s="6" t="inlineStr">
        <is>
          <t>SRC-06 P11-P14</t>
        </is>
      </c>
      <c r="AL196" s="6" t="inlineStr">
        <is>
          <t>S25</t>
        </is>
      </c>
    </row>
    <row r="197" ht="28" customHeight="1">
      <c r="A197" s="5" t="inlineStr">
        <is>
          <t>C-P03/P13</t>
        </is>
      </c>
      <c r="B197" s="6" t="inlineStr">
        <is>
          <t>Evidence ledger only partly spot-checked</t>
        </is>
      </c>
      <c r="C197" s="6" t="inlineStr">
        <is>
          <t>PARTLY ANSWERED</t>
        </is>
      </c>
      <c r="D197" s="6">
        <f>IFERROR(INDEX(Lists!$B$2:$B$14,MATCH(C197,Lists!$A$2:$A$14,0)),"?")</f>
        <v/>
      </c>
      <c r="E197" s="6">
        <f>IF(COUNTIFS(Links!$B$2:$B$600,A197,Links!$E$2:$E$600,"Yes")&gt;0,"REVISE","")</f>
        <v/>
      </c>
      <c r="F197" s="6">
        <f>COUNTIFS(Links!$B$2:$B$600,A197,Links!$D$2:$D$600,"No",Links!$C$2:$C$600,"&lt;&gt;INFORMS")</f>
        <v/>
      </c>
      <c r="G197" s="8" t="inlineStr">
        <is>
          <t>RECORDS-AT-HAND</t>
        </is>
      </c>
      <c r="H197" s="6" t="inlineStr">
        <is>
          <t>K16 Limits &amp; provenance</t>
        </is>
      </c>
      <c r="I197" s="6" t="inlineStr">
        <is>
          <t>G5 Housekeeping / no block</t>
        </is>
      </c>
      <c r="J197" s="6" t="inlineStr">
        <is>
          <t>Low</t>
        </is>
      </c>
      <c r="K197" s="6" t="n">
        <v>252</v>
      </c>
      <c r="L197" s="6" t="inlineStr">
        <is>
          <t>W5 Claim-time</t>
        </is>
      </c>
      <c r="M197" s="6" t="inlineStr">
        <is>
          <t>S25</t>
        </is>
      </c>
      <c r="N197" s="6" t="inlineStr">
        <is>
          <t>You</t>
        </is>
      </c>
      <c r="O197" s="6" t="inlineStr">
        <is>
          <t>Lead drafts the fix; you approve</t>
        </is>
      </c>
      <c r="P197" s="6" t="inlineStr">
        <is>
          <t>Partly</t>
        </is>
      </c>
      <c r="Q197" s="6" t="inlineStr">
        <is>
          <t>Record fix</t>
        </is>
      </c>
      <c r="R197" s="6" t="inlineStr">
        <is>
          <t>Sub-item</t>
        </is>
      </c>
      <c r="S197" s="6" t="inlineStr">
        <is>
          <t>C-P03</t>
        </is>
      </c>
      <c r="T197" s="6" t="inlineStr">
        <is>
          <t>SRC-06 P13: the evidence ledger was partly spot-checked.</t>
        </is>
      </c>
      <c r="U197" s="6" t="inlineStr">
        <is>
          <t>Hash integrity is checked mechanically; content was not verified.</t>
        </is>
      </c>
      <c r="V197" s="6" t="inlineStr">
        <is>
          <t>Repaired or disclosed.</t>
        </is>
      </c>
      <c r="W197" s="6" t="inlineStr"/>
      <c r="X197" s="6" t="inlineStr"/>
      <c r="Y197" s="6" t="inlineStr"/>
      <c r="Z197" s="6" t="inlineStr"/>
      <c r="AA197" s="6" t="inlineStr"/>
      <c r="AB197" s="6" t="inlineStr">
        <is>
          <t>RECORD+DEC</t>
        </is>
      </c>
      <c r="AC197" s="6" t="inlineStr">
        <is>
          <t>n/a (sub-item)</t>
        </is>
      </c>
      <c r="AD197" s="6" t="inlineStr">
        <is>
          <t>NEW (SRC-11 sub-row)</t>
        </is>
      </c>
      <c r="AE197" s="6" t="inlineStr">
        <is>
          <t>2026-10-19</t>
        </is>
      </c>
      <c r="AF197" s="6" t="inlineStr">
        <is>
          <t>verify_workspace.py (hash integrity, pass 875)</t>
        </is>
      </c>
      <c r="AG197" s="6" t="inlineStr"/>
      <c r="AH197" s="6" t="inlineStr">
        <is>
          <t>Yes (reconciliation)</t>
        </is>
      </c>
      <c r="AI197" s="6" t="inlineStr"/>
      <c r="AJ197" s="6" t="inlineStr">
        <is>
          <t>SRC-11 section D5</t>
        </is>
      </c>
      <c r="AK197" s="6" t="inlineStr">
        <is>
          <t>SRC-06 P13</t>
        </is>
      </c>
      <c r="AL197" s="6" t="inlineStr">
        <is>
          <t>S25</t>
        </is>
      </c>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9"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8"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8"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9"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197"/>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6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C-D13/BASHWRITE</t>
        </is>
      </c>
      <c r="B2" s="6" t="inlineStr">
        <is>
          <t>Bash writes bypass ownership and immutability; a Bash-capable subagent can write anywhere in the workspace</t>
        </is>
      </c>
      <c r="C2" s="6" t="inlineStr">
        <is>
          <t>ACCEPTED LIMITATION</t>
        </is>
      </c>
      <c r="D2" s="6" t="inlineStr">
        <is>
          <t>No</t>
        </is>
      </c>
      <c r="E2" s="6" t="inlineStr"/>
      <c r="F2" s="6" t="inlineStr"/>
      <c r="G2" s="9" t="inlineStr">
        <is>
          <t>USER-DECISION</t>
        </is>
      </c>
      <c r="H2" s="6" t="inlineStr">
        <is>
          <t>K16 Limits &amp; provenance</t>
        </is>
      </c>
      <c r="I2" s="6" t="inlineStr">
        <is>
          <t>G1 Before any implementation</t>
        </is>
      </c>
      <c r="J2" s="6" t="inlineStr">
        <is>
          <t>High</t>
        </is>
      </c>
      <c r="K2" s="6" t="n">
        <v>9</v>
      </c>
      <c r="L2" s="6" t="inlineStr">
        <is>
          <t>W0 Orient (no AUTH)</t>
        </is>
      </c>
      <c r="M2" s="6" t="inlineStr">
        <is>
          <t>S03</t>
        </is>
      </c>
      <c r="N2" s="6" t="inlineStr">
        <is>
          <t>You</t>
        </is>
      </c>
      <c r="O2" s="6" t="inlineStr">
        <is>
          <t>Closed; moved to Archive</t>
        </is>
      </c>
      <c r="P2" s="6" t="inlineStr">
        <is>
          <t>Answered (see basis)</t>
        </is>
      </c>
      <c r="Q2" s="6" t="inlineStr">
        <is>
          <t>Safeguard limit</t>
        </is>
      </c>
      <c r="R2" s="6" t="inlineStr">
        <is>
          <t>Sub-item</t>
        </is>
      </c>
      <c r="S2" s="6" t="inlineStr">
        <is>
          <t>C-D13</t>
        </is>
      </c>
      <c r="T2" s="6" t="inlineStr">
        <is>
          <t>By construction; detected afterwards by git diff and the config pin.</t>
        </is>
      </c>
      <c r="U2" s="6" t="inlineStr">
        <is>
          <t>Documented limit.</t>
        </is>
      </c>
      <c r="V2" s="6" t="inlineStr">
        <is>
          <t>Accepted 2026-10-20 (the human); a limitation is closed by being stated, not by a test.</t>
        </is>
      </c>
      <c r="W2" s="6" t="inlineStr"/>
      <c r="X2" s="6" t="inlineStr"/>
      <c r="Y2" s="6" t="inlineStr">
        <is>
          <t>Q-U11</t>
        </is>
      </c>
      <c r="Z2" s="6" t="inlineStr">
        <is>
          <t>ACCEPT-LIMITATION</t>
        </is>
      </c>
      <c r="AA2" s="6" t="inlineStr"/>
      <c r="AB2" s="6" t="inlineStr">
        <is>
          <t>RECORD+DEC</t>
        </is>
      </c>
      <c r="AC2" s="6" t="inlineStr">
        <is>
          <t>n/a (sub-item)</t>
        </is>
      </c>
      <c r="AD2" s="6" t="inlineStr">
        <is>
          <t>NEW (repo sweep)</t>
        </is>
      </c>
      <c r="AE2" s="6" t="inlineStr">
        <is>
          <t>2026-10-20</t>
        </is>
      </c>
      <c r="AF2" s="6" t="inlineStr">
        <is>
          <t>Questions Q-U11 (answer cell, verbatim); chat message of 2026-10-20</t>
        </is>
      </c>
      <c r="AG2" s="6" t="inlineStr"/>
      <c r="AH2" s="6" t="inlineStr">
        <is>
          <t>No</t>
        </is>
      </c>
      <c r="AI2" s="6" t="inlineStr">
        <is>
          <t>Accepted by the human on 2026-10-20, in the human's words: "I accept all 8 in A,"</t>
        </is>
      </c>
      <c r="AJ2" s="6" t="inlineStr">
        <is>
          <t>repo: ops/SAFEGUARDS.md 'Known bypasses'</t>
        </is>
      </c>
      <c r="AK2" s="6" t="inlineStr"/>
      <c r="AL2" s="6" t="inlineStr">
        <is>
          <t>S03</t>
        </is>
      </c>
    </row>
    <row r="3" ht="53" customHeight="1">
      <c r="A3" s="5" t="inlineStr">
        <is>
          <t>C-D13/HOOKOFF</t>
        </is>
      </c>
      <c r="B3" s="6" t="inlineStr">
        <is>
          <t>The hook layer can be switched off by configuration (C7); deny rules still hold</t>
        </is>
      </c>
      <c r="C3" s="6" t="inlineStr">
        <is>
          <t>ACCEPTED LIMITATION</t>
        </is>
      </c>
      <c r="D3" s="6" t="inlineStr">
        <is>
          <t>No</t>
        </is>
      </c>
      <c r="E3" s="6" t="inlineStr"/>
      <c r="F3" s="6" t="inlineStr"/>
      <c r="G3" s="9" t="inlineStr">
        <is>
          <t>USER-DECISION</t>
        </is>
      </c>
      <c r="H3" s="6" t="inlineStr">
        <is>
          <t>K16 Limits &amp; provenance</t>
        </is>
      </c>
      <c r="I3" s="6" t="inlineStr">
        <is>
          <t>G1 Before any implementation</t>
        </is>
      </c>
      <c r="J3" s="6" t="inlineStr">
        <is>
          <t>High</t>
        </is>
      </c>
      <c r="K3" s="6" t="n">
        <v>10</v>
      </c>
      <c r="L3" s="6" t="inlineStr">
        <is>
          <t>W0 Orient (no AUTH)</t>
        </is>
      </c>
      <c r="M3" s="6" t="inlineStr">
        <is>
          <t>S03</t>
        </is>
      </c>
      <c r="N3" s="6" t="inlineStr">
        <is>
          <t>You</t>
        </is>
      </c>
      <c r="O3" s="6" t="inlineStr">
        <is>
          <t>Closed; moved to Archive</t>
        </is>
      </c>
      <c r="P3" s="6" t="inlineStr">
        <is>
          <t>Answered (see basis)</t>
        </is>
      </c>
      <c r="Q3" s="6" t="inlineStr">
        <is>
          <t>Safeguard limit</t>
        </is>
      </c>
      <c r="R3" s="6" t="inlineStr">
        <is>
          <t>Sub-item</t>
        </is>
      </c>
      <c r="S3" s="6" t="inlineStr">
        <is>
          <t>C-D13</t>
        </is>
      </c>
      <c r="T3" s="6" t="inlineStr">
        <is>
          <t>A project-local settings.local.json with disableAllHooks defeated the path guard, ownership, immutability, SendMessage rules and the message cap; the deny rules and model pin still held (C8).</t>
        </is>
      </c>
      <c r="U3" s="6" t="inlineStr">
        <is>
          <t>Documented limit.</t>
        </is>
      </c>
      <c r="V3" s="6" t="inlineStr">
        <is>
          <t>Accepted 2026-10-20 (the human); a limitation is closed by being stated, not by a test.</t>
        </is>
      </c>
      <c r="W3" s="6" t="inlineStr"/>
      <c r="X3" s="6" t="inlineStr"/>
      <c r="Y3" s="6" t="inlineStr">
        <is>
          <t>Q-U11</t>
        </is>
      </c>
      <c r="Z3" s="6" t="inlineStr">
        <is>
          <t>ACCEPT-LIMITATION</t>
        </is>
      </c>
      <c r="AA3" s="6" t="inlineStr"/>
      <c r="AB3" s="6" t="inlineStr">
        <is>
          <t>RECORD+DEC</t>
        </is>
      </c>
      <c r="AC3" s="6" t="inlineStr">
        <is>
          <t>n/a (sub-item)</t>
        </is>
      </c>
      <c r="AD3" s="6" t="inlineStr">
        <is>
          <t>NEW (repo sweep)</t>
        </is>
      </c>
      <c r="AE3" s="6" t="inlineStr">
        <is>
          <t>2026-10-20</t>
        </is>
      </c>
      <c r="AF3" s="6" t="inlineStr">
        <is>
          <t>Questions Q-U11 (answer cell, verbatim); chat message of 2026-10-20</t>
        </is>
      </c>
      <c r="AG3" s="6" t="inlineStr"/>
      <c r="AH3" s="6" t="inlineStr">
        <is>
          <t>No</t>
        </is>
      </c>
      <c r="AI3" s="6" t="inlineStr">
        <is>
          <t>Accepted by the human on 2026-10-20, in the human's words: "I accept all 8 in A,"</t>
        </is>
      </c>
      <c r="AJ3" s="6" t="inlineStr">
        <is>
          <t>repo: ops/SAFEGUARDS.md 'Known bypasses'</t>
        </is>
      </c>
      <c r="AK3" s="6" t="inlineStr"/>
      <c r="AL3" s="6" t="inlineStr">
        <is>
          <t>S03</t>
        </is>
      </c>
    </row>
    <row r="4" ht="40.5" customHeight="1">
      <c r="A4" s="5" t="inlineStr">
        <is>
          <t>C-D13/INTERACTIVE</t>
        </is>
      </c>
      <c r="B4" s="6" t="inlineStr">
        <is>
          <t>Interactive / VS Code trust-dialog behaviour only partly observed</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11</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All early live tests ran in -p mode in an untrusted folder; VS Code behaviour was observed in one session (WD-015); behaviour after the trust dialog is unverified.</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40.5" customHeight="1">
      <c r="A5" s="5" t="inlineStr">
        <is>
          <t>C-D13/INTERP</t>
        </is>
      </c>
      <c r="B5" s="6" t="inlineStr">
        <is>
          <t>Interpreter-built paths can read the origin</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12</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python -c that builds the origin path from fragments read a harmless origin file (A1); the boundary holds against honest or careless sessions, not adversarial ones.</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C-D13/LEADREG</t>
        </is>
      </c>
      <c r="B6" s="6" t="inlineStr">
        <is>
          <t>The lead can edit the register and pinned files; only git and review catch lead errors</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13</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Protection is the verbatim-quote rule, git history and commit approval; WD-023 records a pinned safeguard edited before human review.</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C-D13/PEERS</t>
        </is>
      </c>
      <c r="B7" s="6" t="inlineStr">
        <is>
          <t>Peer sessions and foreign agent ids: cross-session messaging untested</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14</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Another session can message this one (not an authorization); whether a foreign agent id would resolve is untested (RV-0001 D7).</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C-D13/TEAMS</t>
        </is>
      </c>
      <c r="B8" s="6" t="inlineStr">
        <is>
          <t>Native agent teams unverified interactively</t>
        </is>
      </c>
      <c r="C8" s="6" t="inlineStr">
        <is>
          <t>ACCEPTED LIMITATION</t>
        </is>
      </c>
      <c r="D8" s="6" t="inlineStr">
        <is>
          <t>No</t>
        </is>
      </c>
      <c r="E8" s="6" t="inlineStr"/>
      <c r="F8" s="6" t="inlineStr"/>
      <c r="G8" s="9" t="inlineStr">
        <is>
          <t>USER-DECISION</t>
        </is>
      </c>
      <c r="H8" s="6" t="inlineStr">
        <is>
          <t>K16 Limits &amp; provenance</t>
        </is>
      </c>
      <c r="I8" s="6" t="inlineStr">
        <is>
          <t>G5 Housekeeping / no block</t>
        </is>
      </c>
      <c r="J8" s="6" t="inlineStr">
        <is>
          <t>Low</t>
        </is>
      </c>
      <c r="K8" s="6" t="n">
        <v>15</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Not enabled; the Agent tool gained a name parameter under the flag; the reply leg was not confirmed (C5b).</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C-D13/UNTESTED</t>
        </is>
      </c>
      <c r="B9" s="6" t="inlineStr">
        <is>
          <t>Not tested: prompt injection via evidence text, two threads at once, bypassPermissions with hooks disabled, 8.3 short names, guard cwd field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16</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SAFEGUARDS lists these as untested.</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278" customHeight="1">
      <c r="A10" s="5" t="inlineStr">
        <is>
          <t>N-5</t>
        </is>
      </c>
      <c r="B10" s="6" t="inlineStr">
        <is>
          <t>What does 'time-based cache charge' mean per provider?</t>
        </is>
      </c>
      <c r="C10" s="6" t="inlineStr">
        <is>
          <t>CLOSED - BY EVIDENCE</t>
        </is>
      </c>
      <c r="D10" s="6" t="inlineStr">
        <is>
          <t>No</t>
        </is>
      </c>
      <c r="E10" s="6" t="inlineStr"/>
      <c r="F10" s="6" t="inlineStr"/>
      <c r="G10" s="8" t="inlineStr">
        <is>
          <t>RECORDS-AT-HAND</t>
        </is>
      </c>
      <c r="H10" s="6" t="inlineStr">
        <is>
          <t>K15 Expiring provider facts</t>
        </is>
      </c>
      <c r="I10" s="6" t="inlineStr">
        <is>
          <t>G2 Before the affected pilot/arm</t>
        </is>
      </c>
      <c r="J10" s="6" t="inlineStr">
        <is>
          <t>High</t>
        </is>
      </c>
      <c r="K10" s="6" t="n">
        <v>72</v>
      </c>
      <c r="L10" s="6" t="inlineStr">
        <is>
          <t>W2 Desk work (no model runs)</t>
        </is>
      </c>
      <c r="M10" s="6" t="inlineStr">
        <is>
          <t>S10</t>
        </is>
      </c>
      <c r="N10" s="6" t="inlineStr">
        <is>
          <t>Lead</t>
        </is>
      </c>
      <c r="O10" s="6" t="inlineStr">
        <is>
          <t>Closed; moved to Archive</t>
        </is>
      </c>
      <c r="P10" s="6" t="inlineStr">
        <is>
          <t>Answered (see basis)</t>
        </is>
      </c>
      <c r="Q10" s="6" t="inlineStr">
        <is>
          <t>Record fix</t>
        </is>
      </c>
      <c r="R10" s="6" t="inlineStr">
        <is>
          <t>Item</t>
        </is>
      </c>
      <c r="S10" s="6" t="inlineStr"/>
      <c r="T10"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10"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10" s="6" t="inlineStr">
        <is>
          <t>Table checked against a live recheck (C-E05) and the unread caching pages; then closed as a dated fact.</t>
        </is>
      </c>
      <c r="W10" s="6" t="inlineStr"/>
      <c r="X10" s="6" t="inlineStr">
        <is>
          <t>C-D02</t>
        </is>
      </c>
      <c r="Y10" s="6" t="inlineStr">
        <is>
          <t>Q-J24, Q-J26, Q-U08, Q-U21</t>
        </is>
      </c>
      <c r="Z10" s="6" t="inlineStr">
        <is>
          <t>TIME-RECHECK</t>
        </is>
      </c>
      <c r="AA10" s="6" t="inlineStr">
        <is>
          <t>K2 Objective &amp; accounting</t>
        </is>
      </c>
      <c r="AB10" s="6" t="inlineStr"/>
      <c r="AC10" s="6" t="inlineStr">
        <is>
          <t>n/a (new)</t>
        </is>
      </c>
      <c r="AD10" s="6" t="inlineStr">
        <is>
          <t>NEW</t>
        </is>
      </c>
      <c r="AE10" s="6" t="inlineStr">
        <is>
          <t>2026-10-19</t>
        </is>
      </c>
      <c r="AF10" s="6" t="inlineStr">
        <is>
          <t>FND-0008 (findings/SUM-0010); FND-0012 (findings/SUM-0014); EXT-0085, EXT-0086, EXT-0089, EXT-0137, EXT-0142, EXT-0152, EXT-0158; Supervisor statements S-J-001</t>
        </is>
      </c>
      <c r="AG10" s="6" t="inlineStr"/>
      <c r="AH10" s="6" t="inlineStr">
        <is>
          <t>No</t>
        </is>
      </c>
      <c r="AI10" s="6" t="inlineStr">
        <is>
          <t>Closed 2026-10-19 as a dated fact (2026-10-11 pages). Prices and models change: the live recheck stays open as C-E05.</t>
        </is>
      </c>
      <c r="AJ10" s="6" t="inlineStr">
        <is>
          <t>Review 19 Oct (section 5)</t>
        </is>
      </c>
      <c r="AK10" s="6" t="inlineStr">
        <is>
          <t>Joaa 19 Oct 12:15 (1/10 for an hour)</t>
        </is>
      </c>
      <c r="AL10" s="6" t="inlineStr">
        <is>
          <t>S10</t>
        </is>
      </c>
    </row>
    <row r="11" ht="178" customHeight="1">
      <c r="A11" s="5" t="inlineStr">
        <is>
          <t>N-5/UNREAD</t>
        </is>
      </c>
      <c r="B11" s="6" t="inlineStr">
        <is>
          <t>MCP caching spec (2026-07-28), Bedrock caching page, Gemini caching page: stored but unread</t>
        </is>
      </c>
      <c r="C11" s="6" t="inlineStr">
        <is>
          <t>CLOSED - BY EVIDENCE</t>
        </is>
      </c>
      <c r="D11" s="6" t="inlineStr">
        <is>
          <t>No</t>
        </is>
      </c>
      <c r="E11" s="6" t="inlineStr"/>
      <c r="F11" s="6" t="inlineStr"/>
      <c r="G11" s="14" t="inlineStr">
        <is>
          <t>SOURCE-REREAD</t>
        </is>
      </c>
      <c r="H11" s="6" t="inlineStr">
        <is>
          <t>K15 Expiring provider facts</t>
        </is>
      </c>
      <c r="I11" s="6" t="inlineStr">
        <is>
          <t>G2 Before the affected pilot/arm</t>
        </is>
      </c>
      <c r="J11" s="6" t="inlineStr">
        <is>
          <t>High</t>
        </is>
      </c>
      <c r="K11" s="6" t="n">
        <v>73</v>
      </c>
      <c r="L11" s="6" t="inlineStr">
        <is>
          <t>W2 Desk work (no model runs)</t>
        </is>
      </c>
      <c r="M11" s="6" t="inlineStr">
        <is>
          <t>S10</t>
        </is>
      </c>
      <c r="N11" s="6" t="inlineStr">
        <is>
          <t>Lead</t>
        </is>
      </c>
      <c r="O11" s="6" t="inlineStr">
        <is>
          <t>Closed; moved to Archive</t>
        </is>
      </c>
      <c r="P11" s="6" t="inlineStr">
        <is>
          <t>Yes - stored text, unread</t>
        </is>
      </c>
      <c r="Q11" s="6" t="inlineStr">
        <is>
          <t>Source check</t>
        </is>
      </c>
      <c r="R11" s="6" t="inlineStr">
        <is>
          <t>Sub-item</t>
        </is>
      </c>
      <c r="S11" s="6" t="inlineStr">
        <is>
          <t>N-5</t>
        </is>
      </c>
      <c r="T11" s="6" t="inlineStr">
        <is>
          <t>v4-04 section 7 lists the MCP caching specification of 2026-07-28 and the Bedrock page as unread; sources.json stores r4-mcp-caching-2026-07-28 (177 lines), r4-bedrock-prompt-caching (37 KB) and r4-gemini-caching (6 KB).</t>
        </is>
      </c>
      <c r="U11"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11" s="6" t="inlineStr">
        <is>
          <t>Passages on caching read and added to the dated provider table.</t>
        </is>
      </c>
      <c r="W11" s="6" t="inlineStr"/>
      <c r="X11" s="6" t="inlineStr"/>
      <c r="Y11" s="6" t="inlineStr"/>
      <c r="Z11" s="6" t="inlineStr"/>
      <c r="AA11" s="6" t="inlineStr"/>
      <c r="AB11" s="6" t="inlineStr">
        <is>
          <t>SOURCE</t>
        </is>
      </c>
      <c r="AC11" s="6" t="inlineStr">
        <is>
          <t>n/a (sub-item)</t>
        </is>
      </c>
      <c r="AD11" s="6" t="inlineStr">
        <is>
          <t>NEW (repo sweep)</t>
        </is>
      </c>
      <c r="AE11" s="6" t="inlineStr">
        <is>
          <t>2026-10-19</t>
        </is>
      </c>
      <c r="AF11" s="6" t="inlineStr">
        <is>
          <t>FND-0008 (findings/SUM-0010); EXT-0137, EXT-0141, EXT-0143</t>
        </is>
      </c>
      <c r="AG11" s="6" t="inlineStr"/>
      <c r="AH11" s="6" t="inlineStr">
        <is>
          <t>No</t>
        </is>
      </c>
      <c r="AI11" s="6" t="inlineStr">
        <is>
          <t>Closed 2026-10-19: the caching passages were read and entered in the dated provider table (N-5, C-S03 rows).</t>
        </is>
      </c>
      <c r="AJ11" s="6" t="inlineStr">
        <is>
          <t>repo: v4-04 section 7; sources.json</t>
        </is>
      </c>
      <c r="AK11" s="6" t="inlineStr"/>
      <c r="AL11" s="6" t="inlineStr">
        <is>
          <t>S10</t>
        </is>
      </c>
    </row>
    <row r="12" ht="300" customHeight="1">
      <c r="A12" s="5" t="inlineStr">
        <is>
          <t>C-E01/E01</t>
        </is>
      </c>
      <c r="B12" s="6" t="inlineStr">
        <is>
          <t>fcrobust BFCL range disputed; table not rendered</t>
        </is>
      </c>
      <c r="C12" s="6" t="inlineStr">
        <is>
          <t>CLOSED - BY EVIDENCE</t>
        </is>
      </c>
      <c r="D12" s="6" t="inlineStr">
        <is>
          <t>No</t>
        </is>
      </c>
      <c r="E12" s="6" t="inlineStr"/>
      <c r="F12" s="6" t="inlineStr"/>
      <c r="G12" s="14" t="inlineStr">
        <is>
          <t>SOURCE-REREAD</t>
        </is>
      </c>
      <c r="H12" s="6" t="inlineStr">
        <is>
          <t>K14 Source &amp; vendor verification</t>
        </is>
      </c>
      <c r="I12" s="6" t="inlineStr">
        <is>
          <t>G4 Before claims</t>
        </is>
      </c>
      <c r="J12" s="6" t="inlineStr">
        <is>
          <t>Normal</t>
        </is>
      </c>
      <c r="K12" s="6" t="n">
        <v>77</v>
      </c>
      <c r="L12" s="6" t="inlineStr">
        <is>
          <t>W2 Desk work (no model runs)</t>
        </is>
      </c>
      <c r="M12" s="6" t="inlineStr">
        <is>
          <t>S11</t>
        </is>
      </c>
      <c r="N12" s="6" t="inlineStr">
        <is>
          <t>Lead + steward</t>
        </is>
      </c>
      <c r="O12" s="6" t="inlineStr">
        <is>
          <t>Closed; moved to Archive</t>
        </is>
      </c>
      <c r="P12" s="6" t="inlineStr">
        <is>
          <t>Yes - stored text, unread</t>
        </is>
      </c>
      <c r="Q12" s="6" t="inlineStr">
        <is>
          <t>Source check</t>
        </is>
      </c>
      <c r="R12" s="6" t="inlineStr">
        <is>
          <t>Sub-item</t>
        </is>
      </c>
      <c r="S12" s="6" t="inlineStr">
        <is>
          <t>C-E01</t>
        </is>
      </c>
      <c r="T12" s="6" t="inlineStr">
        <is>
          <t>SRC-06 E01: the fcrobust (arXiv 2504.00914) BFCL range is disputed and the original table was not rendered.</t>
        </is>
      </c>
      <c r="U12"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12" s="6" t="inlineStr">
        <is>
          <t>Table located in the stored text and the range/condition corrected.</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evidence/literature-20261019/pages/INDEX.md; rendered page 5; independent reading by steward 3a (thread T-20261019-101, final answer; matches the lead's reading)</t>
        </is>
      </c>
      <c r="AG12" s="6" t="inlineStr"/>
      <c r="AH12" s="6" t="inlineStr">
        <is>
          <t>No (AUTH-016 covers web fetches for this item)</t>
        </is>
      </c>
      <c r="AI12" s="6" t="inlineStr">
        <is>
          <t>Closed 2026-10-19: numbers and model-to-row mapping confirmed on the rendered page by two readers. One row is internally inconsistent (C-E01/E01-ROW6).</t>
        </is>
      </c>
      <c r="AJ12" s="6" t="inlineStr">
        <is>
          <t>SRC-11 section D1</t>
        </is>
      </c>
      <c r="AK12" s="6" t="inlineStr">
        <is>
          <t>SRC-06 E01</t>
        </is>
      </c>
      <c r="AL12" s="6" t="inlineStr">
        <is>
          <t>S11</t>
        </is>
      </c>
    </row>
    <row r="13" ht="165.5" customHeight="1">
      <c r="A13" s="5" t="inlineStr">
        <is>
          <t>C-E01/E01-ROW6</t>
        </is>
      </c>
      <c r="B13" s="6" t="inlineStr">
        <is>
          <t>fcrobust Table 2 row 6 prints -11% / -2% but its own values recompute to -17.3% / -5.9%</t>
        </is>
      </c>
      <c r="C13" s="6" t="inlineStr">
        <is>
          <t>CLOSED - BY EVIDENCE</t>
        </is>
      </c>
      <c r="D13" s="6" t="inlineStr">
        <is>
          <t>No</t>
        </is>
      </c>
      <c r="E13" s="6" t="inlineStr"/>
      <c r="F13" s="6" t="inlineStr"/>
      <c r="G13" s="14" t="inlineStr">
        <is>
          <t>SOURCE-REREAD</t>
        </is>
      </c>
      <c r="H13" s="6" t="inlineStr">
        <is>
          <t>K14 Source &amp; vendor verification</t>
        </is>
      </c>
      <c r="I13" s="6" t="inlineStr">
        <is>
          <t>G4 Before claims</t>
        </is>
      </c>
      <c r="J13" s="6" t="inlineStr">
        <is>
          <t>Normal</t>
        </is>
      </c>
      <c r="K13" s="6" t="n">
        <v>78</v>
      </c>
      <c r="L13" s="6" t="inlineStr">
        <is>
          <t>W2 Desk work (no model runs)</t>
        </is>
      </c>
      <c r="M13" s="6" t="inlineStr">
        <is>
          <t>S11</t>
        </is>
      </c>
      <c r="N13" s="6" t="inlineStr">
        <is>
          <t>Lead + steward (authors if the PDF does not resolve it)</t>
        </is>
      </c>
      <c r="O13" s="6" t="inlineStr">
        <is>
          <t>Closed; moved to Archive</t>
        </is>
      </c>
      <c r="P13" s="6" t="inlineStr">
        <is>
          <t>Partly</t>
        </is>
      </c>
      <c r="Q13" s="6" t="inlineStr">
        <is>
          <t>Source check</t>
        </is>
      </c>
      <c r="R13" s="6" t="inlineStr">
        <is>
          <t>Sub-item</t>
        </is>
      </c>
      <c r="S13" s="6" t="inlineStr">
        <is>
          <t>C-E01/E01</t>
        </is>
      </c>
      <c r="T13"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13"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13" s="6" t="inlineStr">
        <is>
          <t>PDF page rendered or authors answer; the printed percentage or values corrected in any quote.</t>
        </is>
      </c>
      <c r="W13" s="6" t="inlineStr"/>
      <c r="X13" s="6" t="inlineStr"/>
      <c r="Y13" s="6" t="inlineStr"/>
      <c r="Z13" s="6" t="inlineStr">
        <is>
          <t>AUTHOR-OR-VENDOR</t>
        </is>
      </c>
      <c r="AA13" s="6" t="inlineStr"/>
      <c r="AB13" s="6" t="inlineStr">
        <is>
          <t>SOURCE+AUTHOR</t>
        </is>
      </c>
      <c r="AC13" s="6" t="inlineStr">
        <is>
          <t>n/a (sub-item)</t>
        </is>
      </c>
      <c r="AD13" s="6" t="inlineStr">
        <is>
          <t>NEW (repo sweep)</t>
        </is>
      </c>
      <c r="AE13" s="6" t="inlineStr">
        <is>
          <t>2026-10-19</t>
        </is>
      </c>
      <c r="AF13" s="6" t="inlineStr">
        <is>
          <t>FND-0009 (findings/SUM-0011); evidence/literature-20261019/pages/INDEX.md; rendered page 5; independent reading by steward 3a (thread T-20261019-101, final answer; matches the lead's reading)</t>
        </is>
      </c>
      <c r="AG13" s="6" t="inlineStr"/>
      <c r="AH13" s="6" t="inlineStr">
        <is>
          <t>No (AUTH-016 covers web fetches for this item)</t>
        </is>
      </c>
      <c r="AI13" s="6" t="inlineStr">
        <is>
          <t>Closed 2026-10-19: inconsistency confirmed as the paper's own; the authors can be asked later if the Haiku row is ever quoted (not needed now).</t>
        </is>
      </c>
      <c r="AJ13" s="6" t="inlineStr">
        <is>
          <t>Batch 1b steward finding (FND-0009), verified by the lead</t>
        </is>
      </c>
      <c r="AK13" s="6" t="inlineStr"/>
      <c r="AL13" s="6" t="inlineStr">
        <is>
          <t>S11</t>
        </is>
      </c>
    </row>
    <row r="14" ht="300" customHeight="1">
      <c r="A14" s="5" t="inlineStr">
        <is>
          <t>C-E01/E03</t>
        </is>
      </c>
      <c r="B14" s="6" t="inlineStr">
        <is>
          <t>DynamicMCPBench ~292K flat-catalogue figure unverified</t>
        </is>
      </c>
      <c r="C14" s="6" t="inlineStr">
        <is>
          <t>CLOSED - BY EVIDENCE</t>
        </is>
      </c>
      <c r="D14" s="6" t="inlineStr">
        <is>
          <t>No</t>
        </is>
      </c>
      <c r="E14" s="6" t="inlineStr"/>
      <c r="F14" s="6" t="inlineStr"/>
      <c r="G14" s="14" t="inlineStr">
        <is>
          <t>SOURCE-REREAD</t>
        </is>
      </c>
      <c r="H14" s="6" t="inlineStr">
        <is>
          <t>K14 Source &amp; vendor verification</t>
        </is>
      </c>
      <c r="I14" s="6" t="inlineStr">
        <is>
          <t>G4 Before claims</t>
        </is>
      </c>
      <c r="J14" s="6" t="inlineStr">
        <is>
          <t>Normal</t>
        </is>
      </c>
      <c r="K14" s="6" t="n">
        <v>80</v>
      </c>
      <c r="L14" s="6" t="inlineStr">
        <is>
          <t>W2 Desk work (no model runs)</t>
        </is>
      </c>
      <c r="M14" s="6" t="inlineStr">
        <is>
          <t>S11</t>
        </is>
      </c>
      <c r="N14" s="6" t="inlineStr">
        <is>
          <t>Lead + steward</t>
        </is>
      </c>
      <c r="O14" s="6" t="inlineStr">
        <is>
          <t>Closed; moved to Archive</t>
        </is>
      </c>
      <c r="P14" s="6" t="inlineStr">
        <is>
          <t>Yes - stored text, unread</t>
        </is>
      </c>
      <c r="Q14" s="6" t="inlineStr">
        <is>
          <t>Source check</t>
        </is>
      </c>
      <c r="R14" s="6" t="inlineStr">
        <is>
          <t>Sub-item</t>
        </is>
      </c>
      <c r="S14" s="6" t="inlineStr">
        <is>
          <t>C-E01</t>
        </is>
      </c>
      <c r="T14" s="6" t="inlineStr">
        <is>
          <t>SRC-06 E03: the ~292K-token flat-catalogue figure is not verified (counted surface, tokenizer).</t>
        </is>
      </c>
      <c r="U14"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14" s="6" t="inlineStr">
        <is>
          <t>Closed 2026-10-19: counted surface and tokenizer inspected in the stored code and documents (none found), and the figure is labelled second-hand in the live documents.</t>
        </is>
      </c>
      <c r="W14" s="6" t="inlineStr"/>
      <c r="X14" s="6" t="inlineStr"/>
      <c r="Y14" s="6" t="inlineStr"/>
      <c r="Z14" s="6" t="inlineStr"/>
      <c r="AA14" s="6" t="inlineStr"/>
      <c r="AB14" s="6" t="inlineStr">
        <is>
          <t>SOURCE</t>
        </is>
      </c>
      <c r="AC14" s="6" t="inlineStr">
        <is>
          <t>n/a (sub-item)</t>
        </is>
      </c>
      <c r="AD14" s="6" t="inlineStr">
        <is>
          <t>NARROWED</t>
        </is>
      </c>
      <c r="AE14" s="6" t="inlineStr">
        <is>
          <t>2026-10-19</t>
        </is>
      </c>
      <c r="AF14" s="6" t="inlineStr">
        <is>
          <t>FND-0027 (findings/SUM-0029); EXT-0209, EXT-0210, EXT-0212, EXT-0213, EXT-0214; FND-0020 (findings/SUM-0022)</t>
        </is>
      </c>
      <c r="AG14" s="6" t="inlineStr"/>
      <c r="AH14" s="6" t="inlineStr">
        <is>
          <t>No (AUTH-016 covers web fetches for this item)</t>
        </is>
      </c>
      <c r="AI14" s="6" t="inlineStr">
        <is>
          <t>Closed 2026-10-19 under the criterion's second branch: the figure is kept labelled second-hand (checked at v4 01 line 8 and 02 line 124); the stored code and documents give no counting procedure for it.</t>
        </is>
      </c>
      <c r="AJ14" s="6" t="inlineStr">
        <is>
          <t>SRC-11 section D1</t>
        </is>
      </c>
      <c r="AK14" s="6" t="inlineStr">
        <is>
          <t>SRC-06 E03, v4-03 section 2 item 1, EXT-0084</t>
        </is>
      </c>
      <c r="AL14" s="6" t="inlineStr">
        <is>
          <t>S11</t>
        </is>
      </c>
    </row>
    <row r="15" ht="190.5" customHeight="1">
      <c r="A15" s="5" t="inlineStr">
        <is>
          <t>C-E01/E04</t>
        </is>
      </c>
      <c r="B15" s="6" t="inlineStr">
        <is>
          <t>Anthropic '85%' baseline and component arithmetic ambiguous</t>
        </is>
      </c>
      <c r="C15" s="6" t="inlineStr">
        <is>
          <t>CLOSED - BY EVIDENCE</t>
        </is>
      </c>
      <c r="D15" s="6" t="inlineStr">
        <is>
          <t>No</t>
        </is>
      </c>
      <c r="E15" s="6" t="inlineStr"/>
      <c r="F15" s="6" t="inlineStr"/>
      <c r="G15" s="16" t="inlineStr">
        <is>
          <t>AUTHOR-OR-VENDOR</t>
        </is>
      </c>
      <c r="H15" s="6" t="inlineStr">
        <is>
          <t>K14 Source &amp; vendor verification</t>
        </is>
      </c>
      <c r="I15" s="6" t="inlineStr">
        <is>
          <t>G4 Before claims</t>
        </is>
      </c>
      <c r="J15" s="6" t="inlineStr">
        <is>
          <t>Normal</t>
        </is>
      </c>
      <c r="K15" s="6" t="n">
        <v>81</v>
      </c>
      <c r="L15" s="6" t="inlineStr">
        <is>
          <t>W2 Desk work (no model runs)</t>
        </is>
      </c>
      <c r="M15" s="6" t="inlineStr">
        <is>
          <t>S11</t>
        </is>
      </c>
      <c r="N15" s="6" t="inlineStr">
        <is>
          <t>Vendor / lead</t>
        </is>
      </c>
      <c r="O15" s="6" t="inlineStr">
        <is>
          <t>Closed; moved to Archive</t>
        </is>
      </c>
      <c r="P15" s="6" t="inlineStr">
        <is>
          <t>Yes - stored text, unread</t>
        </is>
      </c>
      <c r="Q15" s="6" t="inlineStr">
        <is>
          <t>Source check</t>
        </is>
      </c>
      <c r="R15" s="6" t="inlineStr">
        <is>
          <t>Sub-item</t>
        </is>
      </c>
      <c r="S15" s="6" t="inlineStr">
        <is>
          <t>C-E01</t>
        </is>
      </c>
      <c r="T15" s="6" t="inlineStr">
        <is>
          <t>SRC-06 E04: the denominator and component arithmetic behind the Anthropic '85%' reduction are ambiguous.</t>
        </is>
      </c>
      <c r="U15"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15" s="6" t="inlineStr">
        <is>
          <t>Denominator identified in the page, else quoted as an ambiguous vendor claim.</t>
        </is>
      </c>
      <c r="W15" s="6" t="inlineStr"/>
      <c r="X15" s="6" t="inlineStr"/>
      <c r="Y15" s="6" t="inlineStr"/>
      <c r="Z15" s="6" t="inlineStr"/>
      <c r="AA15" s="6" t="inlineStr"/>
      <c r="AB15" s="6" t="inlineStr">
        <is>
          <t>SOURCE+AUTHOR</t>
        </is>
      </c>
      <c r="AC15" s="6" t="inlineStr">
        <is>
          <t>n/a (sub-item)</t>
        </is>
      </c>
      <c r="AD15" s="6" t="inlineStr">
        <is>
          <t>NEW (SRC-11 sub-row)</t>
        </is>
      </c>
      <c r="AE15" s="6" t="inlineStr">
        <is>
          <t>2026-10-19</t>
        </is>
      </c>
      <c r="AF15" s="6" t="inlineStr">
        <is>
          <t>FND-0012 (findings/SUM-0014); EXT-0161 (lead re-checked the arithmetic)</t>
        </is>
      </c>
      <c r="AG15" s="6" t="inlineStr"/>
      <c r="AH15" s="6" t="inlineStr">
        <is>
          <t>No (AUTH-016 covers web fetches for this item)</t>
        </is>
      </c>
      <c r="AI15" s="6" t="inlineStr">
        <is>
          <t>Closed 2026-10-19 under the row's own closure rule ('else quote as an ambiguous vendor claim'): denominators from the page, 85% not reproducible from them.</t>
        </is>
      </c>
      <c r="AJ15" s="6" t="inlineStr">
        <is>
          <t>SRC-11 section D1</t>
        </is>
      </c>
      <c r="AK15" s="6" t="inlineStr">
        <is>
          <t>SRC-06 E04</t>
        </is>
      </c>
      <c r="AL15" s="6" t="inlineStr">
        <is>
          <t>S11</t>
        </is>
      </c>
    </row>
    <row r="16" ht="65.5" customHeight="1">
      <c r="A16" s="5" t="inlineStr">
        <is>
          <t>C-E01/E06</t>
        </is>
      </c>
      <c r="B16" s="6" t="inlineStr">
        <is>
          <t>TheMCPCompany 'Missed Tools 3 of 24' absent from readable v1; v2 unreadable</t>
        </is>
      </c>
      <c r="C16" s="6" t="inlineStr">
        <is>
          <t>CLOSED - BY EVIDENCE</t>
        </is>
      </c>
      <c r="D16" s="6" t="inlineStr">
        <is>
          <t>No</t>
        </is>
      </c>
      <c r="E16" s="6" t="inlineStr"/>
      <c r="F16" s="6" t="inlineStr"/>
      <c r="G16" s="14" t="inlineStr">
        <is>
          <t>SOURCE-REREAD</t>
        </is>
      </c>
      <c r="H16" s="6" t="inlineStr">
        <is>
          <t>K14 Source &amp; vendor verification</t>
        </is>
      </c>
      <c r="I16" s="6" t="inlineStr">
        <is>
          <t>G4 Before claims</t>
        </is>
      </c>
      <c r="J16" s="6" t="inlineStr">
        <is>
          <t>Normal</t>
        </is>
      </c>
      <c r="K16" s="6" t="n">
        <v>83</v>
      </c>
      <c r="L16" s="6" t="inlineStr">
        <is>
          <t>W2 Desk work (no model runs)</t>
        </is>
      </c>
      <c r="M16" s="6" t="inlineStr">
        <is>
          <t>S11</t>
        </is>
      </c>
      <c r="N16" s="6" t="inlineStr">
        <is>
          <t>n/a</t>
        </is>
      </c>
      <c r="O16" s="6" t="inlineStr">
        <is>
          <t>Read the decisive passage; fetch only if not stored</t>
        </is>
      </c>
      <c r="P16" s="6" t="inlineStr">
        <is>
          <t>Answered (see basis)</t>
        </is>
      </c>
      <c r="Q16" s="6" t="inlineStr">
        <is>
          <t>Source check</t>
        </is>
      </c>
      <c r="R16" s="6" t="inlineStr">
        <is>
          <t>Sub-item</t>
        </is>
      </c>
      <c r="S16" s="6" t="inlineStr">
        <is>
          <t>C-E01</t>
        </is>
      </c>
      <c r="T16" s="6" t="inlineStr">
        <is>
          <t>SRC-06 E06: the 'Missed Tools 3 of 24' figure was absent from the readable v1 and v2 was unreadable.</t>
        </is>
      </c>
      <c r="U16" s="6" t="inlineStr">
        <is>
          <t>The figure is present in the stored text and in the v2 text read by the steward; the table prints a percentage, so '3 of 24' is derived.</t>
        </is>
      </c>
      <c r="V16" s="6" t="inlineStr">
        <is>
          <t>Closed: figure located (percentage printed; count derived).</t>
        </is>
      </c>
      <c r="W16" s="6" t="inlineStr"/>
      <c r="X16" s="6" t="inlineStr"/>
      <c r="Y16" s="6" t="inlineStr"/>
      <c r="Z16" s="6" t="inlineStr"/>
      <c r="AA16" s="6" t="inlineStr"/>
      <c r="AB16" s="6" t="inlineStr">
        <is>
          <t>SOURCE+AUTHOR</t>
        </is>
      </c>
      <c r="AC16" s="6" t="inlineStr">
        <is>
          <t>n/a (sub-item)</t>
        </is>
      </c>
      <c r="AD16" s="6" t="inlineStr">
        <is>
          <t>CLOSED (baseline)</t>
        </is>
      </c>
      <c r="AE16" s="6" t="inlineStr">
        <is>
          <t>2026-10-19</t>
        </is>
      </c>
      <c r="AF16" s="6" t="inlineStr">
        <is>
          <t>Stored s4-themcpcompany-2510-19286-20261013 lines 1139-1156 and lit file arxiv-2510.19286.txt: GPT-4.1 failure analysis, 24 tasks in total, 'Missed Tools 12.5' (12.5% of 24 = 3 tasks, my arithmetic)</t>
        </is>
      </c>
      <c r="AG16" s="6" t="inlineStr"/>
      <c r="AH16" s="6" t="inlineStr">
        <is>
          <t>Web use needs scope</t>
        </is>
      </c>
      <c r="AI16" s="6" t="inlineStr">
        <is>
          <t>Closed 2026-10-19 on repo evidence; count is derived from 12.5% x 24.</t>
        </is>
      </c>
      <c r="AJ16" s="6" t="inlineStr">
        <is>
          <t>SRC-11 section D1</t>
        </is>
      </c>
      <c r="AK16" s="6" t="inlineStr">
        <is>
          <t>SRC-06 E06, SUM-0005</t>
        </is>
      </c>
      <c r="AL16" s="6" t="inlineStr">
        <is>
          <t>S11</t>
        </is>
      </c>
    </row>
    <row r="17" ht="290.5" customHeight="1">
      <c r="A17" s="5" t="inlineStr">
        <is>
          <t>C-E01/E07</t>
        </is>
      </c>
      <c r="B17" s="6" t="inlineStr">
        <is>
          <t>Scaffolding paper body unavailable; token/schema figures unverified</t>
        </is>
      </c>
      <c r="C17" s="6" t="inlineStr">
        <is>
          <t>CLOSED - BY EVIDENCE</t>
        </is>
      </c>
      <c r="D17" s="6" t="inlineStr">
        <is>
          <t>No</t>
        </is>
      </c>
      <c r="E17" s="6" t="inlineStr"/>
      <c r="F17" s="6" t="inlineStr"/>
      <c r="G17" s="14" t="inlineStr">
        <is>
          <t>SOURCE-REREAD</t>
        </is>
      </c>
      <c r="H17" s="6" t="inlineStr">
        <is>
          <t>K14 Source &amp; vendor verification</t>
        </is>
      </c>
      <c r="I17" s="6" t="inlineStr">
        <is>
          <t>G4 Before claims</t>
        </is>
      </c>
      <c r="J17" s="6" t="inlineStr">
        <is>
          <t>Normal</t>
        </is>
      </c>
      <c r="K17" s="6" t="n">
        <v>84</v>
      </c>
      <c r="L17" s="6" t="inlineStr">
        <is>
          <t>W2 Desk work (no model runs)</t>
        </is>
      </c>
      <c r="M17" s="6" t="inlineStr">
        <is>
          <t>S11</t>
        </is>
      </c>
      <c r="N17" s="6" t="inlineStr">
        <is>
          <t>Lead + steward</t>
        </is>
      </c>
      <c r="O17" s="6" t="inlineStr">
        <is>
          <t>Closed; moved to Archive</t>
        </is>
      </c>
      <c r="P17" s="6" t="inlineStr">
        <is>
          <t>Yes - stored text, unread</t>
        </is>
      </c>
      <c r="Q17" s="6" t="inlineStr">
        <is>
          <t>Source check</t>
        </is>
      </c>
      <c r="R17" s="6" t="inlineStr">
        <is>
          <t>Sub-item</t>
        </is>
      </c>
      <c r="S17" s="6" t="inlineStr">
        <is>
          <t>C-E01</t>
        </is>
      </c>
      <c r="T17" s="6" t="inlineStr">
        <is>
          <t>SRC-06 E07: the scaffolding paper body was unavailable to the prior audit; cited token and schema figures are unverified.</t>
        </is>
      </c>
      <c r="U17"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17" s="6" t="inlineStr">
        <is>
          <t>Figures located in the stored text, or marked unverifiable.</t>
        </is>
      </c>
      <c r="W17" s="6" t="inlineStr"/>
      <c r="X17" s="6" t="inlineStr"/>
      <c r="Y17" s="6" t="inlineStr"/>
      <c r="Z17" s="6" t="inlineStr"/>
      <c r="AA17" s="6" t="inlineStr"/>
      <c r="AB17" s="6" t="inlineStr">
        <is>
          <t>SOURCE</t>
        </is>
      </c>
      <c r="AC17" s="6" t="inlineStr">
        <is>
          <t>n/a (sub-item)</t>
        </is>
      </c>
      <c r="AD17" s="6" t="inlineStr">
        <is>
          <t>NEW (SRC-11 sub-row)</t>
        </is>
      </c>
      <c r="AE17" s="6" t="inlineStr">
        <is>
          <t>2026-10-19</t>
        </is>
      </c>
      <c r="AF17" s="6" t="inlineStr">
        <is>
          <t>FND-0014 (findings/SUM-0016); FND-0011 (findings/SUM-0013); EXT-0114, EXT-0122, EXT-0126, EXT-0129, EXT-0149, EXT-0154, EXT-0164</t>
        </is>
      </c>
      <c r="AG17" s="6" t="inlineStr"/>
      <c r="AH17" s="6" t="inlineStr">
        <is>
          <t>No (AUTH-016 covers web fetches for this item)</t>
        </is>
      </c>
      <c r="AI17" s="6" t="inlineStr">
        <is>
          <t>Closed 2026-10-19 under the row's closure rule (figures located in the stored text with conditions). The prose/table mismatch is carried as its own row.</t>
        </is>
      </c>
      <c r="AJ17" s="6" t="inlineStr">
        <is>
          <t>SRC-11 section D1</t>
        </is>
      </c>
      <c r="AK17" s="6" t="inlineStr">
        <is>
          <t>SRC-06 E07</t>
        </is>
      </c>
      <c r="AL17" s="6" t="inlineStr">
        <is>
          <t>S11</t>
        </is>
      </c>
    </row>
    <row r="18" ht="300" customHeight="1">
      <c r="A18" s="5" t="inlineStr">
        <is>
          <t>C-E01/E07-TAB4</t>
        </is>
      </c>
      <c r="B18" s="6" t="inlineStr">
        <is>
          <t>Scaffolding paper Table 4: the prose ('twice the tokens', 'half as much again') does not match the printed table</t>
        </is>
      </c>
      <c r="C18" s="6" t="inlineStr">
        <is>
          <t>CLOSED - BY EVIDENCE</t>
        </is>
      </c>
      <c r="D18" s="6" t="inlineStr">
        <is>
          <t>No</t>
        </is>
      </c>
      <c r="E18" s="6" t="inlineStr"/>
      <c r="F18" s="6" t="inlineStr"/>
      <c r="G18" s="14" t="inlineStr">
        <is>
          <t>SOURCE-REREAD</t>
        </is>
      </c>
      <c r="H18" s="6" t="inlineStr">
        <is>
          <t>K14 Source &amp; vendor verification</t>
        </is>
      </c>
      <c r="I18" s="6" t="inlineStr">
        <is>
          <t>G4 Before claims</t>
        </is>
      </c>
      <c r="J18" s="6" t="inlineStr">
        <is>
          <t>Normal</t>
        </is>
      </c>
      <c r="K18" s="6" t="n">
        <v>85</v>
      </c>
      <c r="L18" s="6" t="inlineStr">
        <is>
          <t>W2 Desk work (no model runs)</t>
        </is>
      </c>
      <c r="M18" s="6" t="inlineStr">
        <is>
          <t>S11</t>
        </is>
      </c>
      <c r="N18" s="6" t="inlineStr">
        <is>
          <t>Lead + steward (authors if the PDF does not resolve it)</t>
        </is>
      </c>
      <c r="O18" s="6" t="inlineStr">
        <is>
          <t>Closed; moved to Archive</t>
        </is>
      </c>
      <c r="P18" s="6" t="inlineStr">
        <is>
          <t>Partly</t>
        </is>
      </c>
      <c r="Q18" s="6" t="inlineStr">
        <is>
          <t>Source check</t>
        </is>
      </c>
      <c r="R18" s="6" t="inlineStr">
        <is>
          <t>Sub-item</t>
        </is>
      </c>
      <c r="S18" s="6" t="inlineStr">
        <is>
          <t>C-E01/E07</t>
        </is>
      </c>
      <c r="T18"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18"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18" s="6" t="inlineStr">
        <is>
          <t>PDF page rendered or authors answer; the printed numbers or the prose corrected in any quote.</t>
        </is>
      </c>
      <c r="W18" s="6" t="inlineStr"/>
      <c r="X18" s="6" t="inlineStr"/>
      <c r="Y18" s="6" t="inlineStr"/>
      <c r="Z18" s="6" t="inlineStr">
        <is>
          <t>AUTHOR-OR-VENDOR</t>
        </is>
      </c>
      <c r="AA18" s="6" t="inlineStr"/>
      <c r="AB18" s="6" t="inlineStr">
        <is>
          <t>SOURCE+AUTHOR</t>
        </is>
      </c>
      <c r="AC18" s="6" t="inlineStr">
        <is>
          <t>n/a (sub-item)</t>
        </is>
      </c>
      <c r="AD18" s="6" t="inlineStr">
        <is>
          <t>NEW (repo sweep)</t>
        </is>
      </c>
      <c r="AE18" s="6" t="inlineStr">
        <is>
          <t>2026-10-19</t>
        </is>
      </c>
      <c r="AF18" s="6" t="inlineStr">
        <is>
          <t>FND-0014 (findings/SUM-0016); evidence/literature-20261019/pages/INDEX.md; rendered page 14; independent reading by steward 3a (thread T-20261019-101, final answer; matches the lead's reading)</t>
        </is>
      </c>
      <c r="AG18" s="6" t="inlineStr"/>
      <c r="AH18" s="6" t="inlineStr">
        <is>
          <t>No (AUTH-016 covers web fetches for this item)</t>
        </is>
      </c>
      <c r="AI18" s="6" t="inlineStr">
        <is>
          <t>Closed 2026-10-19: the mismatch is in the paper (prose vs printed table), confirmed on the page by two readers; authors' own caveat recorded.</t>
        </is>
      </c>
      <c r="AJ18" s="6" t="inlineStr">
        <is>
          <t>Batch 2c steward finding (FND-0014), verified by the lead</t>
        </is>
      </c>
      <c r="AK18" s="6" t="inlineStr"/>
      <c r="AL18" s="6" t="inlineStr">
        <is>
          <t>S11</t>
        </is>
      </c>
    </row>
    <row r="19" ht="253" customHeight="1">
      <c r="A19" s="5" t="inlineStr">
        <is>
          <t>C-E02/CACHEPAPERS</t>
        </is>
      </c>
      <c r="B19" s="6" t="inlineStr">
        <is>
          <t>Cache-aware compression and routing papers stored but unread</t>
        </is>
      </c>
      <c r="C19" s="6" t="inlineStr">
        <is>
          <t>CLOSED - BY EVIDENCE</t>
        </is>
      </c>
      <c r="D19" s="6" t="inlineStr">
        <is>
          <t>No</t>
        </is>
      </c>
      <c r="E19" s="6" t="inlineStr"/>
      <c r="F19" s="6" t="inlineStr"/>
      <c r="G19" s="14" t="inlineStr">
        <is>
          <t>SOURCE-REREAD</t>
        </is>
      </c>
      <c r="H19" s="6" t="inlineStr">
        <is>
          <t>K14 Source &amp; vendor verification</t>
        </is>
      </c>
      <c r="I19" s="6" t="inlineStr">
        <is>
          <t>G4 Before claims</t>
        </is>
      </c>
      <c r="J19" s="6" t="inlineStr">
        <is>
          <t>Normal</t>
        </is>
      </c>
      <c r="K19" s="6" t="n">
        <v>90</v>
      </c>
      <c r="L19" s="6" t="inlineStr">
        <is>
          <t>W2 Desk work (no model runs)</t>
        </is>
      </c>
      <c r="M19" s="6" t="inlineStr">
        <is>
          <t>S11</t>
        </is>
      </c>
      <c r="N19" s="6" t="inlineStr">
        <is>
          <t>Lead + fresh reviewer</t>
        </is>
      </c>
      <c r="O19" s="6" t="inlineStr">
        <is>
          <t>Closed; moved to Archive</t>
        </is>
      </c>
      <c r="P19" s="6" t="inlineStr">
        <is>
          <t>Yes - stored text, unread</t>
        </is>
      </c>
      <c r="Q19" s="6" t="inlineStr">
        <is>
          <t>Record fix</t>
        </is>
      </c>
      <c r="R19" s="6" t="inlineStr">
        <is>
          <t>Sub-item</t>
        </is>
      </c>
      <c r="S19" s="6" t="inlineStr">
        <is>
          <t>C-E02</t>
        </is>
      </c>
      <c r="T19" s="6" t="inlineStr">
        <is>
          <t>v4-04 section 7: the cache-aware compression and routing papers (stored s4-cacheaware-compress-2607-15516, s4-cacherouter-2608-22708) are unread (CacheRouter's numbers were taken from SUM-0007).</t>
        </is>
      </c>
      <c r="U19"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9" s="6" t="inlineStr">
        <is>
          <t>Read for what they say about tool-definition caching.</t>
        </is>
      </c>
      <c r="W19" s="6" t="inlineStr"/>
      <c r="X19" s="6" t="inlineStr"/>
      <c r="Y19" s="6" t="inlineStr"/>
      <c r="Z19" s="6" t="inlineStr"/>
      <c r="AA19" s="6" t="inlineStr"/>
      <c r="AB19" s="6" t="inlineStr">
        <is>
          <t>RECORD+SOURCE</t>
        </is>
      </c>
      <c r="AC19" s="6" t="inlineStr">
        <is>
          <t>n/a (sub-item)</t>
        </is>
      </c>
      <c r="AD19" s="6" t="inlineStr">
        <is>
          <t>NEW (repo sweep)</t>
        </is>
      </c>
      <c r="AE19" s="6" t="inlineStr">
        <is>
          <t>2026-10-19</t>
        </is>
      </c>
      <c r="AF19" s="6" t="inlineStr">
        <is>
          <t>FND-0015 (findings/SUM-0017); EXT-0169, EXT-0171, EXT-0174, EXT-0176</t>
        </is>
      </c>
      <c r="AG19" s="6" t="inlineStr"/>
      <c r="AH19" s="6" t="inlineStr">
        <is>
          <t>No (AUTH-016 covers web fetches for this item)</t>
        </is>
      </c>
      <c r="AI19" s="6" t="inlineStr">
        <is>
          <t>Closed 2026-10-19 (read for what they say about tool-definition caching). Related evidence added to C-S02 and C-S03; neither paper is an independent billed measurement of appended definitions.</t>
        </is>
      </c>
      <c r="AJ19" s="6" t="inlineStr">
        <is>
          <t>repo: v4-03 section 6 / RV-0005 / RV-0007</t>
        </is>
      </c>
      <c r="AK19" s="6" t="inlineStr"/>
      <c r="AL19" s="6" t="inlineStr">
        <is>
          <t>S11</t>
        </is>
      </c>
    </row>
    <row r="20" ht="115.5" customHeight="1">
      <c r="A20" s="5" t="inlineStr">
        <is>
          <t>C-E02/E20</t>
        </is>
      </c>
      <c r="B20" s="6" t="inlineStr">
        <is>
          <t>BFCL ICML 2025 paper read only as a snippet</t>
        </is>
      </c>
      <c r="C20" s="6" t="inlineStr">
        <is>
          <t>CLOSED - BY EVIDENCE</t>
        </is>
      </c>
      <c r="D20" s="6" t="inlineStr">
        <is>
          <t>No</t>
        </is>
      </c>
      <c r="E20" s="6" t="inlineStr"/>
      <c r="F20" s="6" t="inlineStr"/>
      <c r="G20" s="14" t="inlineStr">
        <is>
          <t>SOURCE-REREAD</t>
        </is>
      </c>
      <c r="H20" s="6" t="inlineStr">
        <is>
          <t>K14 Source &amp; vendor verification</t>
        </is>
      </c>
      <c r="I20" s="6" t="inlineStr">
        <is>
          <t>G4 Before claims</t>
        </is>
      </c>
      <c r="J20" s="6" t="inlineStr">
        <is>
          <t>Normal</t>
        </is>
      </c>
      <c r="K20" s="6" t="n">
        <v>91</v>
      </c>
      <c r="L20" s="6" t="inlineStr">
        <is>
          <t>W2 Desk work (no model runs)</t>
        </is>
      </c>
      <c r="M20" s="6" t="inlineStr">
        <is>
          <t>S11</t>
        </is>
      </c>
      <c r="N20" s="6" t="inlineStr">
        <is>
          <t>Lead + steward</t>
        </is>
      </c>
      <c r="O20" s="6" t="inlineStr">
        <is>
          <t>Closed; moved to Archive</t>
        </is>
      </c>
      <c r="P20" s="6" t="inlineStr">
        <is>
          <t>Yes - stored text, unread</t>
        </is>
      </c>
      <c r="Q20" s="6" t="inlineStr">
        <is>
          <t>Source check</t>
        </is>
      </c>
      <c r="R20" s="6" t="inlineStr">
        <is>
          <t>Sub-item</t>
        </is>
      </c>
      <c r="S20" s="6" t="inlineStr">
        <is>
          <t>C-E02</t>
        </is>
      </c>
      <c r="T20" s="6" t="inlineStr">
        <is>
          <t>SRC-06 E20: the BFCL ICML 2025 paper was seen only as a search snippet.</t>
        </is>
      </c>
      <c r="U20"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20" s="6" t="inlineStr">
        <is>
          <t>Original read; claims it affects revised or marked unverified.</t>
        </is>
      </c>
      <c r="W20" s="6" t="inlineStr"/>
      <c r="X20" s="6" t="inlineStr"/>
      <c r="Y20" s="6" t="inlineStr"/>
      <c r="Z20" s="6" t="inlineStr"/>
      <c r="AA20" s="6" t="inlineStr"/>
      <c r="AB20" s="6" t="inlineStr">
        <is>
          <t>SOURCE+ACCESS</t>
        </is>
      </c>
      <c r="AC20" s="6" t="inlineStr">
        <is>
          <t>n/a (sub-item)</t>
        </is>
      </c>
      <c r="AD20" s="6" t="inlineStr">
        <is>
          <t>NEW (SRC-11 sub-row)</t>
        </is>
      </c>
      <c r="AE20" s="6" t="inlineStr">
        <is>
          <t>2026-10-19</t>
        </is>
      </c>
      <c r="AF20" s="6" t="inlineStr">
        <is>
          <t>FND-0009 (findings/SUM-0011); EXT-0116, EXT-0146, EXT-0147; evidence/sources.json r3-bfcl</t>
        </is>
      </c>
      <c r="AG20" s="6" t="inlineStr"/>
      <c r="AH20" s="6" t="inlineStr">
        <is>
          <t>No (AUTH-016 covers web fetches for this item)</t>
        </is>
      </c>
      <c r="AI20" s="6" t="inlineStr">
        <is>
          <t>Closed 2026-10-19: the access gap (paper seen only as a snippet) is closed by the stored text; claims that rely on specific passages are checked as they are used.</t>
        </is>
      </c>
      <c r="AJ20" s="6" t="inlineStr">
        <is>
          <t>SRC-11 section D2</t>
        </is>
      </c>
      <c r="AK20" s="6" t="inlineStr">
        <is>
          <t>SRC-06 E20</t>
        </is>
      </c>
      <c r="AL20" s="6" t="inlineStr">
        <is>
          <t>S11</t>
        </is>
      </c>
    </row>
    <row r="21" ht="300" customHeight="1">
      <c r="A21" s="5" t="inlineStr">
        <is>
          <t>C-E02/E27</t>
        </is>
      </c>
      <c r="B21" s="6" t="inlineStr">
        <is>
          <t>TheMCPCompany v2, scaffolding paper, ACL paper PDFs unreadable in prior tools</t>
        </is>
      </c>
      <c r="C21" s="6" t="inlineStr">
        <is>
          <t>CLOSED - BY EVIDENCE</t>
        </is>
      </c>
      <c r="D21" s="6" t="inlineStr">
        <is>
          <t>No</t>
        </is>
      </c>
      <c r="E21" s="6" t="inlineStr"/>
      <c r="F21" s="6" t="inlineStr"/>
      <c r="G21" s="14" t="inlineStr">
        <is>
          <t>SOURCE-REREAD</t>
        </is>
      </c>
      <c r="H21" s="6" t="inlineStr">
        <is>
          <t>K14 Source &amp; vendor verification</t>
        </is>
      </c>
      <c r="I21" s="6" t="inlineStr">
        <is>
          <t>G4 Before claims</t>
        </is>
      </c>
      <c r="J21" s="6" t="inlineStr">
        <is>
          <t>Normal</t>
        </is>
      </c>
      <c r="K21" s="6" t="n">
        <v>98</v>
      </c>
      <c r="L21" s="6" t="inlineStr">
        <is>
          <t>W2 Desk work (no model runs)</t>
        </is>
      </c>
      <c r="M21" s="6" t="inlineStr">
        <is>
          <t>S11</t>
        </is>
      </c>
      <c r="N21" s="6" t="inlineStr">
        <is>
          <t>Lead + steward</t>
        </is>
      </c>
      <c r="O21" s="6" t="inlineStr">
        <is>
          <t>Closed; moved to Archive</t>
        </is>
      </c>
      <c r="P21" s="6" t="inlineStr">
        <is>
          <t>Yes - stored text, unread</t>
        </is>
      </c>
      <c r="Q21" s="6" t="inlineStr">
        <is>
          <t>Source check</t>
        </is>
      </c>
      <c r="R21" s="6" t="inlineStr">
        <is>
          <t>Sub-item</t>
        </is>
      </c>
      <c r="S21" s="6" t="inlineStr">
        <is>
          <t>C-E02</t>
        </is>
      </c>
      <c r="T21" s="6" t="inlineStr">
        <is>
          <t>SRC-06 E27: TheMCPCompany v2, the scaffolding paper and the ACL paper PDFs were unreadable in prior tools.</t>
        </is>
      </c>
      <c r="U21"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21" s="6" t="inlineStr">
        <is>
          <t>Closed 2026-10-19: criterion 'original read; claims it affects revised or marked unverified' met; no live document quotes the unread appendix.</t>
        </is>
      </c>
      <c r="W21" s="6" t="inlineStr"/>
      <c r="X21" s="6" t="inlineStr"/>
      <c r="Y21" s="6" t="inlineStr"/>
      <c r="Z21" s="6" t="inlineStr"/>
      <c r="AA21" s="6" t="inlineStr"/>
      <c r="AB21" s="6" t="inlineStr">
        <is>
          <t>SOURCE+ACCESS</t>
        </is>
      </c>
      <c r="AC21" s="6" t="inlineStr">
        <is>
          <t>n/a (sub-item)</t>
        </is>
      </c>
      <c r="AD21" s="6" t="inlineStr">
        <is>
          <t>NEW (SRC-11 sub-row)</t>
        </is>
      </c>
      <c r="AE21" s="6" t="inlineStr">
        <is>
          <t>2026-10-19</t>
        </is>
      </c>
      <c r="AF21" s="6" t="inlineStr">
        <is>
          <t>FND-0025 (findings/SUM-0027); EXT-0205, EXT-0206, EXT-0207, EXT-0208; FND-0014 (findings/SUM-0016)</t>
        </is>
      </c>
      <c r="AG21" s="6" t="inlineStr"/>
      <c r="AH21" s="6" t="inlineStr">
        <is>
          <t>No (AUTH-016 covers web fetches for this item)</t>
        </is>
      </c>
      <c r="AI21" s="6" t="inlineStr">
        <is>
          <t>Closed 2026-10-19: the scaffolding paper's delivery sections are read; its on-demand result is a confounded gateway comparison, not a search result.</t>
        </is>
      </c>
      <c r="AJ21" s="6" t="inlineStr">
        <is>
          <t>SRC-11 section D2</t>
        </is>
      </c>
      <c r="AK21" s="6" t="inlineStr">
        <is>
          <t>SRC-06 E27</t>
        </is>
      </c>
      <c r="AL21" s="6" t="inlineStr">
        <is>
          <t>S11</t>
        </is>
      </c>
    </row>
    <row r="22" ht="300" customHeight="1">
      <c r="A22" s="5" t="inlineStr">
        <is>
          <t>C-E02/E28</t>
        </is>
      </c>
      <c r="B22" s="6" t="inlineStr">
        <is>
          <t>Earlier MCP-Zero versions, MSR 16-tool assertion, tool_removal primitive not verified</t>
        </is>
      </c>
      <c r="C22" s="6" t="inlineStr">
        <is>
          <t>CLOSED - BY EVIDENCE</t>
        </is>
      </c>
      <c r="D22" s="6" t="inlineStr">
        <is>
          <t>No</t>
        </is>
      </c>
      <c r="E22" s="6" t="inlineStr"/>
      <c r="F22" s="6" t="inlineStr"/>
      <c r="G22" s="14" t="inlineStr">
        <is>
          <t>SOURCE-REREAD</t>
        </is>
      </c>
      <c r="H22" s="6" t="inlineStr">
        <is>
          <t>K14 Source &amp; vendor verification</t>
        </is>
      </c>
      <c r="I22" s="6" t="inlineStr">
        <is>
          <t>G4 Before claims</t>
        </is>
      </c>
      <c r="J22" s="6" t="inlineStr">
        <is>
          <t>Normal</t>
        </is>
      </c>
      <c r="K22" s="6" t="n">
        <v>99</v>
      </c>
      <c r="L22" s="6" t="inlineStr">
        <is>
          <t>W2 Desk work (no model runs)</t>
        </is>
      </c>
      <c r="M22" s="6" t="inlineStr">
        <is>
          <t>S11</t>
        </is>
      </c>
      <c r="N22" s="6" t="inlineStr">
        <is>
          <t>Lead + steward</t>
        </is>
      </c>
      <c r="O22" s="6" t="inlineStr">
        <is>
          <t>Closed; moved to Archive</t>
        </is>
      </c>
      <c r="P22" s="6" t="inlineStr">
        <is>
          <t>Partly</t>
        </is>
      </c>
      <c r="Q22" s="6" t="inlineStr">
        <is>
          <t>Source check</t>
        </is>
      </c>
      <c r="R22" s="6" t="inlineStr">
        <is>
          <t>Sub-item</t>
        </is>
      </c>
      <c r="S22" s="6" t="inlineStr">
        <is>
          <t>C-E02</t>
        </is>
      </c>
      <c r="T22" s="6" t="inlineStr">
        <is>
          <t>SRC-06 E28: earlier MCP-Zero versions, the MSR 16-tool/window assertion and the tool_removal primitive were not verified.</t>
        </is>
      </c>
      <c r="U22"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22" s="6" t="inlineStr">
        <is>
          <t>Closed 2026-10-19: criterion 'original read; claims it affects revised or marked unverified' met: v4 05 quotes only the APIBank numbers, which hold in every version.</t>
        </is>
      </c>
      <c r="W22" s="6" t="inlineStr"/>
      <c r="X22" s="6" t="inlineStr"/>
      <c r="Y22" s="6" t="inlineStr"/>
      <c r="Z22" s="6" t="inlineStr"/>
      <c r="AA22" s="6" t="inlineStr"/>
      <c r="AB22" s="6" t="inlineStr">
        <is>
          <t>SOURCE+ACCESS</t>
        </is>
      </c>
      <c r="AC22" s="6" t="inlineStr">
        <is>
          <t>n/a (sub-item)</t>
        </is>
      </c>
      <c r="AD22" s="6" t="inlineStr">
        <is>
          <t>NEW (SRC-11 sub-row)</t>
        </is>
      </c>
      <c r="AE22" s="6" t="inlineStr">
        <is>
          <t>2026-10-19</t>
        </is>
      </c>
      <c r="AF22" s="6" t="inlineStr">
        <is>
          <t>FND-0024 (findings/SUM-0026); EXT-0211; evidence/literature-20261019/pages/INDEX.md (page images with SHA-256; raw PDF hashes match the manifest); evidence/literature-20261019/pdf-mcpzero-2506.01056v1.txt; pdf-mcpzero-2506.01056-latest.txt</t>
        </is>
      </c>
      <c r="AG22" s="6" t="inlineStr"/>
      <c r="AH22" s="6" t="inlineStr">
        <is>
          <t>No (AUTH-016 covers web fetches for this item)</t>
        </is>
      </c>
      <c r="AI22" s="6" t="inlineStr">
        <is>
          <t>Closed 2026-10-19: earlier version read and compared (numbers identical); the MSR / tool_removal assertions are not found in v1 or latest and no live document uses them.</t>
        </is>
      </c>
      <c r="AJ22" s="6" t="inlineStr">
        <is>
          <t>SRC-11 section D2</t>
        </is>
      </c>
      <c r="AK22" s="6" t="inlineStr">
        <is>
          <t>SRC-06 E28</t>
        </is>
      </c>
      <c r="AL22" s="6" t="inlineStr">
        <is>
          <t>S11</t>
        </is>
      </c>
    </row>
    <row r="23" ht="300" customHeight="1">
      <c r="A23" s="5" t="inlineStr">
        <is>
          <t>C-E02/E29</t>
        </is>
      </c>
      <c r="B23" s="6" t="inlineStr">
        <is>
          <t>Tables/figures garbled for ToolRet, Re-Invoke, ComplexMCP, Shi, ToolTweak, MCP-SafetyBench, LiveMCPBench, Token Reduction</t>
        </is>
      </c>
      <c r="C23" s="6" t="inlineStr">
        <is>
          <t>CLOSED - BY EVIDENCE</t>
        </is>
      </c>
      <c r="D23" s="6" t="inlineStr">
        <is>
          <t>No</t>
        </is>
      </c>
      <c r="E23" s="6" t="inlineStr"/>
      <c r="F23" s="6" t="inlineStr"/>
      <c r="G23" s="14" t="inlineStr">
        <is>
          <t>SOURCE-REREAD</t>
        </is>
      </c>
      <c r="H23" s="6" t="inlineStr">
        <is>
          <t>K14 Source &amp; vendor verification</t>
        </is>
      </c>
      <c r="I23" s="6" t="inlineStr">
        <is>
          <t>G4 Before claims</t>
        </is>
      </c>
      <c r="J23" s="6" t="inlineStr">
        <is>
          <t>Normal</t>
        </is>
      </c>
      <c r="K23" s="6" t="n">
        <v>100</v>
      </c>
      <c r="L23" s="6" t="inlineStr">
        <is>
          <t>W2 Desk work (no model runs)</t>
        </is>
      </c>
      <c r="M23" s="6" t="inlineStr">
        <is>
          <t>S11</t>
        </is>
      </c>
      <c r="N23" s="6" t="inlineStr">
        <is>
          <t>Lead + steward</t>
        </is>
      </c>
      <c r="O23" s="6" t="inlineStr">
        <is>
          <t>Closed; moved to Archive</t>
        </is>
      </c>
      <c r="P23" s="6" t="inlineStr">
        <is>
          <t>Partly</t>
        </is>
      </c>
      <c r="Q23" s="6" t="inlineStr">
        <is>
          <t>Source check</t>
        </is>
      </c>
      <c r="R23" s="6" t="inlineStr">
        <is>
          <t>Sub-item</t>
        </is>
      </c>
      <c r="S23" s="6" t="inlineStr">
        <is>
          <t>C-E02</t>
        </is>
      </c>
      <c r="T23" s="6" t="inlineStr">
        <is>
          <t>SRC-06 E29: tables/figures of ToolRet, Re-Invoke, ComplexMCP, Shi, ToolTweak, MCP-SafetyBench, LiveMCPBench and Token Reduction were garbled; only MCPVerse was rendered visually.</t>
        </is>
      </c>
      <c r="U23"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23" s="6" t="inlineStr">
        <is>
          <t>Closed 2026-10-19: the papers whose tables v4 quotes were read on rendered pages; the remaining papers in the original list are cited in no live document and are carried by C-E02/E29-OTHERS (DEFERRED).</t>
        </is>
      </c>
      <c r="W23" s="6" t="inlineStr"/>
      <c r="X23" s="6" t="inlineStr"/>
      <c r="Y23" s="6" t="inlineStr">
        <is>
          <t>Q-U22</t>
        </is>
      </c>
      <c r="Z23" s="6" t="inlineStr"/>
      <c r="AA23" s="6" t="inlineStr"/>
      <c r="AB23" s="6" t="inlineStr">
        <is>
          <t>SOURCE+ACCESS</t>
        </is>
      </c>
      <c r="AC23" s="6" t="inlineStr">
        <is>
          <t>n/a (sub-item)</t>
        </is>
      </c>
      <c r="AD23" s="6" t="inlineStr">
        <is>
          <t>NEW (SRC-11 sub-row)</t>
        </is>
      </c>
      <c r="AE23" s="6" t="inlineStr">
        <is>
          <t>2026-10-19</t>
        </is>
      </c>
      <c r="AF23" s="6" t="inlineStr">
        <is>
          <t>FND-0024 (findings/SUM-0026); EXT-0211; evidence/literature-20261019/pages/INDEX.md (page images with SHA-256; raw PDF hashes match the manifest)</t>
        </is>
      </c>
      <c r="AG23" s="6" t="inlineStr"/>
      <c r="AH23" s="6" t="inlineStr">
        <is>
          <t>No (AUTH-016 covers web fetches for this item)</t>
        </is>
      </c>
      <c r="AI23" s="6" t="inlineStr">
        <is>
          <t>Closed 2026-10-19: the garbled tables behind the brief's ComplexMCP, LiveMCPBench and token-reduction figures were read on page images and the numbers hold; wording corrections (pooled 50.00%; 'full context' implied) are in N-17/WORDING.</t>
        </is>
      </c>
      <c r="AJ23" s="6" t="inlineStr">
        <is>
          <t>SRC-11 section D2</t>
        </is>
      </c>
      <c r="AK23" s="6" t="inlineStr">
        <is>
          <t>SRC-06 E29</t>
        </is>
      </c>
      <c r="AL23" s="6" t="inlineStr">
        <is>
          <t>S11</t>
        </is>
      </c>
    </row>
    <row r="24" ht="178" customHeight="1">
      <c r="A24" s="5" t="inlineStr">
        <is>
          <t>C-S08/BFCLDEF</t>
        </is>
      </c>
      <c r="B24" s="6" t="inlineStr">
        <is>
          <t>BFCL irrelevance/relevance definitions rest on background knowledge</t>
        </is>
      </c>
      <c r="C24" s="6" t="inlineStr">
        <is>
          <t>CLOSED - BY EVIDENCE</t>
        </is>
      </c>
      <c r="D24" s="6" t="inlineStr">
        <is>
          <t>No</t>
        </is>
      </c>
      <c r="E24" s="6" t="inlineStr"/>
      <c r="F24" s="6" t="inlineStr"/>
      <c r="G24" s="14" t="inlineStr">
        <is>
          <t>SOURCE-REREAD</t>
        </is>
      </c>
      <c r="H24" s="6" t="inlineStr">
        <is>
          <t>K8 Search initiation &amp; recovery</t>
        </is>
      </c>
      <c r="I24" s="6" t="inlineStr">
        <is>
          <t>G3 Before confirmatory study</t>
        </is>
      </c>
      <c r="J24" s="6" t="inlineStr">
        <is>
          <t>Normal</t>
        </is>
      </c>
      <c r="K24" s="6" t="n">
        <v>108</v>
      </c>
      <c r="L24" s="6" t="inlineStr">
        <is>
          <t>W2 Desk work (no model runs)</t>
        </is>
      </c>
      <c r="M24" s="6" t="inlineStr">
        <is>
          <t>S11</t>
        </is>
      </c>
      <c r="N24" s="6" t="inlineStr">
        <is>
          <t>Team</t>
        </is>
      </c>
      <c r="O24" s="6" t="inlineStr">
        <is>
          <t>Closed; moved to Archive</t>
        </is>
      </c>
      <c r="P24" s="6" t="inlineStr">
        <is>
          <t>Yes - stored text, unread</t>
        </is>
      </c>
      <c r="Q24" s="6" t="inlineStr">
        <is>
          <t>Source check</t>
        </is>
      </c>
      <c r="R24" s="6" t="inlineStr">
        <is>
          <t>Sub-item</t>
        </is>
      </c>
      <c r="S24" s="6" t="inlineStr">
        <is>
          <t>C-S08</t>
        </is>
      </c>
      <c r="T24" s="6" t="inlineStr">
        <is>
          <t>v4-05 Round 5b states the definitions of irrelevance and relevance detection from the lead's background knowledge [S], not evidence; the leaderboard CSV has no column definitions.</t>
        </is>
      </c>
      <c r="U24"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24" s="6" t="inlineStr">
        <is>
          <t>Definitions quoted from the BFCL paper.</t>
        </is>
      </c>
      <c r="W24" s="6" t="inlineStr"/>
      <c r="X24" s="6" t="inlineStr"/>
      <c r="Y24" s="6" t="inlineStr"/>
      <c r="Z24" s="6" t="inlineStr"/>
      <c r="AA24" s="6" t="inlineStr"/>
      <c r="AB24" s="6" t="inlineStr">
        <is>
          <t>SOURCE</t>
        </is>
      </c>
      <c r="AC24" s="6" t="inlineStr">
        <is>
          <t>n/a (sub-item)</t>
        </is>
      </c>
      <c r="AD24" s="6" t="inlineStr">
        <is>
          <t>NEW (SRC-11 sub-row)</t>
        </is>
      </c>
      <c r="AE24" s="6" t="inlineStr">
        <is>
          <t>2026-10-19</t>
        </is>
      </c>
      <c r="AF24" s="6" t="inlineStr">
        <is>
          <t>FND-0009 (findings/SUM-0011); EXT-0117, EXT-0119, EXT-0121 (lead re-read EXT-0119 and EXT-0121)</t>
        </is>
      </c>
      <c r="AG24" s="6" t="inlineStr"/>
      <c r="AH24" s="6" t="inlineStr">
        <is>
          <t>Yes</t>
        </is>
      </c>
      <c r="AI24" s="6" t="inlineStr">
        <is>
          <t>Closed 2026-10-19 on the paper's own definitions. Correction to v4-05 recorded here; v4-05 text is unchanged (AUTH-016 rule).</t>
        </is>
      </c>
      <c r="AJ24" s="6" t="inlineStr">
        <is>
          <t>repo: v4-05 sections 1B, 3, 4; reviews RV-0006/0007</t>
        </is>
      </c>
      <c r="AK24" s="6" t="inlineStr"/>
      <c r="AL24" s="6" t="inlineStr">
        <is>
          <t>S11</t>
        </is>
      </c>
    </row>
    <row r="25" ht="140.5" customHeight="1">
      <c r="A25" s="5" t="inlineStr">
        <is>
          <t>N-24</t>
        </is>
      </c>
      <c r="B25" s="6" t="inlineStr">
        <is>
          <t>Stored sources with no usable text: r2-llmlingua, r4-vscode-chat-tools, s4b-wc-jshook-searcharch</t>
        </is>
      </c>
      <c r="C25" s="6" t="inlineStr">
        <is>
          <t>CLOSED - BY EVIDENCE</t>
        </is>
      </c>
      <c r="D25" s="6" t="inlineStr">
        <is>
          <t>No</t>
        </is>
      </c>
      <c r="E25" s="6" t="inlineStr"/>
      <c r="F25" s="6" t="inlineStr"/>
      <c r="G25" s="14" t="inlineStr">
        <is>
          <t>SOURCE-REREAD</t>
        </is>
      </c>
      <c r="H25" s="6" t="inlineStr">
        <is>
          <t>K14 Source &amp; vendor verification</t>
        </is>
      </c>
      <c r="I25" s="6" t="inlineStr">
        <is>
          <t>G5 Housekeeping / no block</t>
        </is>
      </c>
      <c r="J25" s="6" t="inlineStr">
        <is>
          <t>Low</t>
        </is>
      </c>
      <c r="K25" s="6" t="n">
        <v>110</v>
      </c>
      <c r="L25" s="6" t="inlineStr">
        <is>
          <t>W2 Desk work (no model runs)</t>
        </is>
      </c>
      <c r="M25" s="6" t="inlineStr">
        <is>
          <t>S11</t>
        </is>
      </c>
      <c r="N25" s="6" t="inlineStr">
        <is>
          <t>Lead</t>
        </is>
      </c>
      <c r="O25" s="6" t="inlineStr">
        <is>
          <t>Closed; moved to Archive</t>
        </is>
      </c>
      <c r="P25" s="6" t="inlineStr">
        <is>
          <t>Answered (see basis)</t>
        </is>
      </c>
      <c r="Q25" s="6" t="inlineStr">
        <is>
          <t>Record fix</t>
        </is>
      </c>
      <c r="R25" s="6" t="inlineStr">
        <is>
          <t>Item</t>
        </is>
      </c>
      <c r="S25" s="6" t="inlineStr"/>
      <c r="T25" s="6" t="inlineStr">
        <is>
          <t>evidence/sources.json: 6 manifests lack stored text; three have retry duplicates (r2-toolgen, r4-speakeasy-dynamic-toolsets, r4-speakeasy...2), test-blocked-eht-blog is a test artefact; r2-llmlingua, r4-vscode-chat-tools and s4b-wc-jshook-searcharch have no stored text.</t>
        </is>
      </c>
      <c r="U25"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25" s="6" t="inlineStr">
        <is>
          <t>Refetched, or recorded as not stored and not relied on.</t>
        </is>
      </c>
      <c r="W25" s="6" t="inlineStr"/>
      <c r="X25" s="6" t="inlineStr"/>
      <c r="Y25" s="6" t="inlineStr"/>
      <c r="Z25" s="6" t="inlineStr"/>
      <c r="AA25" s="6" t="inlineStr"/>
      <c r="AB25" s="6" t="inlineStr">
        <is>
          <t>SOURCE+ACCESS</t>
        </is>
      </c>
      <c r="AC25" s="6" t="inlineStr">
        <is>
          <t>n/a (new)</t>
        </is>
      </c>
      <c r="AD25" s="6" t="inlineStr">
        <is>
          <t>NEW (repo sweep)</t>
        </is>
      </c>
      <c r="AE25" s="6" t="inlineStr">
        <is>
          <t>2026-10-19</t>
        </is>
      </c>
      <c r="AF25" s="6" t="inlineStr">
        <is>
          <t>evidence/sources.json has_text flags (lead check 2026-10-19); repo-wide grep</t>
        </is>
      </c>
      <c r="AG25" s="6" t="inlineStr">
        <is>
          <t>If a design record starts to cite one of the six</t>
        </is>
      </c>
      <c r="AH25" s="6" t="inlineStr">
        <is>
          <t>No (AUTH-016 covers web fetches for this item)</t>
        </is>
      </c>
      <c r="AI25" s="6" t="inlineStr">
        <is>
          <t>Closed 2026-10-19: none is relied on; nothing to refetch.</t>
        </is>
      </c>
      <c r="AJ25" s="6" t="inlineStr">
        <is>
          <t>repo sweep (sources.json)</t>
        </is>
      </c>
      <c r="AK25" s="6" t="inlineStr"/>
      <c r="AL25" s="6" t="inlineStr">
        <is>
          <t>S11</t>
        </is>
      </c>
    </row>
    <row r="26" ht="300" customHeight="1">
      <c r="A26" s="5" t="inlineStr">
        <is>
          <t>C-S19/S45</t>
        </is>
      </c>
      <c r="B26" s="6" t="inlineStr">
        <is>
          <t>Other contradictions (two vs three models, appendix references); 140k/147k not v2-specific</t>
        </is>
      </c>
      <c r="C26" s="6" t="inlineStr">
        <is>
          <t>CLOSED - BY EVIDENCE</t>
        </is>
      </c>
      <c r="D26" s="6" t="inlineStr">
        <is>
          <t>No</t>
        </is>
      </c>
      <c r="E26" s="6" t="inlineStr"/>
      <c r="F26" s="6" t="inlineStr"/>
      <c r="G26" s="16" t="inlineStr">
        <is>
          <t>AUTHOR-OR-VENDOR</t>
        </is>
      </c>
      <c r="H26" s="6" t="inlineStr">
        <is>
          <t>K14 Source &amp; vendor verification</t>
        </is>
      </c>
      <c r="I26" s="6" t="inlineStr">
        <is>
          <t>G5 Housekeeping / no block</t>
        </is>
      </c>
      <c r="J26" s="6" t="inlineStr">
        <is>
          <t>Low</t>
        </is>
      </c>
      <c r="K26" s="6" t="n">
        <v>118</v>
      </c>
      <c r="L26" s="6" t="inlineStr">
        <is>
          <t>W2 Desk work (no model runs)</t>
        </is>
      </c>
      <c r="M26" s="6" t="inlineStr">
        <is>
          <t>S12</t>
        </is>
      </c>
      <c r="N26" s="6" t="inlineStr">
        <is>
          <t>Authors / team</t>
        </is>
      </c>
      <c r="O26" s="6" t="inlineStr">
        <is>
          <t>Closed; moved to Archive</t>
        </is>
      </c>
      <c r="P26" s="6" t="inlineStr">
        <is>
          <t>Partly</t>
        </is>
      </c>
      <c r="Q26" s="6" t="inlineStr">
        <is>
          <t>Source check</t>
        </is>
      </c>
      <c r="R26" s="6" t="inlineStr">
        <is>
          <t>Sub-item</t>
        </is>
      </c>
      <c r="S26" s="6" t="inlineStr">
        <is>
          <t>C-S19</t>
        </is>
      </c>
      <c r="T26" s="6" t="inlineStr">
        <is>
          <t>SRC-06 S45: the 140k/147k discrepancy is not v2-specific and one Claude row is internally consistent; other contradictions remain.</t>
        </is>
      </c>
      <c r="U26"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26" s="6" t="inlineStr">
        <is>
          <t>Closed 2026-10-19: the discrepancies were listed and checked on page images; the cause of each stays an author question.</t>
        </is>
      </c>
      <c r="W26" s="6" t="inlineStr"/>
      <c r="X26" s="6" t="inlineStr"/>
      <c r="Y26" s="6" t="inlineStr"/>
      <c r="Z26" s="6" t="inlineStr"/>
      <c r="AA26" s="6" t="inlineStr"/>
      <c r="AB26" s="6" t="inlineStr">
        <is>
          <t>SOURCE+AUTHOR</t>
        </is>
      </c>
      <c r="AC26" s="6" t="inlineStr">
        <is>
          <t>n/a (sub-item)</t>
        </is>
      </c>
      <c r="AD26" s="6" t="inlineStr">
        <is>
          <t>NEW (SRC-11 sub-row)</t>
        </is>
      </c>
      <c r="AE26" s="6" t="inlineStr">
        <is>
          <t>2026-10-19</t>
        </is>
      </c>
      <c r="AF26" s="6" t="inlineStr">
        <is>
          <t>FND-0026 (findings/SUM-0028); EXT-0203, EXT-0204; evidence/literature-20261019/pages/INDEX.md (MCPVerse v2 pages 5, 7, 9)</t>
        </is>
      </c>
      <c r="AG26" s="6" t="inlineStr"/>
      <c r="AH26" s="6" t="inlineStr">
        <is>
          <t>No</t>
        </is>
      </c>
      <c r="AI26" s="6" t="inlineStr">
        <is>
          <t>Closed 2026-10-19: the contradictions are enumerated with lines; any quotation of MCPVerse v2 must cite them. The causes are for the authors (C-S19/S40, S41).</t>
        </is>
      </c>
      <c r="AJ26" s="6" t="inlineStr">
        <is>
          <t>SRC-11 section D3</t>
        </is>
      </c>
      <c r="AK26" s="6" t="inlineStr">
        <is>
          <t>SRC-06 S45</t>
        </is>
      </c>
      <c r="AL26" s="6" t="inlineStr">
        <is>
          <t>S12</t>
        </is>
      </c>
    </row>
    <row r="27" ht="300" customHeight="1">
      <c r="A27" s="5" t="inlineStr">
        <is>
          <t>AS-01</t>
        </is>
      </c>
      <c r="B27" s="6" t="inlineStr">
        <is>
          <t>Supervisor assertion A1: Semantic search with a strong encoder always beats keyword search</t>
        </is>
      </c>
      <c r="C27" s="6" t="inlineStr">
        <is>
          <t>CLOSED - BY EVIDENCE</t>
        </is>
      </c>
      <c r="D27" s="6" t="inlineStr">
        <is>
          <t>No</t>
        </is>
      </c>
      <c r="E27" s="6" t="inlineStr"/>
      <c r="F27" s="6" t="inlineStr"/>
      <c r="G27" s="11" t="inlineStr">
        <is>
          <t>LITERATURE-DIRECTED</t>
        </is>
      </c>
      <c r="H27" s="6" t="inlineStr">
        <is>
          <t>K14 Source &amp; vendor verification</t>
        </is>
      </c>
      <c r="I27" s="6" t="inlineStr">
        <is>
          <t>G4 Before claims</t>
        </is>
      </c>
      <c r="J27" s="6" t="inlineStr">
        <is>
          <t>Normal</t>
        </is>
      </c>
      <c r="K27" s="6" t="n">
        <v>120</v>
      </c>
      <c r="L27" s="6" t="inlineStr">
        <is>
          <t>W2 Desk work (no model runs)</t>
        </is>
      </c>
      <c r="M27" s="6" t="inlineStr">
        <is>
          <t>S13</t>
        </is>
      </c>
      <c r="N27" s="6" t="inlineStr">
        <is>
          <t>Lead / team</t>
        </is>
      </c>
      <c r="O27" s="6" t="inlineStr">
        <is>
          <t>Closed; moved to Archive</t>
        </is>
      </c>
      <c r="P27" s="6" t="inlineStr">
        <is>
          <t>No</t>
        </is>
      </c>
      <c r="Q27" s="6" t="inlineStr">
        <is>
          <t>Claim to test</t>
        </is>
      </c>
      <c r="R27" s="6" t="inlineStr">
        <is>
          <t>Item</t>
        </is>
      </c>
      <c r="S27" s="6" t="inlineStr"/>
      <c r="T27" s="6" t="inlineStr">
        <is>
          <t>REQ-A1 A1: Semantic search with a strong encoder always beats keyword search. Lexical vs dense vs hybrid is task- and data-dependent; testable in the literature.</t>
        </is>
      </c>
      <c r="U27"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27" s="6" t="inlineStr">
        <is>
          <t>Closed 2026-10-20: criterion 'lexical vs dense vs hybrid is task- and data-dependent; testable in the literature' met.</t>
        </is>
      </c>
      <c r="W27" s="6" t="inlineStr"/>
      <c r="X27" s="6" t="inlineStr"/>
      <c r="Y27" s="6" t="inlineStr"/>
      <c r="Z27" s="6" t="inlineStr"/>
      <c r="AA27" s="6" t="inlineStr"/>
      <c r="AB27" s="6" t="inlineStr">
        <is>
          <t>SOURCE</t>
        </is>
      </c>
      <c r="AC27" s="6" t="inlineStr">
        <is>
          <t>n/a (REGISTER E)</t>
        </is>
      </c>
      <c r="AD27" s="6" t="inlineStr">
        <is>
          <t>NEW (repo sweep)</t>
        </is>
      </c>
      <c r="AE27" s="6" t="inlineStr">
        <is>
          <t>2026-10-20</t>
        </is>
      </c>
      <c r="AF27" s="6" t="inlineStr">
        <is>
          <t>FND-0027 (findings/SUM-0029); FND-0018 (findings/SUM-0020); EXT-0181, EXT-0210; evidence/literature-20261019/pages/INDEX.md (ToolRet p7)</t>
        </is>
      </c>
      <c r="AG27" s="6" t="inlineStr"/>
      <c r="AH27" s="6" t="inlineStr">
        <is>
          <t>No</t>
        </is>
      </c>
      <c r="AI27" s="6" t="inlineStr">
        <is>
          <t>Closed 2026-10-20 as a literature check done: the sources are mixed by encoder class and metric; the supervisor's statement narrows to strong instruction-following encoders; nothing tested in our setting.</t>
        </is>
      </c>
      <c r="AJ27" s="6" t="inlineStr">
        <is>
          <t>repo: REGISTER section E / EXT-0004</t>
        </is>
      </c>
      <c r="AK27" s="6" t="inlineStr">
        <is>
          <t>REQ-A1 A1</t>
        </is>
      </c>
      <c r="AL27" s="6" t="inlineStr">
        <is>
          <t>S11</t>
        </is>
      </c>
    </row>
    <row r="28" ht="300" customHeight="1">
      <c r="A28" s="5" t="inlineStr">
        <is>
          <t>AS-03</t>
        </is>
      </c>
      <c r="B28" s="6" t="inlineStr">
        <is>
          <t>Supervisor assertion A3: Keyword and symbolic search 'will never work here'</t>
        </is>
      </c>
      <c r="C28" s="6" t="inlineStr">
        <is>
          <t>CLOSED - BY EVIDENCE</t>
        </is>
      </c>
      <c r="D28" s="6" t="inlineStr">
        <is>
          <t>No</t>
        </is>
      </c>
      <c r="E28" s="6" t="inlineStr"/>
      <c r="F28" s="6" t="inlineStr"/>
      <c r="G28" s="11" t="inlineStr">
        <is>
          <t>LITERATURE-DIRECTED</t>
        </is>
      </c>
      <c r="H28" s="6" t="inlineStr">
        <is>
          <t>K14 Source &amp; vendor verification</t>
        </is>
      </c>
      <c r="I28" s="6" t="inlineStr">
        <is>
          <t>G5 Housekeeping / no block</t>
        </is>
      </c>
      <c r="J28" s="6" t="inlineStr">
        <is>
          <t>Low</t>
        </is>
      </c>
      <c r="K28" s="6" t="n">
        <v>121</v>
      </c>
      <c r="L28" s="6" t="inlineStr">
        <is>
          <t>W2 Desk work (no model runs)</t>
        </is>
      </c>
      <c r="M28" s="6" t="inlineStr">
        <is>
          <t>S13</t>
        </is>
      </c>
      <c r="N28" s="6" t="inlineStr">
        <is>
          <t>Lead / team</t>
        </is>
      </c>
      <c r="O28" s="6" t="inlineStr">
        <is>
          <t>Closed; moved to Archive</t>
        </is>
      </c>
      <c r="P28" s="6" t="inlineStr">
        <is>
          <t>No</t>
        </is>
      </c>
      <c r="Q28" s="6" t="inlineStr">
        <is>
          <t>Claim to test</t>
        </is>
      </c>
      <c r="R28" s="6" t="inlineStr">
        <is>
          <t>Item</t>
        </is>
      </c>
      <c r="S28" s="6" t="inlineStr"/>
      <c r="T28" s="6" t="inlineStr">
        <is>
          <t>REQ-A1 A3: Keyword and symbolic search 'will never work here'. Conflicts with A1's framing (T2).</t>
        </is>
      </c>
      <c r="U28"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28" s="6" t="inlineStr">
        <is>
          <t>Closed 2026-10-20: criterion met (the conflict with A1's framing is recorded; both are task- and data-dependent in the sources).</t>
        </is>
      </c>
      <c r="W28" s="6" t="inlineStr"/>
      <c r="X28" s="6" t="inlineStr"/>
      <c r="Y28" s="6" t="inlineStr"/>
      <c r="Z28" s="6" t="inlineStr"/>
      <c r="AA28" s="6" t="inlineStr"/>
      <c r="AB28" s="6" t="inlineStr">
        <is>
          <t>SOURCE</t>
        </is>
      </c>
      <c r="AC28" s="6" t="inlineStr">
        <is>
          <t>n/a (REGISTER E)</t>
        </is>
      </c>
      <c r="AD28" s="6" t="inlineStr">
        <is>
          <t>NEW (repo sweep)</t>
        </is>
      </c>
      <c r="AE28" s="6" t="inlineStr">
        <is>
          <t>2026-10-20</t>
        </is>
      </c>
      <c r="AF28" s="6" t="inlineStr">
        <is>
          <t>FND-0027; FND-0018; FND-0031; EXT-0207, EXT-0210</t>
        </is>
      </c>
      <c r="AG28" s="6" t="inlineStr"/>
      <c r="AH28" s="6" t="inlineStr">
        <is>
          <t>No</t>
        </is>
      </c>
      <c r="AI28" s="6" t="inlineStr">
        <is>
          <t>Closed 2026-10-20 as a literature check done: keyword retrieval is neither useless nor competitive with the strongest encoders on the stored metrics; our setting untested.</t>
        </is>
      </c>
      <c r="AJ28" s="6" t="inlineStr">
        <is>
          <t>repo: REGISTER section E / EXT-0004</t>
        </is>
      </c>
      <c r="AK28" s="6" t="inlineStr">
        <is>
          <t>REQ-A1 A3</t>
        </is>
      </c>
      <c r="AL28" s="6" t="inlineStr">
        <is>
          <t>S11</t>
        </is>
      </c>
    </row>
    <row r="29" ht="300" customHeight="1">
      <c r="A29" s="5" t="inlineStr">
        <is>
          <t>AS-04</t>
        </is>
      </c>
      <c r="B29" s="6" t="inlineStr">
        <is>
          <t>Supervisor assertion A4: Tool use works because descriptions give the LLM an assumption about behaviour</t>
        </is>
      </c>
      <c r="C29" s="6" t="inlineStr">
        <is>
          <t>CLOSED - BY EVIDENCE</t>
        </is>
      </c>
      <c r="D29" s="6" t="inlineStr">
        <is>
          <t>No</t>
        </is>
      </c>
      <c r="E29" s="6" t="inlineStr"/>
      <c r="F29" s="6" t="inlineStr"/>
      <c r="G29" s="11" t="inlineStr">
        <is>
          <t>LITERATURE-DIRECTED</t>
        </is>
      </c>
      <c r="H29" s="6" t="inlineStr">
        <is>
          <t>K14 Source &amp; vendor verification</t>
        </is>
      </c>
      <c r="I29" s="6" t="inlineStr">
        <is>
          <t>G5 Housekeeping / no block</t>
        </is>
      </c>
      <c r="J29" s="6" t="inlineStr">
        <is>
          <t>Low</t>
        </is>
      </c>
      <c r="K29" s="6" t="n">
        <v>122</v>
      </c>
      <c r="L29" s="6" t="inlineStr">
        <is>
          <t>W2 Desk work (no model runs)</t>
        </is>
      </c>
      <c r="M29" s="6" t="inlineStr">
        <is>
          <t>S13</t>
        </is>
      </c>
      <c r="N29" s="6" t="inlineStr">
        <is>
          <t>Lead / team</t>
        </is>
      </c>
      <c r="O29" s="6" t="inlineStr">
        <is>
          <t>Closed; moved to Archive</t>
        </is>
      </c>
      <c r="P29" s="6" t="inlineStr">
        <is>
          <t>No</t>
        </is>
      </c>
      <c r="Q29" s="6" t="inlineStr">
        <is>
          <t>Claim to test</t>
        </is>
      </c>
      <c r="R29" s="6" t="inlineStr">
        <is>
          <t>Item</t>
        </is>
      </c>
      <c r="S29" s="6" t="inlineStr"/>
      <c r="T29" s="6" t="inlineStr">
        <is>
          <t>REQ-A1 A4: Tool use works because descriptions give the LLM an assumption about behaviour. Plausible; testable (misleading-description studies).</t>
        </is>
      </c>
      <c r="U29"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29" s="6" t="inlineStr">
        <is>
          <t>Closed 2026-10-19: the misleading-description study was found, read and quantified; its limits are recorded.</t>
        </is>
      </c>
      <c r="W29" s="6" t="inlineStr"/>
      <c r="X29" s="6" t="inlineStr"/>
      <c r="Y29" s="6" t="inlineStr"/>
      <c r="Z29" s="6" t="inlineStr"/>
      <c r="AA29" s="6" t="inlineStr"/>
      <c r="AB29" s="6" t="inlineStr">
        <is>
          <t>SOURCE</t>
        </is>
      </c>
      <c r="AC29" s="6" t="inlineStr">
        <is>
          <t>n/a (REGISTER E)</t>
        </is>
      </c>
      <c r="AD29" s="6" t="inlineStr">
        <is>
          <t>NEW (repo sweep)</t>
        </is>
      </c>
      <c r="AE29" s="6" t="inlineStr">
        <is>
          <t>2026-10-19</t>
        </is>
      </c>
      <c r="AF29" s="6" t="inlineStr">
        <is>
          <t>FND-0027 (findings/SUM-0029); EXT-0209, EXT-0210, EXT-0212, EXT-0213, EXT-0214</t>
        </is>
      </c>
      <c r="AG29" s="6" t="inlineStr"/>
      <c r="AH29" s="6" t="inlineStr">
        <is>
          <t>No</t>
        </is>
      </c>
      <c r="AI29"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29" s="6" t="inlineStr">
        <is>
          <t>repo: REGISTER section E / EXT-0004</t>
        </is>
      </c>
      <c r="AK29" s="6" t="inlineStr">
        <is>
          <t>REQ-A1 A4</t>
        </is>
      </c>
      <c r="AL29" s="6" t="inlineStr">
        <is>
          <t>S11</t>
        </is>
      </c>
    </row>
    <row r="30" ht="153" customHeight="1">
      <c r="A30" s="5" t="inlineStr">
        <is>
          <t>AS-05</t>
        </is>
      </c>
      <c r="B30" s="6" t="inlineStr">
        <is>
          <t>Supervisor assertion A5: Query expansion helps because it surfaces terms matching tool descriptions; already known, not novel</t>
        </is>
      </c>
      <c r="C30" s="6" t="inlineStr">
        <is>
          <t>CLOSED - BY EVIDENCE</t>
        </is>
      </c>
      <c r="D30" s="6" t="inlineStr">
        <is>
          <t>No</t>
        </is>
      </c>
      <c r="E30" s="6" t="inlineStr"/>
      <c r="F30" s="6" t="inlineStr"/>
      <c r="G30" s="11" t="inlineStr">
        <is>
          <t>LITERATURE-DIRECTED</t>
        </is>
      </c>
      <c r="H30" s="6" t="inlineStr">
        <is>
          <t>K14 Source &amp; vendor verification</t>
        </is>
      </c>
      <c r="I30" s="6" t="inlineStr">
        <is>
          <t>G5 Housekeeping / no block</t>
        </is>
      </c>
      <c r="J30" s="6" t="inlineStr">
        <is>
          <t>Low</t>
        </is>
      </c>
      <c r="K30" s="6" t="n">
        <v>123</v>
      </c>
      <c r="L30" s="6" t="inlineStr">
        <is>
          <t>W2 Desk work (no model runs)</t>
        </is>
      </c>
      <c r="M30" s="6" t="inlineStr">
        <is>
          <t>S13</t>
        </is>
      </c>
      <c r="N30" s="6" t="inlineStr">
        <is>
          <t>Lead / team</t>
        </is>
      </c>
      <c r="O30" s="6" t="inlineStr">
        <is>
          <t>Closed; moved to Archive</t>
        </is>
      </c>
      <c r="P30" s="6" t="inlineStr">
        <is>
          <t>No</t>
        </is>
      </c>
      <c r="Q30" s="6" t="inlineStr">
        <is>
          <t>Claim to test</t>
        </is>
      </c>
      <c r="R30" s="6" t="inlineStr">
        <is>
          <t>Item</t>
        </is>
      </c>
      <c r="S30" s="6" t="inlineStr"/>
      <c r="T30" s="6" t="inlineStr">
        <is>
          <t>REQ-A1 A5: Query expansion helps because it surfaces terms matching tool descriptions; already known, not novel. Prior-art claim to verify.</t>
        </is>
      </c>
      <c r="U30"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30" s="6" t="inlineStr">
        <is>
          <t>Closed 2026-10-19: criterion 'prior-art claim to verify' met for existence of published prior art.</t>
        </is>
      </c>
      <c r="W30" s="6" t="inlineStr"/>
      <c r="X30" s="6" t="inlineStr"/>
      <c r="Y30" s="6" t="inlineStr"/>
      <c r="Z30" s="6" t="inlineStr"/>
      <c r="AA30" s="6" t="inlineStr"/>
      <c r="AB30" s="6" t="inlineStr">
        <is>
          <t>SOURCE</t>
        </is>
      </c>
      <c r="AC30" s="6" t="inlineStr">
        <is>
          <t>n/a (REGISTER E)</t>
        </is>
      </c>
      <c r="AD30" s="6" t="inlineStr">
        <is>
          <t>NEW (repo sweep)</t>
        </is>
      </c>
      <c r="AE30" s="6" t="inlineStr">
        <is>
          <t>2026-10-19</t>
        </is>
      </c>
      <c r="AF30" s="6" t="inlineStr">
        <is>
          <t>FND-0018 (findings/SUM-0020); EXT-0181, EXT-0182; stored texts evidence/literature-20261019/lit-tooldreamer-2510.19791.txt, lit-stackone-bm25-hybrid.txt, lit-langchain-progressive-disclosure.txt, lit-embabel-unfolding-tool.txt</t>
        </is>
      </c>
      <c r="AG30" s="6" t="inlineStr">
        <is>
          <t>If the cited earlier works (Kachuee 2025 and others) are needed for a novelty statement</t>
        </is>
      </c>
      <c r="AH30" s="6" t="inlineStr">
        <is>
          <t>No</t>
        </is>
      </c>
      <c r="AI30"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30" s="6" t="inlineStr">
        <is>
          <t>repo: REGISTER section E / EXT-0004</t>
        </is>
      </c>
      <c r="AK30" s="6" t="inlineStr">
        <is>
          <t>REQ-A1 A5</t>
        </is>
      </c>
      <c r="AL30" s="6" t="inlineStr">
        <is>
          <t>S11</t>
        </is>
      </c>
    </row>
    <row r="31" ht="300" customHeight="1">
      <c r="A31" s="5" t="inlineStr">
        <is>
          <t>C-S08/VOCAB</t>
        </is>
      </c>
      <c r="B31" s="6" t="inlineStr">
        <is>
          <t>Different-vocabulary literature pass not done (agentic retrieval, tool abstention, function hallucination, MCP gateway)</t>
        </is>
      </c>
      <c r="C31" s="6" t="inlineStr">
        <is>
          <t>CLOSED - BY EVIDENCE</t>
        </is>
      </c>
      <c r="D31" s="6" t="inlineStr">
        <is>
          <t>No</t>
        </is>
      </c>
      <c r="E31" s="6" t="inlineStr"/>
      <c r="F31" s="6" t="inlineStr"/>
      <c r="G31" s="11" t="inlineStr">
        <is>
          <t>LITERATURE-DIRECTED</t>
        </is>
      </c>
      <c r="H31" s="6" t="inlineStr">
        <is>
          <t>K8 Search initiation &amp; recovery</t>
        </is>
      </c>
      <c r="I31" s="6" t="inlineStr">
        <is>
          <t>G3 Before confirmatory study</t>
        </is>
      </c>
      <c r="J31" s="6" t="inlineStr">
        <is>
          <t>Normal</t>
        </is>
      </c>
      <c r="K31" s="6" t="n">
        <v>126</v>
      </c>
      <c r="L31" s="6" t="inlineStr">
        <is>
          <t>W2 Desk work (no model runs)</t>
        </is>
      </c>
      <c r="M31" s="6" t="inlineStr">
        <is>
          <t>S13</t>
        </is>
      </c>
      <c r="N31" s="6" t="inlineStr">
        <is>
          <t>Team</t>
        </is>
      </c>
      <c r="O31" s="6" t="inlineStr">
        <is>
          <t>Closed; moved to Archive</t>
        </is>
      </c>
      <c r="P31" s="6" t="inlineStr">
        <is>
          <t>No</t>
        </is>
      </c>
      <c r="Q31" s="6" t="inlineStr">
        <is>
          <t>Scientific unknown</t>
        </is>
      </c>
      <c r="R31" s="6" t="inlineStr">
        <is>
          <t>Sub-item</t>
        </is>
      </c>
      <c r="S31" s="6" t="inlineStr">
        <is>
          <t>C-S08</t>
        </is>
      </c>
      <c r="T31" s="6" t="inlineStr">
        <is>
          <t>The search sample is search-engine driven and recent-preprint heavy; a bounded different-vocabulary pass was proposed (CH-0067, CH-0073) and is listed as not done in v4-05 section 5.</t>
        </is>
      </c>
      <c r="U31"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31" s="6" t="inlineStr">
        <is>
          <t>Closed 2026-10-20: criterion 'a bounded pass run with logged queries, saturation stated' met.</t>
        </is>
      </c>
      <c r="W31" s="6" t="inlineStr"/>
      <c r="X31" s="6" t="inlineStr"/>
      <c r="Y31" s="6" t="inlineStr">
        <is>
          <t>Q-U21</t>
        </is>
      </c>
      <c r="Z31" s="6" t="inlineStr"/>
      <c r="AA31" s="6" t="inlineStr"/>
      <c r="AB31" s="6" t="inlineStr">
        <is>
          <t>SOURCE</t>
        </is>
      </c>
      <c r="AC31" s="6" t="inlineStr">
        <is>
          <t>n/a (sub-item)</t>
        </is>
      </c>
      <c r="AD31" s="6" t="inlineStr">
        <is>
          <t>NEW (SRC-11 sub-row)</t>
        </is>
      </c>
      <c r="AE31" s="6" t="inlineStr">
        <is>
          <t>2026-10-20</t>
        </is>
      </c>
      <c r="AF31" s="6" t="inlineStr">
        <is>
          <t>ops/threads/T-20261019-102/TASK.md (query log); literature README; FND-0016, FND-0018</t>
        </is>
      </c>
      <c r="AG31" s="6" t="inlineStr"/>
      <c r="AH31" s="6" t="inlineStr">
        <is>
          <t>No (AUTH-016 covers web fetches for this item)</t>
        </is>
      </c>
      <c r="AI31" s="6" t="inlineStr">
        <is>
          <t>Closed 2026-10-20: a bounded different-vocabulary pass was run with logged queries; saturation is stated as not claimed.</t>
        </is>
      </c>
      <c r="AJ31" s="6" t="inlineStr">
        <is>
          <t>repo: v4-05 sections 1B, 3, 4; reviews RV-0006/0007</t>
        </is>
      </c>
      <c r="AK31" s="6" t="inlineStr">
        <is>
          <t>CH-0067, CH-0073</t>
        </is>
      </c>
      <c r="AL31" s="6" t="inlineStr">
        <is>
          <t>S13</t>
        </is>
      </c>
    </row>
    <row r="32" ht="240.5" customHeight="1">
      <c r="A32" s="5" t="inlineStr">
        <is>
          <t>N-6/SKILLMEM</t>
        </is>
      </c>
      <c r="B32" s="6" t="inlineStr">
        <is>
          <t>Procedural/skill-memory literature surfaced by one search, not read</t>
        </is>
      </c>
      <c r="C32" s="6" t="inlineStr">
        <is>
          <t>CLOSED - BY EVIDENCE</t>
        </is>
      </c>
      <c r="D32" s="6" t="inlineStr">
        <is>
          <t>No</t>
        </is>
      </c>
      <c r="E32" s="6" t="inlineStr"/>
      <c r="F32" s="6" t="inlineStr"/>
      <c r="G32" s="11" t="inlineStr">
        <is>
          <t>LITERATURE-DIRECTED</t>
        </is>
      </c>
      <c r="H32" s="6" t="inlineStr">
        <is>
          <t>K4 Memory &amp; sessions</t>
        </is>
      </c>
      <c r="I32" s="6" t="inlineStr">
        <is>
          <t>G3 Before confirmatory study</t>
        </is>
      </c>
      <c r="J32" s="6" t="inlineStr">
        <is>
          <t>Normal</t>
        </is>
      </c>
      <c r="K32" s="6" t="n">
        <v>127</v>
      </c>
      <c r="L32" s="6" t="inlineStr">
        <is>
          <t>W2 Desk work (no model runs)</t>
        </is>
      </c>
      <c r="M32" s="6" t="inlineStr">
        <is>
          <t>S13</t>
        </is>
      </c>
      <c r="N32" s="6" t="inlineStr">
        <is>
          <t>Lead</t>
        </is>
      </c>
      <c r="O32" s="6" t="inlineStr">
        <is>
          <t>Closed; moved to Archive</t>
        </is>
      </c>
      <c r="P32" s="6" t="inlineStr">
        <is>
          <t>No</t>
        </is>
      </c>
      <c r="Q32" s="6" t="inlineStr">
        <is>
          <t>Source check</t>
        </is>
      </c>
      <c r="R32" s="6" t="inlineStr">
        <is>
          <t>Sub-item</t>
        </is>
      </c>
      <c r="S32" s="6" t="inlineStr">
        <is>
          <t>N-6</t>
        </is>
      </c>
      <c r="T32" s="6" t="inlineStr">
        <is>
          <t>RV-0006 and v4-05: procedural or skill-memory work (surfaced by one search) may bear on cross-session tool memory and was not read [U].</t>
        </is>
      </c>
      <c r="U32"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32" s="6" t="inlineStr">
        <is>
          <t>Closed 2026-10-19: criterion 'directed search done; related work read or ruled out' met for the five texts; unread parts listed in FND-0017.</t>
        </is>
      </c>
      <c r="W32" s="6" t="inlineStr"/>
      <c r="X32" s="6" t="inlineStr"/>
      <c r="Y32" s="6" t="inlineStr"/>
      <c r="Z32" s="6" t="inlineStr"/>
      <c r="AA32" s="6" t="inlineStr"/>
      <c r="AB32" s="6" t="inlineStr">
        <is>
          <t>SOURCE</t>
        </is>
      </c>
      <c r="AC32" s="6" t="inlineStr">
        <is>
          <t>n/a (sub-item)</t>
        </is>
      </c>
      <c r="AD32" s="6" t="inlineStr">
        <is>
          <t>NEW (repo sweep)</t>
        </is>
      </c>
      <c r="AE32" s="6" t="inlineStr">
        <is>
          <t>2026-10-19</t>
        </is>
      </c>
      <c r="AF32" s="6" t="inlineStr">
        <is>
          <t>FND-0017 (findings/SUM-0019); stored texts evidence/literature-20261019/lit-skilllens-2605.08386.txt, lit-procmem-2602.01869.txt (the paper is titled Skill-Pro), lit-codemem-2512.15813.txt, lit-efficientagents-2601.14192.txt, lit-memskill-2609.16669.txt</t>
        </is>
      </c>
      <c r="AG32" s="6" t="inlineStr">
        <is>
          <t>If Graph of Skills, SkillRouter or another cited work is judged to bear on tool-existence memory</t>
        </is>
      </c>
      <c r="AH32" s="6" t="inlineStr">
        <is>
          <t>No (AUTH-016 covers web fetches for this item)</t>
        </is>
      </c>
      <c r="AI32"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32" s="6" t="inlineStr">
        <is>
          <t>repo: RV-0006; v4-05 section 1C</t>
        </is>
      </c>
      <c r="AK32" s="6" t="inlineStr"/>
      <c r="AL32" s="6" t="inlineStr">
        <is>
          <t>S13</t>
        </is>
      </c>
    </row>
    <row r="33" ht="215.5" customHeight="1">
      <c r="A33" s="5" t="inlineStr">
        <is>
          <t>C-R01/C01</t>
        </is>
      </c>
      <c r="B33" s="6" t="inlineStr">
        <is>
          <t>D4: arm choice, multiplicity, test-split failure</t>
        </is>
      </c>
      <c r="C33" s="6" t="inlineStr">
        <is>
          <t>CLOSED - BY EVIDENCE</t>
        </is>
      </c>
      <c r="D33" s="6" t="inlineStr">
        <is>
          <t>No</t>
        </is>
      </c>
      <c r="E33" s="6" t="inlineStr"/>
      <c r="F33" s="6" t="inlineStr"/>
      <c r="G33" s="8" t="inlineStr">
        <is>
          <t>RECORDS-AT-HAND</t>
        </is>
      </c>
      <c r="H33" s="6" t="inlineStr">
        <is>
          <t>K17 Record repair &amp; procedure error</t>
        </is>
      </c>
      <c r="I33" s="6" t="inlineStr">
        <is>
          <t>G3 Before confirmatory study</t>
        </is>
      </c>
      <c r="J33" s="6" t="inlineStr">
        <is>
          <t>Normal</t>
        </is>
      </c>
      <c r="K33" s="6" t="n">
        <v>129</v>
      </c>
      <c r="L33" s="6" t="inlineStr">
        <is>
          <t>W2 Desk work (no model runs)</t>
        </is>
      </c>
      <c r="M33" s="6" t="inlineStr">
        <is>
          <t>S15</t>
        </is>
      </c>
      <c r="N33" s="6" t="inlineStr">
        <is>
          <t>Lead + fresh reviewer</t>
        </is>
      </c>
      <c r="O33" s="6" t="inlineStr">
        <is>
          <t>Closed; moved to Archive</t>
        </is>
      </c>
      <c r="P33" s="6" t="inlineStr">
        <is>
          <t>Partly</t>
        </is>
      </c>
      <c r="Q33" s="6" t="inlineStr">
        <is>
          <t>Scientific unknown</t>
        </is>
      </c>
      <c r="R33" s="6" t="inlineStr">
        <is>
          <t>Sub-item</t>
        </is>
      </c>
      <c r="S33" s="6" t="inlineStr">
        <is>
          <t>C-R01</t>
        </is>
      </c>
      <c r="T33" s="6" t="inlineStr">
        <is>
          <t>SRC-06 C01: D4's arm selection, multiplicity and test-split failure handling.</t>
        </is>
      </c>
      <c r="U33"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33" s="6" t="inlineStr">
        <is>
          <t>Closed 2026-10-20: criterion 'independent re-check and a dated fix' met (RV-0008; the v3 D4 text read on this date).</t>
        </is>
      </c>
      <c r="W33" s="6" t="inlineStr"/>
      <c r="X33" s="6" t="inlineStr"/>
      <c r="Y33" s="6" t="inlineStr"/>
      <c r="Z33" s="6" t="inlineStr"/>
      <c r="AA33" s="6" t="inlineStr"/>
      <c r="AB33" s="6" t="inlineStr">
        <is>
          <t>RECORD+DATA</t>
        </is>
      </c>
      <c r="AC33" s="6" t="inlineStr">
        <is>
          <t>n/a (sub-item)</t>
        </is>
      </c>
      <c r="AD33" s="6" t="inlineStr">
        <is>
          <t>NEW (SRC-11 sub-row)</t>
        </is>
      </c>
      <c r="AE33" s="6" t="inlineStr">
        <is>
          <t>2026-10-20</t>
        </is>
      </c>
      <c r="AF33" s="6" t="inlineStr">
        <is>
          <t>reviews/RV-0008.md (fresh reviewer, same model family, read the current text); design/package-v3/02-supervisor-decision-graph.md:63; design/package-v4/06-corrections-proposed.md</t>
        </is>
      </c>
      <c r="AG33" s="6" t="inlineStr"/>
      <c r="AH33" s="6" t="inlineStr">
        <is>
          <t>No</t>
        </is>
      </c>
      <c r="AI33" s="6" t="inlineStr">
        <is>
          <t>Closed 2026-10-20: the arm-selection, multiplicity and failed-confirmation rules exist in the text and were independently re-read; the table's content is a decision carried by C-D08/ARMS and C-S14/MULT.</t>
        </is>
      </c>
      <c r="AJ33" s="6" t="inlineStr">
        <is>
          <t>SRC-11 section D4</t>
        </is>
      </c>
      <c r="AK33" s="6" t="inlineStr">
        <is>
          <t>SRC-06 C01, CH-0040</t>
        </is>
      </c>
      <c r="AL33" s="6" t="inlineStr">
        <is>
          <t>S09</t>
        </is>
      </c>
    </row>
    <row r="34" ht="115.5" customHeight="1">
      <c r="A34" s="5" t="inlineStr">
        <is>
          <t>C-R01/C02</t>
        </is>
      </c>
      <c r="B34" s="6" t="inlineStr">
        <is>
          <t>Annotations / substitute reference</t>
        </is>
      </c>
      <c r="C34" s="6" t="inlineStr">
        <is>
          <t>CLOSED - BY EVIDENCE</t>
        </is>
      </c>
      <c r="D34" s="6" t="inlineStr">
        <is>
          <t>No</t>
        </is>
      </c>
      <c r="E34" s="6" t="inlineStr"/>
      <c r="F34" s="6" t="inlineStr"/>
      <c r="G34" s="8" t="inlineStr">
        <is>
          <t>RECORDS-AT-HAND</t>
        </is>
      </c>
      <c r="H34" s="6" t="inlineStr">
        <is>
          <t>K17 Record repair &amp; procedure error</t>
        </is>
      </c>
      <c r="I34" s="6" t="inlineStr">
        <is>
          <t>G3 Before confirmatory study</t>
        </is>
      </c>
      <c r="J34" s="6" t="inlineStr">
        <is>
          <t>Normal</t>
        </is>
      </c>
      <c r="K34" s="6" t="n">
        <v>130</v>
      </c>
      <c r="L34" s="6" t="inlineStr">
        <is>
          <t>W2 Desk work (no model runs)</t>
        </is>
      </c>
      <c r="M34" s="6" t="inlineStr">
        <is>
          <t>S15</t>
        </is>
      </c>
      <c r="N34" s="6" t="inlineStr">
        <is>
          <t>Lead + fresh reviewer</t>
        </is>
      </c>
      <c r="O34" s="6" t="inlineStr">
        <is>
          <t>Closed; moved to Archive</t>
        </is>
      </c>
      <c r="P34" s="6" t="inlineStr">
        <is>
          <t>Partly</t>
        </is>
      </c>
      <c r="Q34" s="6" t="inlineStr">
        <is>
          <t>Scientific unknown</t>
        </is>
      </c>
      <c r="R34" s="6" t="inlineStr">
        <is>
          <t>Sub-item</t>
        </is>
      </c>
      <c r="S34" s="6" t="inlineStr">
        <is>
          <t>C-R01</t>
        </is>
      </c>
      <c r="T34" s="6" t="inlineStr">
        <is>
          <t>SRC-06 C02: source of annotations and the substitute reference.</t>
        </is>
      </c>
      <c r="U34"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34" s="6" t="inlineStr">
        <is>
          <t>Closed 2026-10-20: criterion met (RV-0008 re-check; v4 text).</t>
        </is>
      </c>
      <c r="W34" s="6" t="inlineStr"/>
      <c r="X34" s="6" t="inlineStr"/>
      <c r="Y34" s="6" t="inlineStr"/>
      <c r="Z34" s="6" t="inlineStr"/>
      <c r="AA34" s="6" t="inlineStr"/>
      <c r="AB34" s="6" t="inlineStr">
        <is>
          <t>RECORD+DATA</t>
        </is>
      </c>
      <c r="AC34" s="6" t="inlineStr">
        <is>
          <t>n/a (sub-item)</t>
        </is>
      </c>
      <c r="AD34" s="6" t="inlineStr">
        <is>
          <t>NEW (SRC-11 sub-row)</t>
        </is>
      </c>
      <c r="AE34" s="6" t="inlineStr">
        <is>
          <t>2026-10-20</t>
        </is>
      </c>
      <c r="AF34" s="6" t="inlineStr">
        <is>
          <t>reviews/RV-0008.md (fresh reviewer, same model family, read the current text); design/package-v4/02-policy-graph-and-protocol.md section 4</t>
        </is>
      </c>
      <c r="AG34" s="6" t="inlineStr"/>
      <c r="AH34" s="6" t="inlineStr">
        <is>
          <t>No</t>
        </is>
      </c>
      <c r="AI34" s="6" t="inlineStr">
        <is>
          <t>Closed 2026-10-20: the substitute-reference wording is replaced and independently re-read; the open points are carried by C-S13/POOLDIR and C-D08/STRATA.</t>
        </is>
      </c>
      <c r="AJ34" s="6" t="inlineStr">
        <is>
          <t>SRC-11 section D4</t>
        </is>
      </c>
      <c r="AK34" s="6" t="inlineStr">
        <is>
          <t>SRC-06 C02, CH-0038</t>
        </is>
      </c>
      <c r="AL34" s="6" t="inlineStr">
        <is>
          <t>S09</t>
        </is>
      </c>
    </row>
    <row r="35" ht="115.5" customHeight="1">
      <c r="A35" s="5" t="inlineStr">
        <is>
          <t>C-R01/C05</t>
        </is>
      </c>
      <c r="B35" s="6" t="inlineStr">
        <is>
          <t>Fair baseline / usage knowledge</t>
        </is>
      </c>
      <c r="C35" s="6" t="inlineStr">
        <is>
          <t>CLOSED - BY EVIDENCE</t>
        </is>
      </c>
      <c r="D35" s="6" t="inlineStr">
        <is>
          <t>No</t>
        </is>
      </c>
      <c r="E35" s="6" t="inlineStr"/>
      <c r="F35" s="6" t="inlineStr"/>
      <c r="G35" s="8" t="inlineStr">
        <is>
          <t>RECORDS-AT-HAND</t>
        </is>
      </c>
      <c r="H35" s="6" t="inlineStr">
        <is>
          <t>K17 Record repair &amp; procedure error</t>
        </is>
      </c>
      <c r="I35" s="6" t="inlineStr">
        <is>
          <t>G3 Before confirmatory study</t>
        </is>
      </c>
      <c r="J35" s="6" t="inlineStr">
        <is>
          <t>Normal</t>
        </is>
      </c>
      <c r="K35" s="6" t="n">
        <v>133</v>
      </c>
      <c r="L35" s="6" t="inlineStr">
        <is>
          <t>W2 Desk work (no model runs)</t>
        </is>
      </c>
      <c r="M35" s="6" t="inlineStr">
        <is>
          <t>S15</t>
        </is>
      </c>
      <c r="N35" s="6" t="inlineStr">
        <is>
          <t>Lead + fresh reviewer</t>
        </is>
      </c>
      <c r="O35" s="6" t="inlineStr">
        <is>
          <t>Closed; moved to Archive</t>
        </is>
      </c>
      <c r="P35" s="6" t="inlineStr">
        <is>
          <t>Partly</t>
        </is>
      </c>
      <c r="Q35" s="6" t="inlineStr">
        <is>
          <t>Scientific unknown</t>
        </is>
      </c>
      <c r="R35" s="6" t="inlineStr">
        <is>
          <t>Sub-item</t>
        </is>
      </c>
      <c r="S35" s="6" t="inlineStr">
        <is>
          <t>C-R01</t>
        </is>
      </c>
      <c r="T35" s="6" t="inlineStr">
        <is>
          <t>SRC-06 C05: fair baseline and the usage knowledge a hand-picked core needs.</t>
        </is>
      </c>
      <c r="U35"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35" s="6" t="inlineStr">
        <is>
          <t>Closed 2026-10-20: criterion met (RV-0008 re-check; text quoted).</t>
        </is>
      </c>
      <c r="W35" s="6" t="inlineStr"/>
      <c r="X35" s="6" t="inlineStr"/>
      <c r="Y35" s="6" t="inlineStr"/>
      <c r="Z35" s="6" t="inlineStr"/>
      <c r="AA35" s="6" t="inlineStr"/>
      <c r="AB35" s="6" t="inlineStr">
        <is>
          <t>RECORD+DATA</t>
        </is>
      </c>
      <c r="AC35" s="6" t="inlineStr">
        <is>
          <t>n/a (sub-item)</t>
        </is>
      </c>
      <c r="AD35" s="6" t="inlineStr">
        <is>
          <t>NEW (SRC-11 sub-row)</t>
        </is>
      </c>
      <c r="AE35" s="6" t="inlineStr">
        <is>
          <t>2026-10-20</t>
        </is>
      </c>
      <c r="AF35" s="6" t="inlineStr">
        <is>
          <t>reviews/RV-0008.md (fresh reviewer, same model family, read the current text); design/package-v3/03-comparison.md:35; design/package-v4/01-supervisor-brief.md:86</t>
        </is>
      </c>
      <c r="AG35" s="6" t="inlineStr"/>
      <c r="AH35" s="6" t="inlineStr">
        <is>
          <t>No</t>
        </is>
      </c>
      <c r="AI35" s="6" t="inlineStr">
        <is>
          <t>Closed 2026-10-20: the unfair-baseline wording is corrected and independently re-read.</t>
        </is>
      </c>
      <c r="AJ35" s="6" t="inlineStr">
        <is>
          <t>SRC-11 section D4</t>
        </is>
      </c>
      <c r="AK35" s="6" t="inlineStr">
        <is>
          <t>SRC-06 C05, CH-0043</t>
        </is>
      </c>
      <c r="AL35" s="6" t="inlineStr">
        <is>
          <t>S09</t>
        </is>
      </c>
    </row>
    <row r="36" ht="203" customHeight="1">
      <c r="A36" s="5" t="inlineStr">
        <is>
          <t>C-R01/V4RES</t>
        </is>
      </c>
      <c r="B36" s="6" t="inlineStr">
        <is>
          <t>v4 round-2 residuals R1-R9: fixes applied but not re-verified</t>
        </is>
      </c>
      <c r="C36" s="6" t="inlineStr">
        <is>
          <t>CLOSED - BY EVIDENCE</t>
        </is>
      </c>
      <c r="D36" s="6" t="inlineStr">
        <is>
          <t>No</t>
        </is>
      </c>
      <c r="E36" s="6" t="inlineStr"/>
      <c r="F36" s="6" t="inlineStr"/>
      <c r="G36" s="8" t="inlineStr">
        <is>
          <t>RECORDS-AT-HAND</t>
        </is>
      </c>
      <c r="H36" s="6" t="inlineStr">
        <is>
          <t>K17 Record repair &amp; procedure error</t>
        </is>
      </c>
      <c r="I36" s="6" t="inlineStr">
        <is>
          <t>G4 Before claims</t>
        </is>
      </c>
      <c r="J36" s="6" t="inlineStr">
        <is>
          <t>Normal</t>
        </is>
      </c>
      <c r="K36" s="6" t="n">
        <v>141</v>
      </c>
      <c r="L36" s="6" t="inlineStr">
        <is>
          <t>W2 Desk work (no model runs)</t>
        </is>
      </c>
      <c r="M36" s="6" t="inlineStr">
        <is>
          <t>S15</t>
        </is>
      </c>
      <c r="N36" s="6" t="inlineStr">
        <is>
          <t>Lead + fresh reviewer</t>
        </is>
      </c>
      <c r="O36" s="6" t="inlineStr">
        <is>
          <t>Closed; moved to Archive</t>
        </is>
      </c>
      <c r="P36" s="6" t="inlineStr">
        <is>
          <t>Partly</t>
        </is>
      </c>
      <c r="Q36" s="6" t="inlineStr">
        <is>
          <t>Record fix</t>
        </is>
      </c>
      <c r="R36" s="6" t="inlineStr">
        <is>
          <t>Sub-item</t>
        </is>
      </c>
      <c r="S36" s="6" t="inlineStr">
        <is>
          <t>C-R01</t>
        </is>
      </c>
      <c r="T36"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36"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36" s="6" t="inlineStr">
        <is>
          <t>Closed 2026-10-19: criterion 'a fresh reviewer re-checks the last edits' met; residual defects moved to new rows.</t>
        </is>
      </c>
      <c r="W36" s="6" t="inlineStr"/>
      <c r="X36" s="6" t="inlineStr"/>
      <c r="Y36" s="6" t="inlineStr"/>
      <c r="Z36" s="6" t="inlineStr"/>
      <c r="AA36" s="6" t="inlineStr"/>
      <c r="AB36" s="6" t="inlineStr">
        <is>
          <t>RECORD+SOURCE</t>
        </is>
      </c>
      <c r="AC36" s="6" t="inlineStr">
        <is>
          <t>n/a (sub-item)</t>
        </is>
      </c>
      <c r="AD36" s="6" t="inlineStr">
        <is>
          <t>NEW (repo sweep)</t>
        </is>
      </c>
      <c r="AE36" s="6" t="inlineStr">
        <is>
          <t>2026-10-19</t>
        </is>
      </c>
      <c r="AF36" s="6" t="inlineStr">
        <is>
          <t>RV-0009 (reviews/RV-0009.md), thread T-20261019-104</t>
        </is>
      </c>
      <c r="AG36" s="6" t="inlineStr"/>
      <c r="AH36" s="6" t="inlineStr">
        <is>
          <t>No</t>
        </is>
      </c>
      <c r="AI36" s="6" t="inlineStr">
        <is>
          <t>Closed 2026-10-19: the fixes applied after RV-0005 round 2 were re-read by a fresh reviewer; verified except R1 (partly), tracked in new rows.</t>
        </is>
      </c>
      <c r="AJ36" s="6" t="inlineStr">
        <is>
          <t>repo: v4-03 section 6 / RV-0005 / RV-0007</t>
        </is>
      </c>
      <c r="AK36" s="6" t="inlineStr">
        <is>
          <t>CH-0049, CH-0055, RV-0005 R1-R9</t>
        </is>
      </c>
      <c r="AL36" s="6" t="inlineStr">
        <is>
          <t>S15</t>
        </is>
      </c>
    </row>
    <row r="37" ht="290.5" customHeight="1">
      <c r="A37" s="5" t="inlineStr">
        <is>
          <t>C-R03/C22</t>
        </is>
      </c>
      <c r="B37" s="6" t="inlineStr">
        <is>
          <t>Uniform concessions rely on an incomplete steward</t>
        </is>
      </c>
      <c r="C37" s="6" t="inlineStr">
        <is>
          <t>CLOSED - BY EVIDENCE</t>
        </is>
      </c>
      <c r="D37" s="6" t="inlineStr">
        <is>
          <t>No</t>
        </is>
      </c>
      <c r="E37" s="6" t="inlineStr"/>
      <c r="F37" s="6" t="inlineStr"/>
      <c r="G37" s="8" t="inlineStr">
        <is>
          <t>RECORDS-AT-HAND</t>
        </is>
      </c>
      <c r="H37" s="6" t="inlineStr">
        <is>
          <t>K17 Record repair &amp; procedure error</t>
        </is>
      </c>
      <c r="I37" s="6" t="inlineStr">
        <is>
          <t>G4 Before claims</t>
        </is>
      </c>
      <c r="J37" s="6" t="inlineStr">
        <is>
          <t>Normal</t>
        </is>
      </c>
      <c r="K37" s="6" t="n">
        <v>145</v>
      </c>
      <c r="L37" s="6" t="inlineStr">
        <is>
          <t>W2 Desk work (no model runs)</t>
        </is>
      </c>
      <c r="M37" s="6" t="inlineStr">
        <is>
          <t>S15</t>
        </is>
      </c>
      <c r="N37" s="6" t="inlineStr">
        <is>
          <t>Lead + fresh reviewer</t>
        </is>
      </c>
      <c r="O37" s="6" t="inlineStr">
        <is>
          <t>Closed; moved to Archive</t>
        </is>
      </c>
      <c r="P37" s="6" t="inlineStr">
        <is>
          <t>Partly</t>
        </is>
      </c>
      <c r="Q37" s="6" t="inlineStr">
        <is>
          <t>Record fix</t>
        </is>
      </c>
      <c r="R37" s="6" t="inlineStr">
        <is>
          <t>Sub-item</t>
        </is>
      </c>
      <c r="S37" s="6" t="inlineStr">
        <is>
          <t>C-R03</t>
        </is>
      </c>
      <c r="T37" s="6" t="inlineStr">
        <is>
          <t>SRC-06 C22: uniform concessions in the AUTH-004 thread relied on an incomplete steward.</t>
        </is>
      </c>
      <c r="U37"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37" s="6" t="inlineStr">
        <is>
          <t>Closed 2026-10-20: criterion 'concessions re-checked against sources' met.</t>
        </is>
      </c>
      <c r="W37" s="6" t="inlineStr"/>
      <c r="X37" s="6" t="inlineStr"/>
      <c r="Y37" s="6" t="inlineStr"/>
      <c r="Z37" s="6" t="inlineStr"/>
      <c r="AA37" s="6" t="inlineStr"/>
      <c r="AB37" s="6" t="inlineStr">
        <is>
          <t>RECORD+DATA</t>
        </is>
      </c>
      <c r="AC37" s="6" t="inlineStr">
        <is>
          <t>n/a (sub-item)</t>
        </is>
      </c>
      <c r="AD37" s="6" t="inlineStr">
        <is>
          <t>NEW (SRC-11 sub-row)</t>
        </is>
      </c>
      <c r="AE37" s="6" t="inlineStr">
        <is>
          <t>2026-10-20</t>
        </is>
      </c>
      <c r="AF37" s="6" t="inlineStr">
        <is>
          <t>reviews/RV-0017.md, RV-0018.md, RV-0019.md (fresh reviewers, same model family; RV-0018 ended at its turn limit after CH-0016 and CH-0017 to CH-0019 were done in RV-0019; no shell, so no origin extraction runs)</t>
        </is>
      </c>
      <c r="AG37" s="6" t="inlineStr"/>
      <c r="AH37" s="6" t="inlineStr">
        <is>
          <t>No</t>
        </is>
      </c>
      <c r="AI37" s="6" t="inlineStr">
        <is>
          <t>Closed 2026-10-20: the uniform concessions were re-checked against the sources; all warranted; residual edits tracked in C-R03/C22-RESID.</t>
        </is>
      </c>
      <c r="AJ37" s="6" t="inlineStr">
        <is>
          <t>SRC-11 section D4</t>
        </is>
      </c>
      <c r="AK37" s="6" t="inlineStr">
        <is>
          <t>SRC-06 C22</t>
        </is>
      </c>
      <c r="AL37" s="6" t="inlineStr">
        <is>
          <t>S15</t>
        </is>
      </c>
    </row>
    <row r="38" ht="300" customHeight="1">
      <c r="A38" s="5" t="inlineStr">
        <is>
          <t>C-R03/CMTF</t>
        </is>
      </c>
      <c r="B38" s="6" t="inlineStr">
        <is>
          <t>How CMTF obtains its causal path is unverified</t>
        </is>
      </c>
      <c r="C38" s="6" t="inlineStr">
        <is>
          <t>CLOSED - BY EVIDENCE</t>
        </is>
      </c>
      <c r="D38" s="6" t="inlineStr">
        <is>
          <t>No</t>
        </is>
      </c>
      <c r="E38" s="6" t="inlineStr"/>
      <c r="F38" s="6" t="inlineStr"/>
      <c r="G38" s="14" t="inlineStr">
        <is>
          <t>SOURCE-REREAD</t>
        </is>
      </c>
      <c r="H38" s="6" t="inlineStr">
        <is>
          <t>K17 Record repair &amp; procedure error</t>
        </is>
      </c>
      <c r="I38" s="6" t="inlineStr">
        <is>
          <t>G4 Before claims</t>
        </is>
      </c>
      <c r="J38" s="6" t="inlineStr">
        <is>
          <t>Normal</t>
        </is>
      </c>
      <c r="K38" s="6" t="n">
        <v>152</v>
      </c>
      <c r="L38" s="6" t="inlineStr">
        <is>
          <t>W2 Desk work (no model runs)</t>
        </is>
      </c>
      <c r="M38" s="6" t="inlineStr">
        <is>
          <t>S15</t>
        </is>
      </c>
      <c r="N38" s="6" t="inlineStr">
        <is>
          <t>Lead + fresh reviewer</t>
        </is>
      </c>
      <c r="O38" s="6" t="inlineStr">
        <is>
          <t>Closed; moved to Archive</t>
        </is>
      </c>
      <c r="P38" s="6" t="inlineStr">
        <is>
          <t>Yes - stored text, unread</t>
        </is>
      </c>
      <c r="Q38" s="6" t="inlineStr">
        <is>
          <t>Record fix</t>
        </is>
      </c>
      <c r="R38" s="6" t="inlineStr">
        <is>
          <t>Sub-item</t>
        </is>
      </c>
      <c r="S38" s="6" t="inlineStr">
        <is>
          <t>C-R03</t>
        </is>
      </c>
      <c r="T38" s="6" t="inlineStr">
        <is>
          <t>ToolMenuBench's best method (CMTF, 85.7% at 1,125 tokens) is described as using 'the next causally necessary action'; whether it uses information a deployed policy would not have is not verified.</t>
        </is>
      </c>
      <c r="U38"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38" s="6" t="inlineStr">
        <is>
          <t>Closed 2026-10-19: the stored texts say how the causal path is obtained; the brief's 'suggests it uses information a deployed policy would not have' is consistent with them.</t>
        </is>
      </c>
      <c r="W38" s="6" t="inlineStr"/>
      <c r="X38" s="6" t="inlineStr"/>
      <c r="Y38" s="6" t="inlineStr"/>
      <c r="Z38" s="6" t="inlineStr"/>
      <c r="AA38" s="6" t="inlineStr"/>
      <c r="AB38" s="6" t="inlineStr">
        <is>
          <t>RECORD+SOURCE</t>
        </is>
      </c>
      <c r="AC38" s="6" t="inlineStr">
        <is>
          <t>n/a (sub-item)</t>
        </is>
      </c>
      <c r="AD38" s="6" t="inlineStr">
        <is>
          <t>NEW (repo sweep)</t>
        </is>
      </c>
      <c r="AE38" s="6" t="inlineStr">
        <is>
          <t>2026-10-19</t>
        </is>
      </c>
      <c r="AF38" s="6" t="inlineStr">
        <is>
          <t>FND-0025 (findings/SUM-0027); EXT-0205, EXT-0206, EXT-0207, EXT-0208</t>
        </is>
      </c>
      <c r="AG38" s="6" t="inlineStr"/>
      <c r="AH38" s="6" t="inlineStr">
        <is>
          <t>No</t>
        </is>
      </c>
      <c r="AI38" s="6" t="inlineStr">
        <is>
          <t>Closed 2026-10-19: CMTF uses an annotated goal state in ToolMenuBench (given, not inferred); GIST-CMTF infers it among candidates; no deployment evidence.</t>
        </is>
      </c>
      <c r="AJ38" s="6" t="inlineStr">
        <is>
          <t>repo: v4-03 section 6 / RV-0005 / RV-0007</t>
        </is>
      </c>
      <c r="AK38" s="6" t="inlineStr">
        <is>
          <t>RV-0005 R3</t>
        </is>
      </c>
      <c r="AL38" s="6" t="inlineStr">
        <is>
          <t>S15</t>
        </is>
      </c>
    </row>
    <row r="39" ht="215.5" customHeight="1">
      <c r="A39" s="5" t="inlineStr">
        <is>
          <t>C-R03/DIGESTS</t>
        </is>
      </c>
      <c r="B39" s="6" t="inlineStr">
        <is>
          <t>S4F/S4G digest contexts not read by the lead (R8)</t>
        </is>
      </c>
      <c r="C39" s="6" t="inlineStr">
        <is>
          <t>CLOSED - BY EVIDENCE</t>
        </is>
      </c>
      <c r="D39" s="6" t="inlineStr">
        <is>
          <t>No</t>
        </is>
      </c>
      <c r="E39" s="6" t="inlineStr"/>
      <c r="F39" s="6" t="inlineStr"/>
      <c r="G39" s="14" t="inlineStr">
        <is>
          <t>SOURCE-REREAD</t>
        </is>
      </c>
      <c r="H39" s="6" t="inlineStr">
        <is>
          <t>K17 Record repair &amp; procedure error</t>
        </is>
      </c>
      <c r="I39" s="6" t="inlineStr">
        <is>
          <t>G4 Before claims</t>
        </is>
      </c>
      <c r="J39" s="6" t="inlineStr">
        <is>
          <t>Normal</t>
        </is>
      </c>
      <c r="K39" s="6" t="n">
        <v>153</v>
      </c>
      <c r="L39" s="6" t="inlineStr">
        <is>
          <t>W2 Desk work (no model runs)</t>
        </is>
      </c>
      <c r="M39" s="6" t="inlineStr">
        <is>
          <t>S15</t>
        </is>
      </c>
      <c r="N39" s="6" t="inlineStr">
        <is>
          <t>Lead + fresh reviewer</t>
        </is>
      </c>
      <c r="O39" s="6" t="inlineStr">
        <is>
          <t>Closed; moved to Archive</t>
        </is>
      </c>
      <c r="P39" s="6" t="inlineStr">
        <is>
          <t>Yes - stored text, unread</t>
        </is>
      </c>
      <c r="Q39" s="6" t="inlineStr">
        <is>
          <t>Record fix</t>
        </is>
      </c>
      <c r="R39" s="6" t="inlineStr">
        <is>
          <t>Sub-item</t>
        </is>
      </c>
      <c r="S39" s="6" t="inlineStr">
        <is>
          <t>C-R03</t>
        </is>
      </c>
      <c r="T39" s="6" t="inlineStr">
        <is>
          <t>'not clean' is attributed to S4G line 23 and S4F line 41 says '(U)'; the lead did not read the digests beyond the quoted lines.</t>
        </is>
      </c>
      <c r="U39"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39" s="6" t="inlineStr">
        <is>
          <t>Closed 2026-10-19: criterion 'digest lines read in context' met.</t>
        </is>
      </c>
      <c r="W39" s="6" t="inlineStr"/>
      <c r="X39" s="6" t="inlineStr"/>
      <c r="Y39" s="6" t="inlineStr"/>
      <c r="Z39" s="6" t="inlineStr"/>
      <c r="AA39" s="6" t="inlineStr"/>
      <c r="AB39" s="6" t="inlineStr">
        <is>
          <t>RECORD+SOURCE</t>
        </is>
      </c>
      <c r="AC39" s="6" t="inlineStr">
        <is>
          <t>n/a (sub-item)</t>
        </is>
      </c>
      <c r="AD39" s="6" t="inlineStr">
        <is>
          <t>NEW (repo sweep)</t>
        </is>
      </c>
      <c r="AE39" s="6" t="inlineStr">
        <is>
          <t>2026-10-19</t>
        </is>
      </c>
      <c r="AF39" s="6" t="inlineStr">
        <is>
          <t>evidence/governing/stage-reports/S4G-SELECTION-READY-BRIEF-20261015.md:23; evidence/governing/stage-reports/S4F-VEHICLE-FEASIBILITY-REPORT-20261015.md:41; FND-0020 (findings/SUM-0022)</t>
        </is>
      </c>
      <c r="AG39" s="6" t="inlineStr"/>
      <c r="AH39" s="6" t="inlineStr">
        <is>
          <t>No</t>
        </is>
      </c>
      <c r="AI39" s="6" t="inlineStr">
        <is>
          <t>Closed 2026-10-19: the 'not clean' wording in S4G is an interpretation of an S4F unknown (U); the historical records are not rewritten.</t>
        </is>
      </c>
      <c r="AJ39" s="6" t="inlineStr">
        <is>
          <t>repo: v4-03 section 6 / RV-0005 / RV-0007</t>
        </is>
      </c>
      <c r="AK39" s="6" t="inlineStr">
        <is>
          <t>RV-0005 R8</t>
        </is>
      </c>
      <c r="AL39" s="6" t="inlineStr">
        <is>
          <t>S15</t>
        </is>
      </c>
    </row>
    <row r="40" ht="300" customHeight="1">
      <c r="A40" s="5" t="inlineStr">
        <is>
          <t>C-R03/ROUND45</t>
        </is>
      </c>
      <c r="B40" s="6" t="inlineStr">
        <is>
          <t>Literature rounds 4-5 and the corrected text were not challenged</t>
        </is>
      </c>
      <c r="C40" s="6" t="inlineStr">
        <is>
          <t>CLOSED - BY EVIDENCE</t>
        </is>
      </c>
      <c r="D40" s="6" t="inlineStr">
        <is>
          <t>No</t>
        </is>
      </c>
      <c r="E40" s="6" t="inlineStr"/>
      <c r="F40" s="6" t="inlineStr"/>
      <c r="G40" s="14" t="inlineStr">
        <is>
          <t>SOURCE-REREAD</t>
        </is>
      </c>
      <c r="H40" s="6" t="inlineStr">
        <is>
          <t>K17 Record repair &amp; procedure error</t>
        </is>
      </c>
      <c r="I40" s="6" t="inlineStr">
        <is>
          <t>G4 Before claims</t>
        </is>
      </c>
      <c r="J40" s="6" t="inlineStr">
        <is>
          <t>Normal</t>
        </is>
      </c>
      <c r="K40" s="6" t="n">
        <v>154</v>
      </c>
      <c r="L40" s="6" t="inlineStr">
        <is>
          <t>W2 Desk work (no model runs)</t>
        </is>
      </c>
      <c r="M40" s="6" t="inlineStr">
        <is>
          <t>S15</t>
        </is>
      </c>
      <c r="N40" s="6" t="inlineStr">
        <is>
          <t>Lead + fresh reviewer</t>
        </is>
      </c>
      <c r="O40" s="6" t="inlineStr">
        <is>
          <t>Closed; moved to Archive</t>
        </is>
      </c>
      <c r="P40" s="6" t="inlineStr">
        <is>
          <t>Partly</t>
        </is>
      </c>
      <c r="Q40" s="6" t="inlineStr">
        <is>
          <t>Record fix</t>
        </is>
      </c>
      <c r="R40" s="6" t="inlineStr">
        <is>
          <t>Sub-item</t>
        </is>
      </c>
      <c r="S40" s="6" t="inlineStr">
        <is>
          <t>C-R03</t>
        </is>
      </c>
      <c r="T40" s="6" t="inlineStr">
        <is>
          <t>v4-05 header: rounds 4 and 5 and the corrected text have not been re-checked by the challenger; BFCL statistics are the lead's own computation (reproduced in the review).</t>
        </is>
      </c>
      <c r="U40"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40" s="6" t="inlineStr">
        <is>
          <t>Closed 2026-10-20: criterion 'a fresh reviewer checks rounds 4-5' met.</t>
        </is>
      </c>
      <c r="W40" s="6" t="inlineStr"/>
      <c r="X40" s="6" t="inlineStr"/>
      <c r="Y40" s="6" t="inlineStr"/>
      <c r="Z40" s="6" t="inlineStr"/>
      <c r="AA40" s="6" t="inlineStr"/>
      <c r="AB40" s="6" t="inlineStr">
        <is>
          <t>RECORD+SOURCE</t>
        </is>
      </c>
      <c r="AC40" s="6" t="inlineStr">
        <is>
          <t>n/a (sub-item)</t>
        </is>
      </c>
      <c r="AD40" s="6" t="inlineStr">
        <is>
          <t>NEW (repo sweep)</t>
        </is>
      </c>
      <c r="AE40" s="6" t="inlineStr">
        <is>
          <t>2026-10-20</t>
        </is>
      </c>
      <c r="AF40" s="6" t="inlineStr">
        <is>
          <t>reviews/RV-0014.md, RV-0015.md, RV-0016.md (fresh reviewers, same model family, each read the source texts; RV-0014 and RV-0016 ended at their turn limit, drafts); reviews/RV-0010.md; design/package-v4/06-corrections-proposed.md</t>
        </is>
      </c>
      <c r="AG40" s="6" t="inlineStr"/>
      <c r="AH40" s="6" t="inlineStr">
        <is>
          <t>No</t>
        </is>
      </c>
      <c r="AI40" s="6" t="inlineStr">
        <is>
          <t>Closed 2026-10-20: fresh reviewers checked rounds 4-5; defects are tracked in C-R03/ROUND45-W and drafted in the successor note.</t>
        </is>
      </c>
      <c r="AJ40" s="6" t="inlineStr">
        <is>
          <t>repo: v4-03 section 6 / RV-0005 / RV-0007</t>
        </is>
      </c>
      <c r="AK40" s="6" t="inlineStr"/>
      <c r="AL40" s="6" t="inlineStr">
        <is>
          <t>S15</t>
        </is>
      </c>
    </row>
    <row r="41" ht="300" customHeight="1">
      <c r="A41" s="5" t="inlineStr">
        <is>
          <t>C-R03/RV7UNCHK</t>
        </is>
      </c>
      <c r="B41" s="6" t="inlineStr">
        <is>
          <t>RV-0007 'Not checked' list</t>
        </is>
      </c>
      <c r="C41" s="6" t="inlineStr">
        <is>
          <t>CLOSED - BY EVIDENCE</t>
        </is>
      </c>
      <c r="D41" s="6" t="inlineStr">
        <is>
          <t>No</t>
        </is>
      </c>
      <c r="E41" s="6" t="inlineStr"/>
      <c r="F41" s="6" t="inlineStr"/>
      <c r="G41" s="14" t="inlineStr">
        <is>
          <t>SOURCE-REREAD</t>
        </is>
      </c>
      <c r="H41" s="6" t="inlineStr">
        <is>
          <t>K17 Record repair &amp; procedure error</t>
        </is>
      </c>
      <c r="I41" s="6" t="inlineStr">
        <is>
          <t>G4 Before claims</t>
        </is>
      </c>
      <c r="J41" s="6" t="inlineStr">
        <is>
          <t>Normal</t>
        </is>
      </c>
      <c r="K41" s="6" t="n">
        <v>156</v>
      </c>
      <c r="L41" s="6" t="inlineStr">
        <is>
          <t>W2 Desk work (no model runs)</t>
        </is>
      </c>
      <c r="M41" s="6" t="inlineStr">
        <is>
          <t>S15</t>
        </is>
      </c>
      <c r="N41" s="6" t="inlineStr">
        <is>
          <t>Lead + fresh reviewer</t>
        </is>
      </c>
      <c r="O41" s="6" t="inlineStr">
        <is>
          <t>Closed; moved to Archive</t>
        </is>
      </c>
      <c r="P41" s="6" t="inlineStr">
        <is>
          <t>Yes - stored text, unread</t>
        </is>
      </c>
      <c r="Q41" s="6" t="inlineStr">
        <is>
          <t>Record fix</t>
        </is>
      </c>
      <c r="R41" s="6" t="inlineStr">
        <is>
          <t>Sub-item</t>
        </is>
      </c>
      <c r="S41" s="6" t="inlineStr">
        <is>
          <t>C-R03</t>
        </is>
      </c>
      <c r="T41"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41"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41" s="6" t="inlineStr">
        <is>
          <t>Closed 2026-10-20: criterion 'each re-read in the stored literature texts or labelled unchecked' met.</t>
        </is>
      </c>
      <c r="W41" s="6" t="inlineStr"/>
      <c r="X41" s="6" t="inlineStr"/>
      <c r="Y41" s="6" t="inlineStr"/>
      <c r="Z41" s="6" t="inlineStr"/>
      <c r="AA41" s="6" t="inlineStr"/>
      <c r="AB41" s="6" t="inlineStr">
        <is>
          <t>RECORD+SOURCE</t>
        </is>
      </c>
      <c r="AC41" s="6" t="inlineStr">
        <is>
          <t>n/a (sub-item)</t>
        </is>
      </c>
      <c r="AD41" s="6" t="inlineStr">
        <is>
          <t>NEW (repo sweep)</t>
        </is>
      </c>
      <c r="AE41" s="6" t="inlineStr">
        <is>
          <t>2026-10-20</t>
        </is>
      </c>
      <c r="AF41" s="6" t="inlineStr">
        <is>
          <t>FND-0023; reviews/RV-0014.md, RV-0015.md, RV-0016.md (fresh reviewers, same model family, each read the source texts; RV-0014 and RV-0016 ended at their turn limit, drafts); design/package-v4/06-corrections-proposed.md</t>
        </is>
      </c>
      <c r="AG41" s="6" t="inlineStr"/>
      <c r="AH41" s="6" t="inlineStr">
        <is>
          <t>No</t>
        </is>
      </c>
      <c r="AI41" s="6" t="inlineStr">
        <is>
          <t>Closed 2026-10-20: each item re-read in the stored literature texts or labelled unchecked.</t>
        </is>
      </c>
      <c r="AJ41" s="6" t="inlineStr">
        <is>
          <t>repo: v4-03 section 6 / RV-0005 / RV-0007</t>
        </is>
      </c>
      <c r="AK41" s="6" t="inlineStr">
        <is>
          <t>RV-0007 Not checked, CH-0074</t>
        </is>
      </c>
      <c r="AL41" s="6" t="inlineStr">
        <is>
          <t>S15</t>
        </is>
      </c>
    </row>
    <row r="42" ht="300" customHeight="1">
      <c r="A42" s="5" t="inlineStr">
        <is>
          <t>N-17/CH0040</t>
        </is>
      </c>
      <c r="B42" s="6" t="inlineStr">
        <is>
          <t>CH-0040 (a)(b) multiplicity: v3 files say fixed, v4 02 and 03 say still open</t>
        </is>
      </c>
      <c r="C42" s="6" t="inlineStr">
        <is>
          <t>CLOSED - BY EVIDENCE</t>
        </is>
      </c>
      <c r="D42" s="6" t="inlineStr">
        <is>
          <t>No</t>
        </is>
      </c>
      <c r="E42" s="6" t="inlineStr"/>
      <c r="F42" s="6" t="inlineStr"/>
      <c r="G42" s="8" t="inlineStr">
        <is>
          <t>RECORDS-AT-HAND</t>
        </is>
      </c>
      <c r="H42" s="6" t="inlineStr">
        <is>
          <t>K17 Record repair &amp; procedure error</t>
        </is>
      </c>
      <c r="I42" s="6" t="inlineStr">
        <is>
          <t>G4 Before claims</t>
        </is>
      </c>
      <c r="J42" s="6" t="inlineStr">
        <is>
          <t>Normal</t>
        </is>
      </c>
      <c r="K42" s="6" t="n">
        <v>159</v>
      </c>
      <c r="L42" s="6" t="inlineStr">
        <is>
          <t>W2 Desk work (no model runs)</t>
        </is>
      </c>
      <c r="M42" s="6" t="inlineStr">
        <is>
          <t>S15</t>
        </is>
      </c>
      <c r="N42" s="6" t="inlineStr">
        <is>
          <t>Lead drafts, you approve</t>
        </is>
      </c>
      <c r="O42" s="6" t="inlineStr">
        <is>
          <t>Closed; moved to Archive</t>
        </is>
      </c>
      <c r="P42" s="6" t="inlineStr">
        <is>
          <t>Answered (see basis)</t>
        </is>
      </c>
      <c r="Q42" s="6" t="inlineStr">
        <is>
          <t>Record fix</t>
        </is>
      </c>
      <c r="R42" s="6" t="inlineStr">
        <is>
          <t>Sub-item</t>
        </is>
      </c>
      <c r="S42" s="6" t="inlineStr">
        <is>
          <t>N-17</t>
        </is>
      </c>
      <c r="T42"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42"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42" s="6" t="inlineStr">
        <is>
          <t>Closed 2026-10-19: criterion 'the operative text states once whether (a)(b) are fixed or open' is replaced by the question it served ('which is true?'), answered from the v3 and v4 text; the wording correction is drafted under C-R01/V4-03-STALE.</t>
        </is>
      </c>
      <c r="W42" s="6" t="inlineStr"/>
      <c r="X42" s="6" t="inlineStr"/>
      <c r="Y42" s="6" t="inlineStr"/>
      <c r="Z42" s="6" t="inlineStr"/>
      <c r="AA42" s="6" t="inlineStr"/>
      <c r="AB42" s="6" t="inlineStr">
        <is>
          <t>RECORD+DEC</t>
        </is>
      </c>
      <c r="AC42" s="6" t="inlineStr">
        <is>
          <t>n/a (sub-item)</t>
        </is>
      </c>
      <c r="AD42" s="6" t="inlineStr">
        <is>
          <t>NEW (repo sweep)</t>
        </is>
      </c>
      <c r="AE42" s="6" t="inlineStr">
        <is>
          <t>2026-10-19</t>
        </is>
      </c>
      <c r="AF42" s="6" t="inlineStr">
        <is>
          <t>design/package-v3/02-supervisor-decision-graph.md:63; design/package-v3/04-objections-and-experiments.md:13; design/package-v4/02-policy-graph-and-protocol.md:3, 66-70, 92; design/package-v4/03-review-adjudication.md:40; reviews/RV-0008.md (CH-0040)</t>
        </is>
      </c>
      <c r="AG42" s="6" t="inlineStr"/>
      <c r="AH42" s="6" t="inlineStr">
        <is>
          <t>No (editing needs the human's approval)</t>
        </is>
      </c>
      <c r="AI42" s="6" t="inlineStr">
        <is>
          <t>Closed 2026-10-19 by the text: no contradiction on the rule; the table and its size are open as a human decision (CH-0040 stays open for that); the v4 sentence at 02 line 92 and the missing Figure 2 failure branch are tracked in C-R01/V4-03-STALE and C-R01/FIG2.</t>
        </is>
      </c>
      <c r="AJ42" s="6" t="inlineStr">
        <is>
          <t>RV-0008 (Reviewer 6a)</t>
        </is>
      </c>
      <c r="AK42" s="6" t="inlineStr"/>
      <c r="AL42" s="6" t="inlineStr">
        <is>
          <t>S15</t>
        </is>
      </c>
    </row>
    <row r="43" ht="90.5" customHeight="1">
      <c r="A43" s="5" t="inlineStr">
        <is>
          <t>N-18</t>
        </is>
      </c>
      <c r="B43" s="6" t="inlineStr">
        <is>
          <t>v4-05 says the BFCL paper 'was not fetched' but sources.json stores it</t>
        </is>
      </c>
      <c r="C43" s="6" t="inlineStr">
        <is>
          <t>CLOSED - BY EVIDENCE</t>
        </is>
      </c>
      <c r="D43" s="6" t="inlineStr">
        <is>
          <t>No</t>
        </is>
      </c>
      <c r="E43" s="6" t="inlineStr"/>
      <c r="F43" s="6" t="inlineStr"/>
      <c r="G43" s="8" t="inlineStr">
        <is>
          <t>RECORDS-AT-HAND</t>
        </is>
      </c>
      <c r="H43" s="6" t="inlineStr">
        <is>
          <t>K17 Record repair &amp; procedure error</t>
        </is>
      </c>
      <c r="I43" s="6" t="inlineStr">
        <is>
          <t>G5 Housekeeping / no block</t>
        </is>
      </c>
      <c r="J43" s="6" t="inlineStr">
        <is>
          <t>Low</t>
        </is>
      </c>
      <c r="K43" s="6" t="n">
        <v>162</v>
      </c>
      <c r="L43" s="6" t="inlineStr">
        <is>
          <t>W2 Desk work (no model runs)</t>
        </is>
      </c>
      <c r="M43" s="6" t="inlineStr">
        <is>
          <t>S15</t>
        </is>
      </c>
      <c r="N43" s="6" t="inlineStr">
        <is>
          <t>Lead</t>
        </is>
      </c>
      <c r="O43" s="6" t="inlineStr">
        <is>
          <t>Closed; moved to Archive</t>
        </is>
      </c>
      <c r="P43" s="6" t="inlineStr">
        <is>
          <t>Answered (see basis)</t>
        </is>
      </c>
      <c r="Q43" s="6" t="inlineStr">
        <is>
          <t>Record fix</t>
        </is>
      </c>
      <c r="R43" s="6" t="inlineStr">
        <is>
          <t>Item</t>
        </is>
      </c>
      <c r="S43" s="6" t="inlineStr"/>
      <c r="T43" s="6" t="inlineStr">
        <is>
          <t>design/package-v4/05-literature-check-summary.md section 5 says the BFCL paper itself was not fetched; evidence/sources.json lists r3-bfcl (patil25a.pdf, 22 pp, 110 KB text).</t>
        </is>
      </c>
      <c r="U43"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43" s="6" t="inlineStr">
        <is>
          <t>v4-05 wording corrected (successor note).</t>
        </is>
      </c>
      <c r="W43" s="6" t="inlineStr"/>
      <c r="X43" s="6" t="inlineStr"/>
      <c r="Y43" s="6" t="inlineStr"/>
      <c r="Z43" s="6" t="inlineStr"/>
      <c r="AA43" s="6" t="inlineStr"/>
      <c r="AB43" s="6" t="inlineStr">
        <is>
          <t>RECORD</t>
        </is>
      </c>
      <c r="AC43" s="6" t="inlineStr">
        <is>
          <t>n/a (new)</t>
        </is>
      </c>
      <c r="AD43" s="6" t="inlineStr">
        <is>
          <t>NEW (repo sweep)</t>
        </is>
      </c>
      <c r="AE43" s="6" t="inlineStr">
        <is>
          <t>2026-10-19</t>
        </is>
      </c>
      <c r="AF43" s="6" t="inlineStr">
        <is>
          <t>FND-0009 (findings/SUM-0011); evidence/sources.json r3-bfcl; v4-05 section 5</t>
        </is>
      </c>
      <c r="AG43" s="6" t="inlineStr">
        <is>
          <t>If a design record starts to cite one of the six</t>
        </is>
      </c>
      <c r="AH43" s="6" t="inlineStr">
        <is>
          <t>No</t>
        </is>
      </c>
      <c r="AI43" s="6" t="inlineStr">
        <is>
          <t>Closed 2026-10-19; correction recorded in this ledger (C-E02/E20, N-18).</t>
        </is>
      </c>
      <c r="AJ43" s="6" t="inlineStr">
        <is>
          <t>review 19 Oct + repo sweep</t>
        </is>
      </c>
      <c r="AK43" s="6" t="inlineStr"/>
      <c r="AL43" s="6" t="inlineStr">
        <is>
          <t>S15</t>
        </is>
      </c>
    </row>
    <row r="44" ht="140.5" customHeight="1">
      <c r="A44" s="5" t="inlineStr">
        <is>
          <t>C-E03/O7-26</t>
        </is>
      </c>
      <c r="B44" s="6" t="inlineStr">
        <is>
          <t>Vendor figures unreplicated/inconsistent (GitHub 27.5 vs 25.5; Anthropic 85% vs ~89%)</t>
        </is>
      </c>
      <c r="C44" s="6" t="inlineStr">
        <is>
          <t>CLOSED - BY EVIDENCE</t>
        </is>
      </c>
      <c r="D44" s="6" t="inlineStr">
        <is>
          <t>No</t>
        </is>
      </c>
      <c r="E44" s="6" t="inlineStr"/>
      <c r="F44" s="6" t="inlineStr"/>
      <c r="G44" s="14" t="inlineStr">
        <is>
          <t>SOURCE-REREAD</t>
        </is>
      </c>
      <c r="H44" s="6" t="inlineStr">
        <is>
          <t>K14 Source &amp; vendor verification</t>
        </is>
      </c>
      <c r="I44" s="6" t="inlineStr">
        <is>
          <t>G4 Before claims</t>
        </is>
      </c>
      <c r="J44" s="6" t="inlineStr">
        <is>
          <t>Normal</t>
        </is>
      </c>
      <c r="K44" s="6" t="n">
        <v>221</v>
      </c>
      <c r="L44" s="6" t="inlineStr">
        <is>
          <t>W5 Claim-time</t>
        </is>
      </c>
      <c r="M44" s="6" t="inlineStr">
        <is>
          <t>S24</t>
        </is>
      </c>
      <c r="N44" s="6" t="inlineStr">
        <is>
          <t>Lead</t>
        </is>
      </c>
      <c r="O44" s="6" t="inlineStr">
        <is>
          <t>Closed; moved to Archive</t>
        </is>
      </c>
      <c r="P44" s="6" t="inlineStr">
        <is>
          <t>Partly</t>
        </is>
      </c>
      <c r="Q44" s="6" t="inlineStr">
        <is>
          <t>Source check</t>
        </is>
      </c>
      <c r="R44" s="6" t="inlineStr">
        <is>
          <t>Sub-item</t>
        </is>
      </c>
      <c r="S44" s="6" t="inlineStr">
        <is>
          <t>C-E03</t>
        </is>
      </c>
      <c r="T44" s="6" t="inlineStr">
        <is>
          <t>SRC-07 26: vendor figures are unreplicated or inconsistent (GitHub 27.5 vs 25.5; Anthropic 85% vs ~89%).</t>
        </is>
      </c>
      <c r="U44"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44" s="6" t="inlineStr">
        <is>
          <t>Denominators recomputed; vendor report separated from independent results.</t>
        </is>
      </c>
      <c r="W44" s="6" t="inlineStr"/>
      <c r="X44" s="6" t="inlineStr"/>
      <c r="Y44" s="6" t="inlineStr"/>
      <c r="Z44" s="6" t="inlineStr"/>
      <c r="AA44" s="6" t="inlineStr"/>
      <c r="AB44" s="6" t="inlineStr">
        <is>
          <t>SOURCE+DATA</t>
        </is>
      </c>
      <c r="AC44" s="6" t="inlineStr">
        <is>
          <t>n/a (sub-item)</t>
        </is>
      </c>
      <c r="AD44" s="6" t="inlineStr">
        <is>
          <t>NEW (SRC-11 sub-row)</t>
        </is>
      </c>
      <c r="AE44" s="6" t="inlineStr">
        <is>
          <t>2026-10-19</t>
        </is>
      </c>
      <c r="AF44" s="6" t="inlineStr">
        <is>
          <t>FND-0012 (findings/SUM-0014); EXT-0161, EXT-0163</t>
        </is>
      </c>
      <c r="AG44" s="6" t="inlineStr"/>
      <c r="AH44" s="6" t="inlineStr">
        <is>
          <t>No</t>
        </is>
      </c>
      <c r="AI44" s="6" t="inlineStr">
        <is>
          <t>Closed 2026-10-19: denominators recomputed from the pages; the vendor statements are separated from the derived numbers; the discrepancies stay recorded as vendor-page inconsistencies.</t>
        </is>
      </c>
      <c r="AJ44" s="6" t="inlineStr">
        <is>
          <t>SRC-11 section D1</t>
        </is>
      </c>
      <c r="AK44" s="6" t="inlineStr">
        <is>
          <t>SRC-07 26, CAVEATS 8</t>
        </is>
      </c>
      <c r="AL44" s="6" t="inlineStr">
        <is>
          <t>S11</t>
        </is>
      </c>
    </row>
    <row r="45" ht="28" customHeight="1">
      <c r="A45" s="5" t="inlineStr">
        <is>
          <t>A-01</t>
        </is>
      </c>
      <c r="B45" s="6" t="inlineStr">
        <is>
          <t>Oct formulation centres on reducing tool count while keeping accuracy high</t>
        </is>
      </c>
      <c r="C45" s="6" t="inlineStr">
        <is>
          <t>CLOSED - CLAUSE</t>
        </is>
      </c>
      <c r="D45" s="6" t="inlineStr">
        <is>
          <t>No</t>
        </is>
      </c>
      <c r="E45" s="6" t="inlineStr"/>
      <c r="F45" s="6" t="inlineStr"/>
      <c r="G45" s="18" t="inlineStr">
        <is>
          <t>CROSS-REFERENCE</t>
        </is>
      </c>
      <c r="H45" s="6" t="inlineStr">
        <is>
          <t>K2 Objective &amp; accounting</t>
        </is>
      </c>
      <c r="I45" s="6" t="inlineStr">
        <is>
          <t>G5 Housekeeping / no block</t>
        </is>
      </c>
      <c r="J45" s="6" t="inlineStr">
        <is>
          <t>Low</t>
        </is>
      </c>
      <c r="K45" s="6" t="n">
        <v>223</v>
      </c>
      <c r="L45" s="6" t="inlineStr">
        <is>
          <t>W5 Claim-time</t>
        </is>
      </c>
      <c r="M45" s="6" t="inlineStr">
        <is>
          <t>S25</t>
        </is>
      </c>
      <c r="N45" s="6" t="inlineStr">
        <is>
          <t>n/a</t>
        </is>
      </c>
      <c r="O45" s="6" t="inlineStr">
        <is>
          <t>None; closes when its parents close</t>
        </is>
      </c>
      <c r="P45" s="6" t="inlineStr">
        <is>
          <t>Partly</t>
        </is>
      </c>
      <c r="Q45" s="6" t="inlineStr">
        <is>
          <t>Answered clause</t>
        </is>
      </c>
      <c r="R45" s="6" t="inlineStr">
        <is>
          <t>Clause</t>
        </is>
      </c>
      <c r="S45" s="6" t="inlineStr">
        <is>
          <t>C-D02</t>
        </is>
      </c>
      <c r="T45" s="6" t="inlineStr">
        <is>
          <t>Joaa's October spoken formulation centres on reducing the number of tools while keeping accuracy high.</t>
        </is>
      </c>
      <c r="U45" s="6" t="inlineStr">
        <is>
          <t>Corroborated by repo excerpt E1; it does not amend every June clause.</t>
        </is>
      </c>
      <c r="V45" s="6" t="inlineStr">
        <is>
          <t>Closed within the cited record; the parent row keeps the rest.</t>
        </is>
      </c>
      <c r="W45" s="6" t="inlineStr"/>
      <c r="X45" s="6" t="inlineStr"/>
      <c r="Y45" s="6" t="inlineStr"/>
      <c r="Z45" s="6" t="inlineStr"/>
      <c r="AA45" s="6" t="inlineStr"/>
      <c r="AB45" s="6" t="inlineStr"/>
      <c r="AC45" s="6" t="inlineStr">
        <is>
          <t>Answered clause (SRC-11)</t>
        </is>
      </c>
      <c r="AD45" s="6" t="inlineStr">
        <is>
          <t>CLOSED (baseline)</t>
        </is>
      </c>
      <c r="AE45" s="6" t="inlineStr">
        <is>
          <t>2026-10-19</t>
        </is>
      </c>
      <c r="AF45" s="6" t="inlineStr">
        <is>
          <t>SRC-05 ~00:07 (via SRC-09); repo intake E1 (00:07:04) says this</t>
        </is>
      </c>
      <c r="AG45" s="6" t="inlineStr"/>
      <c r="AH45" s="6" t="inlineStr">
        <is>
          <t>No</t>
        </is>
      </c>
      <c r="AI45" s="6" t="inlineStr">
        <is>
          <t>Closed within the cited record at baseline.</t>
        </is>
      </c>
      <c r="AJ45" s="6" t="inlineStr">
        <is>
          <t>SRC-11 'What is answered narrowly already'</t>
        </is>
      </c>
      <c r="AK45" s="6" t="inlineStr"/>
      <c r="AL45" s="6" t="inlineStr">
        <is>
          <t>S01</t>
        </is>
      </c>
    </row>
    <row r="46" ht="40.5" customHeight="1">
      <c r="A46" s="5" t="inlineStr">
        <is>
          <t>A-02</t>
        </is>
      </c>
      <c r="B46" s="6" t="inlineStr">
        <is>
          <t>Context-dependent questions and stages requested; stage count unfixed; filtered tool may return</t>
        </is>
      </c>
      <c r="C46" s="6" t="inlineStr">
        <is>
          <t>CLOSED - CLAUSE</t>
        </is>
      </c>
      <c r="D46" s="6" t="inlineStr">
        <is>
          <t>No</t>
        </is>
      </c>
      <c r="E46" s="6" t="inlineStr"/>
      <c r="F46" s="6" t="inlineStr"/>
      <c r="G46" s="18" t="inlineStr">
        <is>
          <t>CROSS-REFERENCE</t>
        </is>
      </c>
      <c r="H46" s="6" t="inlineStr">
        <is>
          <t>K3 Policy form</t>
        </is>
      </c>
      <c r="I46" s="6" t="inlineStr">
        <is>
          <t>G5 Housekeeping / no block</t>
        </is>
      </c>
      <c r="J46" s="6" t="inlineStr">
        <is>
          <t>Low</t>
        </is>
      </c>
      <c r="K46" s="6" t="n">
        <v>224</v>
      </c>
      <c r="L46" s="6" t="inlineStr">
        <is>
          <t>W5 Claim-time</t>
        </is>
      </c>
      <c r="M46" s="6" t="inlineStr">
        <is>
          <t>S25</t>
        </is>
      </c>
      <c r="N46" s="6" t="inlineStr">
        <is>
          <t>n/a</t>
        </is>
      </c>
      <c r="O46" s="6" t="inlineStr">
        <is>
          <t>None; closes when its parents close</t>
        </is>
      </c>
      <c r="P46" s="6" t="inlineStr">
        <is>
          <t>Partly</t>
        </is>
      </c>
      <c r="Q46" s="6" t="inlineStr">
        <is>
          <t>Answered clause</t>
        </is>
      </c>
      <c r="R46" s="6" t="inlineStr">
        <is>
          <t>Clause</t>
        </is>
      </c>
      <c r="S46" s="6" t="inlineStr">
        <is>
          <t>C-D03</t>
        </is>
      </c>
      <c r="T46" s="6" t="inlineStr">
        <is>
          <t>He requested context-dependent questions and successive stages, did not fix the stage count and allowed a filtered tool to return later.</t>
        </is>
      </c>
      <c r="U46" s="6" t="inlineStr">
        <is>
          <t>Corroborated by repo excerpts E5-E8; does not approve a zero-stage output.</t>
        </is>
      </c>
      <c r="V46" s="6" t="inlineStr">
        <is>
          <t>Closed within the cited record; the parent row keeps the rest.</t>
        </is>
      </c>
      <c r="W46" s="6" t="inlineStr"/>
      <c r="X46" s="6" t="inlineStr"/>
      <c r="Y46" s="6" t="inlineStr"/>
      <c r="Z46" s="6" t="inlineStr"/>
      <c r="AA46" s="6" t="inlineStr"/>
      <c r="AB46" s="6" t="inlineStr"/>
      <c r="AC46" s="6" t="inlineStr">
        <is>
          <t>Answered clause (SRC-11)</t>
        </is>
      </c>
      <c r="AD46" s="6" t="inlineStr">
        <is>
          <t>CLOSED (baseline)</t>
        </is>
      </c>
      <c r="AE46" s="6" t="inlineStr">
        <is>
          <t>2026-10-19</t>
        </is>
      </c>
      <c r="AF46" s="6" t="inlineStr">
        <is>
          <t>SRC-05 ~00:19-00:28; repo intake E5-E8</t>
        </is>
      </c>
      <c r="AG46" s="6" t="inlineStr"/>
      <c r="AH46" s="6" t="inlineStr">
        <is>
          <t>No</t>
        </is>
      </c>
      <c r="AI46" s="6" t="inlineStr">
        <is>
          <t>Closed within the cited record at baseline.</t>
        </is>
      </c>
      <c r="AJ46" s="6" t="inlineStr">
        <is>
          <t>SRC-11 'What is answered narrowly already'</t>
        </is>
      </c>
      <c r="AK46" s="6" t="inlineStr"/>
      <c r="AL46" s="6" t="inlineStr">
        <is>
          <t>S01</t>
        </is>
      </c>
    </row>
    <row r="47" ht="28" customHeight="1">
      <c r="A47" s="5" t="inlineStr">
        <is>
          <t>A-03</t>
        </is>
      </c>
      <c r="B47" s="6" t="inlineStr">
        <is>
          <t>Savings need not occur on every turn</t>
        </is>
      </c>
      <c r="C47" s="6" t="inlineStr">
        <is>
          <t>CLOSED - CLAUSE</t>
        </is>
      </c>
      <c r="D47" s="6" t="inlineStr">
        <is>
          <t>No</t>
        </is>
      </c>
      <c r="E47" s="6" t="inlineStr"/>
      <c r="F47" s="6" t="inlineStr"/>
      <c r="G47" s="18" t="inlineStr">
        <is>
          <t>CROSS-REFERENCE</t>
        </is>
      </c>
      <c r="H47" s="6" t="inlineStr">
        <is>
          <t>K3 Policy form</t>
        </is>
      </c>
      <c r="I47" s="6" t="inlineStr">
        <is>
          <t>G5 Housekeeping / no block</t>
        </is>
      </c>
      <c r="J47" s="6" t="inlineStr">
        <is>
          <t>Low</t>
        </is>
      </c>
      <c r="K47" s="6" t="n">
        <v>225</v>
      </c>
      <c r="L47" s="6" t="inlineStr">
        <is>
          <t>W5 Claim-time</t>
        </is>
      </c>
      <c r="M47" s="6" t="inlineStr">
        <is>
          <t>S25</t>
        </is>
      </c>
      <c r="N47" s="6" t="inlineStr">
        <is>
          <t>n/a</t>
        </is>
      </c>
      <c r="O47" s="6" t="inlineStr">
        <is>
          <t>None; closes when its parents close</t>
        </is>
      </c>
      <c r="P47" s="6" t="inlineStr">
        <is>
          <t>Partly</t>
        </is>
      </c>
      <c r="Q47" s="6" t="inlineStr">
        <is>
          <t>Answered clause</t>
        </is>
      </c>
      <c r="R47" s="6" t="inlineStr">
        <is>
          <t>Clause</t>
        </is>
      </c>
      <c r="S47" s="6" t="inlineStr">
        <is>
          <t>C-D04</t>
        </is>
      </c>
      <c r="T47" s="6" t="inlineStr">
        <is>
          <t>Savings need not occur on every turn; a costlier turn can be accepted over a longer trajectory.</t>
        </is>
      </c>
      <c r="U47" s="6" t="inlineStr">
        <is>
          <t>Second-hand in the repo; whether every stage must pay is separate.</t>
        </is>
      </c>
      <c r="V47" s="6" t="inlineStr">
        <is>
          <t>Closed within the cited record; the parent row keeps the rest.</t>
        </is>
      </c>
      <c r="W47" s="6" t="inlineStr"/>
      <c r="X47" s="6" t="inlineStr"/>
      <c r="Y47" s="6" t="inlineStr"/>
      <c r="Z47" s="6" t="inlineStr"/>
      <c r="AA47" s="6" t="inlineStr"/>
      <c r="AB47" s="6" t="inlineStr"/>
      <c r="AC47" s="6" t="inlineStr">
        <is>
          <t>Answered clause (SRC-11)</t>
        </is>
      </c>
      <c r="AD47" s="6" t="inlineStr">
        <is>
          <t>CLOSED (baseline)</t>
        </is>
      </c>
      <c r="AE47" s="6" t="inlineStr">
        <is>
          <t>2026-10-19</t>
        </is>
      </c>
      <c r="AF47" s="6" t="inlineStr">
        <is>
          <t>SRC-04 ~00:53-00:54; repo EXT-0002 line 27 (transcript L468-L476, second-hand)</t>
        </is>
      </c>
      <c r="AG47" s="6" t="inlineStr"/>
      <c r="AH47" s="6" t="inlineStr">
        <is>
          <t>No</t>
        </is>
      </c>
      <c r="AI47" s="6" t="inlineStr">
        <is>
          <t>Closed within the cited record at baseline.</t>
        </is>
      </c>
      <c r="AJ47" s="6" t="inlineStr">
        <is>
          <t>SRC-11 'What is answered narrowly already'</t>
        </is>
      </c>
      <c r="AK47" s="6" t="inlineStr"/>
      <c r="AL47" s="6" t="inlineStr">
        <is>
          <t>S01</t>
        </is>
      </c>
    </row>
    <row r="48" ht="28" customHeight="1">
      <c r="A48" s="5" t="inlineStr">
        <is>
          <t>A-04</t>
        </is>
      </c>
      <c r="B48" s="6" t="inlineStr">
        <is>
          <t>A sound negative result can still be a thesis</t>
        </is>
      </c>
      <c r="C48" s="6" t="inlineStr">
        <is>
          <t>CLOSED - CLAUSE</t>
        </is>
      </c>
      <c r="D48" s="6" t="inlineStr">
        <is>
          <t>No</t>
        </is>
      </c>
      <c r="E48" s="6" t="inlineStr"/>
      <c r="F48" s="6" t="inlineStr"/>
      <c r="G48" s="18" t="inlineStr">
        <is>
          <t>CROSS-REFERENCE</t>
        </is>
      </c>
      <c r="H48" s="6" t="inlineStr">
        <is>
          <t>K5 Evaluation contract</t>
        </is>
      </c>
      <c r="I48" s="6" t="inlineStr">
        <is>
          <t>G5 Housekeeping / no block</t>
        </is>
      </c>
      <c r="J48" s="6" t="inlineStr">
        <is>
          <t>Low</t>
        </is>
      </c>
      <c r="K48" s="6" t="n">
        <v>226</v>
      </c>
      <c r="L48" s="6" t="inlineStr">
        <is>
          <t>W5 Claim-time</t>
        </is>
      </c>
      <c r="M48" s="6" t="inlineStr">
        <is>
          <t>S25</t>
        </is>
      </c>
      <c r="N48" s="6" t="inlineStr">
        <is>
          <t>n/a</t>
        </is>
      </c>
      <c r="O48" s="6" t="inlineStr">
        <is>
          <t>None; closes when its parents close</t>
        </is>
      </c>
      <c r="P48" s="6" t="inlineStr">
        <is>
          <t>Partly</t>
        </is>
      </c>
      <c r="Q48" s="6" t="inlineStr">
        <is>
          <t>Answered clause</t>
        </is>
      </c>
      <c r="R48" s="6" t="inlineStr">
        <is>
          <t>Clause</t>
        </is>
      </c>
      <c r="S48" s="6" t="inlineStr">
        <is>
          <t>C-D06</t>
        </is>
      </c>
      <c r="T48" s="6" t="inlineStr">
        <is>
          <t>A sound negative result can still be a thesis; systematic evidence matters.</t>
        </is>
      </c>
      <c r="U48" s="6" t="inlineStr">
        <is>
          <t>NOT in the repo's admitted excerpts (E3 says only 'some kind of findings'); see N-20.</t>
        </is>
      </c>
      <c r="V48" s="6" t="inlineStr">
        <is>
          <t>Closed within the cited record; the parent row keeps the rest.</t>
        </is>
      </c>
      <c r="W48" s="6" t="inlineStr"/>
      <c r="X48" s="6" t="inlineStr"/>
      <c r="Y48" s="6" t="inlineStr"/>
      <c r="Z48" s="6" t="inlineStr"/>
      <c r="AA48" s="6" t="inlineStr"/>
      <c r="AB48" s="6" t="inlineStr"/>
      <c r="AC48" s="6" t="inlineStr">
        <is>
          <t>Answered clause (SRC-11)</t>
        </is>
      </c>
      <c r="AD48" s="6" t="inlineStr">
        <is>
          <t>CLOSED (baseline)</t>
        </is>
      </c>
      <c r="AE48" s="6" t="inlineStr">
        <is>
          <t>2026-10-19</t>
        </is>
      </c>
      <c r="AF48" s="6" t="inlineStr">
        <is>
          <t>SRC-05 ~00:12-00:13, ~00:25-00:26 (as reported in SRC-11)</t>
        </is>
      </c>
      <c r="AG48" s="6" t="inlineStr"/>
      <c r="AH48" s="6" t="inlineStr">
        <is>
          <t>No</t>
        </is>
      </c>
      <c r="AI48" s="6" t="inlineStr">
        <is>
          <t>Closed within the cited record at baseline.</t>
        </is>
      </c>
      <c r="AJ48" s="6" t="inlineStr">
        <is>
          <t>SRC-11 'What is answered narrowly already'</t>
        </is>
      </c>
      <c r="AK48" s="6" t="inlineStr"/>
      <c r="AL48" s="6" t="inlineStr">
        <is>
          <t>S01</t>
        </is>
      </c>
    </row>
    <row r="49" ht="40.5" customHeight="1">
      <c r="A49" s="5" t="inlineStr">
        <is>
          <t>A-05</t>
        </is>
      </c>
      <c r="B49" s="6" t="inlineStr">
        <is>
          <t>All-tools exposure and the Executor were discussed as baselines</t>
        </is>
      </c>
      <c r="C49" s="6" t="inlineStr">
        <is>
          <t>CLOSED - CLAUSE</t>
        </is>
      </c>
      <c r="D49" s="6" t="inlineStr">
        <is>
          <t>No</t>
        </is>
      </c>
      <c r="E49" s="6" t="inlineStr"/>
      <c r="F49" s="6" t="inlineStr"/>
      <c r="G49" s="18" t="inlineStr">
        <is>
          <t>CROSS-REFERENCE</t>
        </is>
      </c>
      <c r="H49" s="6" t="inlineStr">
        <is>
          <t>K5 Evaluation contract</t>
        </is>
      </c>
      <c r="I49" s="6" t="inlineStr">
        <is>
          <t>G5 Housekeeping / no block</t>
        </is>
      </c>
      <c r="J49" s="6" t="inlineStr">
        <is>
          <t>Low</t>
        </is>
      </c>
      <c r="K49" s="6" t="n">
        <v>227</v>
      </c>
      <c r="L49" s="6" t="inlineStr">
        <is>
          <t>W5 Claim-time</t>
        </is>
      </c>
      <c r="M49" s="6" t="inlineStr">
        <is>
          <t>S25</t>
        </is>
      </c>
      <c r="N49" s="6" t="inlineStr">
        <is>
          <t>n/a</t>
        </is>
      </c>
      <c r="O49" s="6" t="inlineStr">
        <is>
          <t>None; closes when its parents close</t>
        </is>
      </c>
      <c r="P49" s="6" t="inlineStr">
        <is>
          <t>Partly</t>
        </is>
      </c>
      <c r="Q49" s="6" t="inlineStr">
        <is>
          <t>Answered clause</t>
        </is>
      </c>
      <c r="R49" s="6" t="inlineStr">
        <is>
          <t>Clause</t>
        </is>
      </c>
      <c r="S49" s="6" t="inlineStr">
        <is>
          <t>C-D08</t>
        </is>
      </c>
      <c r="T49" s="6" t="inlineStr">
        <is>
          <t>All-tools exposure and the Executor were discussed as baselines.</t>
        </is>
      </c>
      <c r="U49" s="6" t="inlineStr">
        <is>
          <t>CAVEATS 6: 'Executor as supervisor-named baseline' is a researcher identification; exact arms remain open.</t>
        </is>
      </c>
      <c r="V49" s="6" t="inlineStr">
        <is>
          <t>Closed within the cited record; the parent row keeps the rest.</t>
        </is>
      </c>
      <c r="W49" s="6" t="inlineStr"/>
      <c r="X49" s="6" t="inlineStr"/>
      <c r="Y49" s="6" t="inlineStr"/>
      <c r="Z49" s="6" t="inlineStr"/>
      <c r="AA49" s="6" t="inlineStr"/>
      <c r="AB49" s="6" t="inlineStr"/>
      <c r="AC49" s="6" t="inlineStr">
        <is>
          <t>Answered clause (SRC-11)</t>
        </is>
      </c>
      <c r="AD49" s="6" t="inlineStr">
        <is>
          <t>CLOSED (baseline)</t>
        </is>
      </c>
      <c r="AE49" s="6" t="inlineStr">
        <is>
          <t>2026-10-19</t>
        </is>
      </c>
      <c r="AF49" s="6" t="inlineStr">
        <is>
          <t>SRC-04 ~00:11, ~00:43-00:44 (via SRC-09)</t>
        </is>
      </c>
      <c r="AG49" s="6" t="inlineStr"/>
      <c r="AH49" s="6" t="inlineStr">
        <is>
          <t>No</t>
        </is>
      </c>
      <c r="AI49" s="6" t="inlineStr">
        <is>
          <t>Closed within the cited record at baseline.</t>
        </is>
      </c>
      <c r="AJ49" s="6" t="inlineStr">
        <is>
          <t>SRC-11 'What is answered narrowly already'</t>
        </is>
      </c>
      <c r="AK49" s="6" t="inlineStr"/>
      <c r="AL49" s="6" t="inlineStr">
        <is>
          <t>S01</t>
        </is>
      </c>
    </row>
    <row r="50" ht="28" customHeight="1">
      <c r="A50" s="5" t="inlineStr">
        <is>
          <t>A-06</t>
        </is>
      </c>
      <c r="B50" s="6" t="inlineStr">
        <is>
          <t>A policy draft came before implementation/experiments</t>
        </is>
      </c>
      <c r="C50" s="6" t="inlineStr">
        <is>
          <t>CLOSED - CLAUSE</t>
        </is>
      </c>
      <c r="D50" s="6" t="inlineStr">
        <is>
          <t>No</t>
        </is>
      </c>
      <c r="E50" s="6" t="inlineStr"/>
      <c r="F50" s="6" t="inlineStr"/>
      <c r="G50" s="18" t="inlineStr">
        <is>
          <t>CROSS-REFERENCE</t>
        </is>
      </c>
      <c r="H50" s="6" t="inlineStr">
        <is>
          <t>K6 Deliverable &amp; authorization</t>
        </is>
      </c>
      <c r="I50" s="6" t="inlineStr">
        <is>
          <t>G5 Housekeeping / no block</t>
        </is>
      </c>
      <c r="J50" s="6" t="inlineStr">
        <is>
          <t>Low</t>
        </is>
      </c>
      <c r="K50" s="6" t="n">
        <v>228</v>
      </c>
      <c r="L50" s="6" t="inlineStr">
        <is>
          <t>W5 Claim-time</t>
        </is>
      </c>
      <c r="M50" s="6" t="inlineStr">
        <is>
          <t>S25</t>
        </is>
      </c>
      <c r="N50" s="6" t="inlineStr">
        <is>
          <t>n/a</t>
        </is>
      </c>
      <c r="O50" s="6" t="inlineStr">
        <is>
          <t>None; closes when its parents close</t>
        </is>
      </c>
      <c r="P50" s="6" t="inlineStr">
        <is>
          <t>Partly</t>
        </is>
      </c>
      <c r="Q50" s="6" t="inlineStr">
        <is>
          <t>Answered clause</t>
        </is>
      </c>
      <c r="R50" s="6" t="inlineStr">
        <is>
          <t>Clause</t>
        </is>
      </c>
      <c r="S50" s="6" t="inlineStr">
        <is>
          <t>C-D05</t>
        </is>
      </c>
      <c r="T50" s="6" t="inlineStr">
        <is>
          <t>A policy draft came before implementation or experiments in these meetings.</t>
        </is>
      </c>
      <c r="U50" s="6" t="inlineStr">
        <is>
          <t>Corroborated by E9; evaluation-script boundary open.</t>
        </is>
      </c>
      <c r="V50" s="6" t="inlineStr">
        <is>
          <t>Closed within the cited record; the parent row keeps the rest.</t>
        </is>
      </c>
      <c r="W50" s="6" t="inlineStr"/>
      <c r="X50" s="6" t="inlineStr"/>
      <c r="Y50" s="6" t="inlineStr"/>
      <c r="Z50" s="6" t="inlineStr"/>
      <c r="AA50" s="6" t="inlineStr"/>
      <c r="AB50" s="6" t="inlineStr"/>
      <c r="AC50" s="6" t="inlineStr">
        <is>
          <t>Answered clause (SRC-11)</t>
        </is>
      </c>
      <c r="AD50" s="6" t="inlineStr">
        <is>
          <t>CLOSED (baseline)</t>
        </is>
      </c>
      <c r="AE50" s="6" t="inlineStr">
        <is>
          <t>2026-10-19</t>
        </is>
      </c>
      <c r="AF50" s="6" t="inlineStr">
        <is>
          <t>SRC-04 ~00:52-00:55; SRC-05 ~00:27, ~00:30-00:31; repo intake E9</t>
        </is>
      </c>
      <c r="AG50" s="6" t="inlineStr"/>
      <c r="AH50" s="6" t="inlineStr">
        <is>
          <t>No</t>
        </is>
      </c>
      <c r="AI50" s="6" t="inlineStr">
        <is>
          <t>Closed within the cited record at baseline.</t>
        </is>
      </c>
      <c r="AJ50" s="6" t="inlineStr">
        <is>
          <t>SRC-11 'What is answered narrowly already'</t>
        </is>
      </c>
      <c r="AK50" s="6" t="inlineStr"/>
      <c r="AL50" s="6" t="inlineStr">
        <is>
          <t>S01</t>
        </is>
      </c>
    </row>
    <row r="51" ht="28" customHeight="1">
      <c r="A51" s="5" t="inlineStr">
        <is>
          <t>A-07</t>
        </is>
      </c>
      <c r="B51" s="6" t="inlineStr">
        <is>
          <t>V3 corrected five mathematical/wording errors</t>
        </is>
      </c>
      <c r="C51" s="6" t="inlineStr">
        <is>
          <t>CLOSED - CLAUSE</t>
        </is>
      </c>
      <c r="D51" s="6" t="inlineStr">
        <is>
          <t>No</t>
        </is>
      </c>
      <c r="E51" s="6" t="inlineStr"/>
      <c r="F51" s="6" t="inlineStr"/>
      <c r="G51" s="18" t="inlineStr">
        <is>
          <t>CROSS-REFERENCE</t>
        </is>
      </c>
      <c r="H51" s="6" t="inlineStr">
        <is>
          <t>K17 Record repair &amp; procedure error</t>
        </is>
      </c>
      <c r="I51" s="6" t="inlineStr">
        <is>
          <t>G5 Housekeeping / no block</t>
        </is>
      </c>
      <c r="J51" s="6" t="inlineStr">
        <is>
          <t>Low</t>
        </is>
      </c>
      <c r="K51" s="6" t="n">
        <v>229</v>
      </c>
      <c r="L51" s="6" t="inlineStr">
        <is>
          <t>W5 Claim-time</t>
        </is>
      </c>
      <c r="M51" s="6" t="inlineStr">
        <is>
          <t>S25</t>
        </is>
      </c>
      <c r="N51" s="6" t="inlineStr">
        <is>
          <t>n/a</t>
        </is>
      </c>
      <c r="O51" s="6" t="inlineStr">
        <is>
          <t>None; closes when its parents close</t>
        </is>
      </c>
      <c r="P51" s="6" t="inlineStr">
        <is>
          <t>Partly</t>
        </is>
      </c>
      <c r="Q51" s="6" t="inlineStr">
        <is>
          <t>Answered clause</t>
        </is>
      </c>
      <c r="R51" s="6" t="inlineStr">
        <is>
          <t>Clause</t>
        </is>
      </c>
      <c r="S51" s="6" t="inlineStr">
        <is>
          <t>C-R01</t>
        </is>
      </c>
      <c r="T51" s="6" t="inlineStr">
        <is>
          <t>V3 corrected five mathematical or wording errors.</t>
        </is>
      </c>
      <c r="U51" s="6" t="inlineStr">
        <is>
          <t>Textual correction, not validation.</t>
        </is>
      </c>
      <c r="V51" s="6" t="inlineStr">
        <is>
          <t>Closed within the cited record; the parent row keeps the rest.</t>
        </is>
      </c>
      <c r="W51" s="6" t="inlineStr"/>
      <c r="X51" s="6" t="inlineStr"/>
      <c r="Y51" s="6" t="inlineStr"/>
      <c r="Z51" s="6" t="inlineStr"/>
      <c r="AA51" s="6" t="inlineStr"/>
      <c r="AB51" s="6" t="inlineStr"/>
      <c r="AC51" s="6" t="inlineStr">
        <is>
          <t>Answered clause (SRC-11)</t>
        </is>
      </c>
      <c r="AD51" s="6" t="inlineStr">
        <is>
          <t>CLOSED (baseline)</t>
        </is>
      </c>
      <c r="AE51" s="6" t="inlineStr">
        <is>
          <t>2026-10-19</t>
        </is>
      </c>
      <c r="AF51" s="6" t="inlineStr">
        <is>
          <t>v3-01 sections 1-5; SRC-08 section G</t>
        </is>
      </c>
      <c r="AG51" s="6" t="inlineStr"/>
      <c r="AH51" s="6" t="inlineStr">
        <is>
          <t>No</t>
        </is>
      </c>
      <c r="AI51" s="6" t="inlineStr">
        <is>
          <t>Closed within the cited record at baseline.</t>
        </is>
      </c>
      <c r="AJ51" s="6" t="inlineStr">
        <is>
          <t>SRC-11 'What is answered narrowly already'</t>
        </is>
      </c>
      <c r="AK51" s="6" t="inlineStr"/>
      <c r="AL51" s="6" t="inlineStr">
        <is>
          <t>S01</t>
        </is>
      </c>
    </row>
    <row r="52" ht="40.5" customHeight="1">
      <c r="A52" s="5" t="inlineStr">
        <is>
          <t>A-08</t>
        </is>
      </c>
      <c r="B52" s="6" t="inlineStr">
        <is>
          <t>Independent MCPVerse reading reports three narrow findings</t>
        </is>
      </c>
      <c r="C52" s="6" t="inlineStr">
        <is>
          <t>CLOSED - CLAUSE</t>
        </is>
      </c>
      <c r="D52" s="6" t="inlineStr">
        <is>
          <t>No</t>
        </is>
      </c>
      <c r="E52" s="6" t="inlineStr"/>
      <c r="F52" s="6" t="inlineStr"/>
      <c r="G52" s="18" t="inlineStr">
        <is>
          <t>CROSS-REFERENCE</t>
        </is>
      </c>
      <c r="H52" s="6" t="inlineStr">
        <is>
          <t>K14 Source &amp; vendor verification</t>
        </is>
      </c>
      <c r="I52" s="6" t="inlineStr">
        <is>
          <t>G5 Housekeeping / no block</t>
        </is>
      </c>
      <c r="J52" s="6" t="inlineStr">
        <is>
          <t>Low</t>
        </is>
      </c>
      <c r="K52" s="6" t="n">
        <v>230</v>
      </c>
      <c r="L52" s="6" t="inlineStr">
        <is>
          <t>W5 Claim-time</t>
        </is>
      </c>
      <c r="M52" s="6" t="inlineStr">
        <is>
          <t>S25</t>
        </is>
      </c>
      <c r="N52" s="6" t="inlineStr">
        <is>
          <t>n/a</t>
        </is>
      </c>
      <c r="O52" s="6" t="inlineStr">
        <is>
          <t>None; closes when its parents close</t>
        </is>
      </c>
      <c r="P52" s="6" t="inlineStr">
        <is>
          <t>Partly</t>
        </is>
      </c>
      <c r="Q52" s="6" t="inlineStr">
        <is>
          <t>Answered clause</t>
        </is>
      </c>
      <c r="R52" s="6" t="inlineStr">
        <is>
          <t>Clause</t>
        </is>
      </c>
      <c r="S52" s="6" t="inlineStr">
        <is>
          <t>C-S19</t>
        </is>
      </c>
      <c r="T52" s="6" t="inlineStr">
        <is>
          <t>The independent MCPVerse reading source-reports three narrow findings (judge change insufficient; one Claude v2 row consistent; 140k/147k not v2-only).</t>
        </is>
      </c>
      <c r="U52" s="6" t="inlineStr">
        <is>
          <t>Original papers not freshly verified in SRC-09/10; one unverified lead reading in the repo.</t>
        </is>
      </c>
      <c r="V52" s="6" t="inlineStr">
        <is>
          <t>Closed within the cited record; the parent row keeps the rest.</t>
        </is>
      </c>
      <c r="W52" s="6" t="inlineStr"/>
      <c r="X52" s="6" t="inlineStr"/>
      <c r="Y52" s="6" t="inlineStr"/>
      <c r="Z52" s="6" t="inlineStr"/>
      <c r="AA52" s="6" t="inlineStr"/>
      <c r="AB52" s="6" t="inlineStr"/>
      <c r="AC52" s="6" t="inlineStr">
        <is>
          <t>Answered clause (SRC-11)</t>
        </is>
      </c>
      <c r="AD52" s="6" t="inlineStr">
        <is>
          <t>CLOSED (baseline)</t>
        </is>
      </c>
      <c r="AE52" s="6" t="inlineStr">
        <is>
          <t>2026-10-19</t>
        </is>
      </c>
      <c r="AF52" s="6" t="inlineStr">
        <is>
          <t>SRC-08 section G; SRC-09 C-S19; repo WD AUTH-008 partly corroborates</t>
        </is>
      </c>
      <c r="AG52" s="6" t="inlineStr"/>
      <c r="AH52" s="6" t="inlineStr">
        <is>
          <t>No</t>
        </is>
      </c>
      <c r="AI52" s="6" t="inlineStr">
        <is>
          <t>Closed within the cited record at baseline.</t>
        </is>
      </c>
      <c r="AJ52" s="6" t="inlineStr">
        <is>
          <t>SRC-11 'What is answered narrowly already'</t>
        </is>
      </c>
      <c r="AK52" s="6" t="inlineStr"/>
      <c r="AL52" s="6" t="inlineStr">
        <is>
          <t>S01</t>
        </is>
      </c>
    </row>
    <row r="53" ht="40.5" customHeight="1">
      <c r="A53" s="5" t="inlineStr">
        <is>
          <t>C-E04</t>
        </is>
      </c>
      <c r="B53" s="6" t="inlineStr">
        <is>
          <t>Blind investigator, comparator, the repo's agents and this review share a model family and some sources.</t>
        </is>
      </c>
      <c r="C53" s="6" t="inlineStr">
        <is>
          <t>ACCEPTED LIMITATION</t>
        </is>
      </c>
      <c r="D53" s="6" t="inlineStr">
        <is>
          <t>No</t>
        </is>
      </c>
      <c r="E53" s="6" t="inlineStr"/>
      <c r="F53" s="6" t="inlineStr"/>
      <c r="G53" s="12" t="inlineStr">
        <is>
          <t>ACCEPT-LIMITATION</t>
        </is>
      </c>
      <c r="H53" s="6" t="inlineStr">
        <is>
          <t>K16 Limits &amp; provenance</t>
        </is>
      </c>
      <c r="I53" s="6" t="inlineStr">
        <is>
          <t>G5 Housekeeping / no block</t>
        </is>
      </c>
      <c r="J53" s="6" t="inlineStr">
        <is>
          <t>Low</t>
        </is>
      </c>
      <c r="K53" s="6" t="n">
        <v>238</v>
      </c>
      <c r="L53" s="6" t="inlineStr">
        <is>
          <t>W5 Claim-time</t>
        </is>
      </c>
      <c r="M53" s="6" t="inlineStr">
        <is>
          <t>S25</t>
        </is>
      </c>
      <c r="N53" s="6" t="inlineStr">
        <is>
          <t>You</t>
        </is>
      </c>
      <c r="O53" s="6" t="inlineStr">
        <is>
          <t>Closed; moved to Archive</t>
        </is>
      </c>
      <c r="P53" s="6" t="inlineStr">
        <is>
          <t>n/a</t>
        </is>
      </c>
      <c r="Q53" s="6" t="inlineStr">
        <is>
          <t>Limitation</t>
        </is>
      </c>
      <c r="R53" s="6" t="inlineStr">
        <is>
          <t>Item</t>
        </is>
      </c>
      <c r="S53" s="6" t="inlineStr"/>
      <c r="T53" s="6" t="inlineStr">
        <is>
          <t>Blind investigator, comparator, the repo's agents and this review share a model family and some sources.</t>
        </is>
      </c>
      <c r="U53" s="6" t="inlineStr">
        <is>
          <t>Now also true of the repo's steward/challenger checks (all Sonnet).</t>
        </is>
      </c>
      <c r="V53" s="6" t="inlineStr">
        <is>
          <t>Accepted 2026-10-20 (the human); a limitation is closed by being stated, not by a test.</t>
        </is>
      </c>
      <c r="W53" s="6" t="inlineStr"/>
      <c r="X53" s="6" t="inlineStr"/>
      <c r="Y53" s="6" t="inlineStr">
        <is>
          <t>Q-U20</t>
        </is>
      </c>
      <c r="Z53" s="6" t="inlineStr"/>
      <c r="AA53" s="6" t="inlineStr"/>
      <c r="AB53" s="6" t="inlineStr">
        <is>
          <t>BOUND+RECORD</t>
        </is>
      </c>
      <c r="AC53" s="6" t="inlineStr">
        <is>
          <t>BOUNDARY</t>
        </is>
      </c>
      <c r="AD53" s="6" t="inlineStr">
        <is>
          <t>UNCHANGED</t>
        </is>
      </c>
      <c r="AE53" s="6" t="inlineStr">
        <is>
          <t>2026-10-20</t>
        </is>
      </c>
      <c r="AF53" s="6" t="inlineStr">
        <is>
          <t>Questions Q-U20 (answer cell, verbatim); chat message of 2026-10-20</t>
        </is>
      </c>
      <c r="AG53" s="6" t="inlineStr"/>
      <c r="AH53" s="6" t="inlineStr">
        <is>
          <t>No</t>
        </is>
      </c>
      <c r="AI53" s="6" t="inlineStr">
        <is>
          <t>Accepted by the human on 2026-10-20, in the human's words: "I accept all 7 in B"</t>
        </is>
      </c>
      <c r="AJ53" s="6" t="inlineStr">
        <is>
          <t>SRC-11 canonical</t>
        </is>
      </c>
      <c r="AK53" s="6" t="inlineStr">
        <is>
          <t>SRC-06 P05, SRC-06 P08, SRC-07 30, CAVEATS 11</t>
        </is>
      </c>
      <c r="AL53" s="6" t="inlineStr">
        <is>
          <t>S25</t>
        </is>
      </c>
    </row>
    <row r="54" ht="40.5" customHeight="1">
      <c r="A54" s="5" t="inlineStr">
        <is>
          <t>C-P02/P05</t>
        </is>
      </c>
      <c r="B54" s="6" t="inlineStr">
        <is>
          <t>Same-model/operator/source risk</t>
        </is>
      </c>
      <c r="C54" s="6" t="inlineStr">
        <is>
          <t>ACCEPTED LIMITATION</t>
        </is>
      </c>
      <c r="D54" s="6" t="inlineStr">
        <is>
          <t>No</t>
        </is>
      </c>
      <c r="E54" s="6" t="inlineStr"/>
      <c r="F54" s="6" t="inlineStr"/>
      <c r="G54" s="12" t="inlineStr">
        <is>
          <t>ACCEPT-LIMITATION</t>
        </is>
      </c>
      <c r="H54" s="6" t="inlineStr">
        <is>
          <t>K16 Limits &amp; provenance</t>
        </is>
      </c>
      <c r="I54" s="6" t="inlineStr">
        <is>
          <t>G5 Housekeeping / no block</t>
        </is>
      </c>
      <c r="J54" s="6" t="inlineStr">
        <is>
          <t>Low</t>
        </is>
      </c>
      <c r="K54" s="6" t="n">
        <v>245</v>
      </c>
      <c r="L54" s="6" t="inlineStr">
        <is>
          <t>W5 Claim-time</t>
        </is>
      </c>
      <c r="M54" s="6" t="inlineStr">
        <is>
          <t>S25</t>
        </is>
      </c>
      <c r="N54" s="6" t="inlineStr">
        <is>
          <t>You</t>
        </is>
      </c>
      <c r="O54" s="6" t="inlineStr">
        <is>
          <t>Closed; moved to Archive</t>
        </is>
      </c>
      <c r="P54" s="6" t="inlineStr">
        <is>
          <t>No</t>
        </is>
      </c>
      <c r="Q54" s="6" t="inlineStr">
        <is>
          <t>Limitation</t>
        </is>
      </c>
      <c r="R54" s="6" t="inlineStr">
        <is>
          <t>Sub-item</t>
        </is>
      </c>
      <c r="S54" s="6" t="inlineStr">
        <is>
          <t>C-P02</t>
        </is>
      </c>
      <c r="T54" s="6" t="inlineStr">
        <is>
          <t>SRC-06 P05: the independent work shares model family, operator and sources with the thesis work.</t>
        </is>
      </c>
      <c r="U54" s="6" t="inlineStr">
        <is>
          <t>Outside the repo.</t>
        </is>
      </c>
      <c r="V54" s="6" t="inlineStr">
        <is>
          <t>Accepted 2026-10-20 (the human); a limitation is closed by being stated, not by a test.</t>
        </is>
      </c>
      <c r="W54" s="6" t="inlineStr"/>
      <c r="X54" s="6" t="inlineStr"/>
      <c r="Y54" s="6" t="inlineStr">
        <is>
          <t>Q-U20</t>
        </is>
      </c>
      <c r="Z54" s="6" t="inlineStr"/>
      <c r="AA54" s="6" t="inlineStr"/>
      <c r="AB54" s="6" t="inlineStr">
        <is>
          <t>BOUND+RECORD</t>
        </is>
      </c>
      <c r="AC54" s="6" t="inlineStr">
        <is>
          <t>n/a (sub-item)</t>
        </is>
      </c>
      <c r="AD54" s="6" t="inlineStr">
        <is>
          <t>NEW (SRC-11 sub-row)</t>
        </is>
      </c>
      <c r="AE54" s="6" t="inlineStr">
        <is>
          <t>2026-10-20</t>
        </is>
      </c>
      <c r="AF54" s="6" t="inlineStr">
        <is>
          <t>Questions Q-U20 (answer cell, verbatim); chat message of 2026-10-20</t>
        </is>
      </c>
      <c r="AG54" s="6" t="inlineStr"/>
      <c r="AH54" s="6" t="inlineStr">
        <is>
          <t>No</t>
        </is>
      </c>
      <c r="AI54" s="6" t="inlineStr">
        <is>
          <t>Accepted by the human on 2026-10-20, in the human's words: "I accept all 7 in B"</t>
        </is>
      </c>
      <c r="AJ54" s="6" t="inlineStr">
        <is>
          <t>SRC-11 section D5</t>
        </is>
      </c>
      <c r="AK54" s="6" t="inlineStr">
        <is>
          <t>SRC-06 P05, CAVEATS 11</t>
        </is>
      </c>
      <c r="AL54" s="6" t="inlineStr">
        <is>
          <t>S25</t>
        </is>
      </c>
    </row>
    <row r="55" ht="40.5" customHeight="1">
      <c r="A55" s="5" t="inlineStr">
        <is>
          <t>C-P02/P07</t>
        </is>
      </c>
      <c r="B55" s="6" t="inlineStr">
        <is>
          <t>Asymmetric coverage between investigations</t>
        </is>
      </c>
      <c r="C55" s="6" t="inlineStr">
        <is>
          <t>ACCEPTED LIMITATION</t>
        </is>
      </c>
      <c r="D55" s="6" t="inlineStr">
        <is>
          <t>No</t>
        </is>
      </c>
      <c r="E55" s="6" t="inlineStr"/>
      <c r="F55" s="6" t="inlineStr"/>
      <c r="G55" s="12" t="inlineStr">
        <is>
          <t>ACCEPT-LIMITATION</t>
        </is>
      </c>
      <c r="H55" s="6" t="inlineStr">
        <is>
          <t>K16 Limits &amp; provenance</t>
        </is>
      </c>
      <c r="I55" s="6" t="inlineStr">
        <is>
          <t>G5 Housekeeping / no block</t>
        </is>
      </c>
      <c r="J55" s="6" t="inlineStr">
        <is>
          <t>Low</t>
        </is>
      </c>
      <c r="K55" s="6" t="n">
        <v>247</v>
      </c>
      <c r="L55" s="6" t="inlineStr">
        <is>
          <t>W5 Claim-time</t>
        </is>
      </c>
      <c r="M55" s="6" t="inlineStr">
        <is>
          <t>S25</t>
        </is>
      </c>
      <c r="N55" s="6" t="inlineStr">
        <is>
          <t>You</t>
        </is>
      </c>
      <c r="O55" s="6" t="inlineStr">
        <is>
          <t>Closed; moved to Archive</t>
        </is>
      </c>
      <c r="P55" s="6" t="inlineStr">
        <is>
          <t>No</t>
        </is>
      </c>
      <c r="Q55" s="6" t="inlineStr">
        <is>
          <t>Limitation</t>
        </is>
      </c>
      <c r="R55" s="6" t="inlineStr">
        <is>
          <t>Sub-item</t>
        </is>
      </c>
      <c r="S55" s="6" t="inlineStr">
        <is>
          <t>C-P02</t>
        </is>
      </c>
      <c r="T55" s="6" t="inlineStr">
        <is>
          <t>SRC-06 P07: coverage asymmetry between the independent and the thesis tracks.</t>
        </is>
      </c>
      <c r="U55" s="6" t="inlineStr">
        <is>
          <t>Outside the repo.</t>
        </is>
      </c>
      <c r="V55" s="6" t="inlineStr">
        <is>
          <t>Accepted 2026-10-20 (the human); a limitation is closed by being stated, not by a test.</t>
        </is>
      </c>
      <c r="W55" s="6" t="inlineStr"/>
      <c r="X55" s="6" t="inlineStr"/>
      <c r="Y55" s="6" t="inlineStr">
        <is>
          <t>Q-U20</t>
        </is>
      </c>
      <c r="Z55" s="6" t="inlineStr"/>
      <c r="AA55" s="6" t="inlineStr"/>
      <c r="AB55" s="6" t="inlineStr">
        <is>
          <t>BOUND</t>
        </is>
      </c>
      <c r="AC55" s="6" t="inlineStr">
        <is>
          <t>n/a (sub-item)</t>
        </is>
      </c>
      <c r="AD55" s="6" t="inlineStr">
        <is>
          <t>NEW (SRC-11 sub-row)</t>
        </is>
      </c>
      <c r="AE55" s="6" t="inlineStr">
        <is>
          <t>2026-10-20</t>
        </is>
      </c>
      <c r="AF55" s="6" t="inlineStr">
        <is>
          <t>Questions Q-U20 (answer cell, verbatim); chat message of 2026-10-20</t>
        </is>
      </c>
      <c r="AG55" s="6" t="inlineStr"/>
      <c r="AH55" s="6" t="inlineStr">
        <is>
          <t>No</t>
        </is>
      </c>
      <c r="AI55" s="6" t="inlineStr">
        <is>
          <t>Accepted by the human on 2026-10-20, in the human's words: "I accept all 7 in B"</t>
        </is>
      </c>
      <c r="AJ55" s="6" t="inlineStr">
        <is>
          <t>SRC-11 section D5</t>
        </is>
      </c>
      <c r="AK55" s="6" t="inlineStr">
        <is>
          <t>SRC-06 P07</t>
        </is>
      </c>
      <c r="AL55" s="6" t="inlineStr">
        <is>
          <t>S25</t>
        </is>
      </c>
    </row>
    <row r="56" ht="40.5" customHeight="1">
      <c r="A56" s="5" t="inlineStr">
        <is>
          <t>C-P02/P08</t>
        </is>
      </c>
      <c r="B56" s="6" t="inlineStr">
        <is>
          <t>Shared-source convergence</t>
        </is>
      </c>
      <c r="C56" s="6" t="inlineStr">
        <is>
          <t>ACCEPTED LIMITATION</t>
        </is>
      </c>
      <c r="D56" s="6" t="inlineStr">
        <is>
          <t>No</t>
        </is>
      </c>
      <c r="E56" s="6" t="inlineStr"/>
      <c r="F56" s="6" t="inlineStr"/>
      <c r="G56" s="12" t="inlineStr">
        <is>
          <t>ACCEPT-LIMITATION</t>
        </is>
      </c>
      <c r="H56" s="6" t="inlineStr">
        <is>
          <t>K16 Limits &amp; provenance</t>
        </is>
      </c>
      <c r="I56" s="6" t="inlineStr">
        <is>
          <t>G5 Housekeeping / no block</t>
        </is>
      </c>
      <c r="J56" s="6" t="inlineStr">
        <is>
          <t>Low</t>
        </is>
      </c>
      <c r="K56" s="6" t="n">
        <v>248</v>
      </c>
      <c r="L56" s="6" t="inlineStr">
        <is>
          <t>W5 Claim-time</t>
        </is>
      </c>
      <c r="M56" s="6" t="inlineStr">
        <is>
          <t>S25</t>
        </is>
      </c>
      <c r="N56" s="6" t="inlineStr">
        <is>
          <t>You</t>
        </is>
      </c>
      <c r="O56" s="6" t="inlineStr">
        <is>
          <t>Closed; moved to Archive</t>
        </is>
      </c>
      <c r="P56" s="6" t="inlineStr">
        <is>
          <t>No</t>
        </is>
      </c>
      <c r="Q56" s="6" t="inlineStr">
        <is>
          <t>Limitation</t>
        </is>
      </c>
      <c r="R56" s="6" t="inlineStr">
        <is>
          <t>Sub-item</t>
        </is>
      </c>
      <c r="S56" s="6" t="inlineStr">
        <is>
          <t>C-P02</t>
        </is>
      </c>
      <c r="T56" s="6" t="inlineStr">
        <is>
          <t>SRC-06 P08: convergence may come from shared sources.</t>
        </is>
      </c>
      <c r="U56" s="6" t="inlineStr">
        <is>
          <t>Outside the repo.</t>
        </is>
      </c>
      <c r="V56" s="6" t="inlineStr">
        <is>
          <t>Accepted 2026-10-20 (the human); a limitation is closed by being stated, not by a test.</t>
        </is>
      </c>
      <c r="W56" s="6" t="inlineStr"/>
      <c r="X56" s="6" t="inlineStr"/>
      <c r="Y56" s="6" t="inlineStr">
        <is>
          <t>Q-U20</t>
        </is>
      </c>
      <c r="Z56" s="6" t="inlineStr"/>
      <c r="AA56" s="6" t="inlineStr"/>
      <c r="AB56" s="6" t="inlineStr">
        <is>
          <t>BOUND</t>
        </is>
      </c>
      <c r="AC56" s="6" t="inlineStr">
        <is>
          <t>n/a (sub-item)</t>
        </is>
      </c>
      <c r="AD56" s="6" t="inlineStr">
        <is>
          <t>NEW (SRC-11 sub-row)</t>
        </is>
      </c>
      <c r="AE56" s="6" t="inlineStr">
        <is>
          <t>2026-10-20</t>
        </is>
      </c>
      <c r="AF56" s="6" t="inlineStr">
        <is>
          <t>Questions Q-U20 (answer cell, verbatim); chat message of 2026-10-20</t>
        </is>
      </c>
      <c r="AG56" s="6" t="inlineStr"/>
      <c r="AH56" s="6" t="inlineStr">
        <is>
          <t>No</t>
        </is>
      </c>
      <c r="AI56" s="6" t="inlineStr">
        <is>
          <t>Accepted by the human on 2026-10-20, in the human's words: "I accept all 7 in B"</t>
        </is>
      </c>
      <c r="AJ56" s="6" t="inlineStr">
        <is>
          <t>SRC-11 section D5</t>
        </is>
      </c>
      <c r="AK56" s="6" t="inlineStr">
        <is>
          <t>SRC-06 P08, CAVEATS 11</t>
        </is>
      </c>
      <c r="AL56" s="6" t="inlineStr">
        <is>
          <t>S25</t>
        </is>
      </c>
    </row>
    <row r="57" ht="40.5" customHeight="1">
      <c r="A57" s="5" t="inlineStr">
        <is>
          <t>C-P02/P09</t>
        </is>
      </c>
      <c r="B57" s="6" t="inlineStr">
        <is>
          <t>One or no adversarial reviews</t>
        </is>
      </c>
      <c r="C57" s="6" t="inlineStr">
        <is>
          <t>ACCEPTED LIMITATION</t>
        </is>
      </c>
      <c r="D57" s="6" t="inlineStr">
        <is>
          <t>No</t>
        </is>
      </c>
      <c r="E57" s="6" t="inlineStr"/>
      <c r="F57" s="6" t="inlineStr"/>
      <c r="G57" s="12" t="inlineStr">
        <is>
          <t>ACCEPT-LIMITATION</t>
        </is>
      </c>
      <c r="H57" s="6" t="inlineStr">
        <is>
          <t>K16 Limits &amp; provenance</t>
        </is>
      </c>
      <c r="I57" s="6" t="inlineStr">
        <is>
          <t>G5 Housekeeping / no block</t>
        </is>
      </c>
      <c r="J57" s="6" t="inlineStr">
        <is>
          <t>Low</t>
        </is>
      </c>
      <c r="K57" s="6" t="n">
        <v>249</v>
      </c>
      <c r="L57" s="6" t="inlineStr">
        <is>
          <t>W5 Claim-time</t>
        </is>
      </c>
      <c r="M57" s="6" t="inlineStr">
        <is>
          <t>S25</t>
        </is>
      </c>
      <c r="N57" s="6" t="inlineStr">
        <is>
          <t>You</t>
        </is>
      </c>
      <c r="O57" s="6" t="inlineStr">
        <is>
          <t>Closed; moved to Archive</t>
        </is>
      </c>
      <c r="P57" s="6" t="inlineStr">
        <is>
          <t>No</t>
        </is>
      </c>
      <c r="Q57" s="6" t="inlineStr">
        <is>
          <t>Limitation</t>
        </is>
      </c>
      <c r="R57" s="6" t="inlineStr">
        <is>
          <t>Sub-item</t>
        </is>
      </c>
      <c r="S57" s="6" t="inlineStr">
        <is>
          <t>C-P02</t>
        </is>
      </c>
      <c r="T57" s="6" t="inlineStr">
        <is>
          <t>SRC-06 P09: one or no adversarial reviews of the independent work.</t>
        </is>
      </c>
      <c r="U57" s="6" t="inlineStr">
        <is>
          <t>Outside the repo.</t>
        </is>
      </c>
      <c r="V57" s="6" t="inlineStr">
        <is>
          <t>Accepted 2026-10-20 (the human); a limitation is closed by being stated, not by a test.</t>
        </is>
      </c>
      <c r="W57" s="6" t="inlineStr"/>
      <c r="X57" s="6" t="inlineStr"/>
      <c r="Y57" s="6" t="inlineStr">
        <is>
          <t>Q-U20</t>
        </is>
      </c>
      <c r="Z57" s="6" t="inlineStr"/>
      <c r="AA57" s="6" t="inlineStr"/>
      <c r="AB57" s="6" t="inlineStr">
        <is>
          <t>BOUND</t>
        </is>
      </c>
      <c r="AC57" s="6" t="inlineStr">
        <is>
          <t>n/a (sub-item)</t>
        </is>
      </c>
      <c r="AD57" s="6" t="inlineStr">
        <is>
          <t>NEW (SRC-11 sub-row)</t>
        </is>
      </c>
      <c r="AE57" s="6" t="inlineStr">
        <is>
          <t>2026-10-20</t>
        </is>
      </c>
      <c r="AF57" s="6" t="inlineStr">
        <is>
          <t>Questions Q-U20 (answer cell, verbatim); chat message of 2026-10-20</t>
        </is>
      </c>
      <c r="AG57" s="6" t="inlineStr"/>
      <c r="AH57" s="6" t="inlineStr">
        <is>
          <t>No</t>
        </is>
      </c>
      <c r="AI57" s="6" t="inlineStr">
        <is>
          <t>Accepted by the human on 2026-10-20, in the human's words: "I accept all 7 in B"</t>
        </is>
      </c>
      <c r="AJ57" s="6" t="inlineStr">
        <is>
          <t>SRC-11 section D5</t>
        </is>
      </c>
      <c r="AK57" s="6" t="inlineStr">
        <is>
          <t>SRC-06 P09</t>
        </is>
      </c>
      <c r="AL57" s="6" t="inlineStr">
        <is>
          <t>S25</t>
        </is>
      </c>
    </row>
    <row r="58" ht="40.5" customHeight="1">
      <c r="A58" s="5" t="inlineStr">
        <is>
          <t>C-P03/P14</t>
        </is>
      </c>
      <c r="B58" s="6" t="inlineStr">
        <is>
          <t>Older workspace saw excerpts/ASR; SRC-09 read full October notes</t>
        </is>
      </c>
      <c r="C58" s="6" t="inlineStr">
        <is>
          <t>ACCEPTED LIMITATION</t>
        </is>
      </c>
      <c r="D58" s="6" t="inlineStr">
        <is>
          <t>No</t>
        </is>
      </c>
      <c r="E58" s="6" t="inlineStr"/>
      <c r="F58" s="6" t="inlineStr"/>
      <c r="G58" s="12" t="inlineStr">
        <is>
          <t>ACCEPT-LIMITATION</t>
        </is>
      </c>
      <c r="H58" s="6" t="inlineStr">
        <is>
          <t>K16 Limits &amp; provenance</t>
        </is>
      </c>
      <c r="I58" s="6" t="inlineStr">
        <is>
          <t>G5 Housekeeping / no block</t>
        </is>
      </c>
      <c r="J58" s="6" t="inlineStr">
        <is>
          <t>Low</t>
        </is>
      </c>
      <c r="K58" s="6" t="n">
        <v>253</v>
      </c>
      <c r="L58" s="6" t="inlineStr">
        <is>
          <t>W5 Claim-time</t>
        </is>
      </c>
      <c r="M58" s="6" t="inlineStr">
        <is>
          <t>S25</t>
        </is>
      </c>
      <c r="N58" s="6" t="inlineStr">
        <is>
          <t>You</t>
        </is>
      </c>
      <c r="O58" s="6" t="inlineStr">
        <is>
          <t>Closed; moved to Archive</t>
        </is>
      </c>
      <c r="P58" s="6" t="inlineStr">
        <is>
          <t>Partly</t>
        </is>
      </c>
      <c r="Q58" s="6" t="inlineStr">
        <is>
          <t>Limitation</t>
        </is>
      </c>
      <c r="R58" s="6" t="inlineStr">
        <is>
          <t>Sub-item</t>
        </is>
      </c>
      <c r="S58" s="6" t="inlineStr">
        <is>
          <t>C-P03</t>
        </is>
      </c>
      <c r="T58" s="6" t="inlineStr">
        <is>
          <t>SRC-06 P14: the older workspace saw excerpts and automatic transcription only, while SRC-09 read the full October notes.</t>
        </is>
      </c>
      <c r="U58" s="6" t="inlineStr">
        <is>
          <t>This repo has only the nine excerpts of 14 Oct.</t>
        </is>
      </c>
      <c r="V58" s="6" t="inlineStr">
        <is>
          <t>Accepted 2026-10-20 (the human); a limitation is closed by being stated, not by a test.</t>
        </is>
      </c>
      <c r="W58" s="6" t="inlineStr"/>
      <c r="X58" s="6" t="inlineStr"/>
      <c r="Y58" s="6" t="inlineStr">
        <is>
          <t>Q-U20</t>
        </is>
      </c>
      <c r="Z58" s="6" t="inlineStr"/>
      <c r="AA58" s="6" t="inlineStr"/>
      <c r="AB58" s="6" t="inlineStr">
        <is>
          <t>RECORD+DEC</t>
        </is>
      </c>
      <c r="AC58" s="6" t="inlineStr">
        <is>
          <t>n/a (sub-item)</t>
        </is>
      </c>
      <c r="AD58" s="6" t="inlineStr">
        <is>
          <t>NEW (SRC-11 sub-row)</t>
        </is>
      </c>
      <c r="AE58" s="6" t="inlineStr">
        <is>
          <t>2026-10-20</t>
        </is>
      </c>
      <c r="AF58" s="6" t="inlineStr">
        <is>
          <t>Questions Q-U20 (answer cell, verbatim); chat message of 2026-10-20</t>
        </is>
      </c>
      <c r="AG58" s="6" t="inlineStr"/>
      <c r="AH58" s="6" t="inlineStr">
        <is>
          <t>Yes (reconciliation)</t>
        </is>
      </c>
      <c r="AI58" s="6" t="inlineStr">
        <is>
          <t>Accepted by the human on 2026-10-20, in the human's words: "I accept all 7 in B"</t>
        </is>
      </c>
      <c r="AJ58" s="6" t="inlineStr">
        <is>
          <t>SRC-11 section D5</t>
        </is>
      </c>
      <c r="AK58" s="6" t="inlineStr">
        <is>
          <t>SRC-06 P14</t>
        </is>
      </c>
      <c r="AL58" s="6" t="inlineStr">
        <is>
          <t>S25</t>
        </is>
      </c>
    </row>
    <row r="59" ht="15" customHeight="1">
      <c r="A59" s="22" t="n"/>
    </row>
    <row r="60">
      <c r="A60" s="22" t="inlineStr">
        <is>
          <t>Closed rows live here. Move a row from Ledger to here only when its status is CLOSED and the Change log records it; the ID stays unique across Ledger and Archive (see Overview checks).</t>
        </is>
      </c>
    </row>
  </sheetData>
  <autoFilter ref="A1:AL58"/>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36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9">
      <c r="A369" s="22" t="inlineStr">
        <is>
          <t>Append-only: never edit or delete a past row; add a new row for every change of status, ownership, priority, ID or merge.</t>
        </is>
      </c>
    </row>
  </sheetData>
  <autoFilter ref="A1:H367"/>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86"/>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2026-10-20T12:58:53Z</dcterms:modified>
</cp:coreProperties>
</file>