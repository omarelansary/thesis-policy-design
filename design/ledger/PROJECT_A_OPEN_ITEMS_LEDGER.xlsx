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'Ledger'!$A$1:$AL$175</definedName>
    <definedName name="_xlnm._FilterDatabase" localSheetId="4" hidden="1">'Archive'!$A$1:$AL$85</definedName>
    <definedName name="_xlnm._FilterDatabase" localSheetId="5" hidden="1">'Change log'!$A$1:$H$546</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258 unique rows (174 in Ledger, 84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is>
          <t>[Answered by the human] line 6: the expose does not govern; its ideas are candidates verified like any other.</t>
        </is>
      </c>
      <c r="L2" s="7" t="inlineStr">
        <is>
          <t>You decided</t>
        </is>
      </c>
      <c r="M2" s="7" t="inlineStr">
        <is>
          <t>2026-10-21</t>
        </is>
      </c>
      <c r="N2" s="7" t="inlineStr">
        <is>
          <t>REVIEWED</t>
        </is>
      </c>
      <c r="O2" s="7" t="inlineStr">
        <is>
          <t>INT-T-005 (requirements/intake/2026-10-21-user-decisions-after-meetings.md)</t>
        </is>
      </c>
      <c r="P2" s="7" t="inlineStr">
        <is>
          <t>2026-10-21 / Claude</t>
        </is>
      </c>
      <c r="Q2" s="7" t="inlineStr">
        <is>
          <t>see the Change log of 2026-10-21</t>
        </is>
      </c>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[Answered by the human] line 8 and line 16: minimise the bill on average over turns and sessions, accuracy nearly the same; canonical equation of components. | Earlier from the meetings: [Partly] Money cost per turn, tokens and response time averaged over turns (INT-T-002 L275, L302, L354); 'we will not drop the cost' (INT-T-004 E697). No single primary estimand or price table named.</t>
        </is>
      </c>
      <c r="L4" s="7" t="inlineStr">
        <is>
          <t>You decided</t>
        </is>
      </c>
      <c r="M4" s="7" t="inlineStr">
        <is>
          <t>2026-10-21</t>
        </is>
      </c>
      <c r="N4" s="7" t="inlineStr">
        <is>
          <t>REVIEWED</t>
        </is>
      </c>
      <c r="O4" s="7" t="inlineStr">
        <is>
          <t>INT-T-005 (requirements/intake/2026-10-21-user-decisions-after-meetings.md)</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[Answered by the supervisor's words and the human's decision] Supervisor 14 Oct: staged graph with re-adding (INT-T-003 L386-L404); the human: keep it and combine it with memory-informed tool offering (INT-T-005 line 5). | Earlier: [Partly] 14 Oct: a staged graph with re-adding, 'that is your novelty' (INT-T-003 L386-L404); 21 Oct: scope memory and tool calls, graph not mentioned (INT-T-002 L223-L225).</t>
        </is>
      </c>
      <c r="L9" s="7" t="inlineStr">
        <is>
          <t>You decided</t>
        </is>
      </c>
      <c r="M9" s="7" t="inlineStr">
        <is>
          <t>2026-10-21</t>
        </is>
      </c>
      <c r="N9" s="7" t="inlineStr">
        <is>
          <t>REVIEWED</t>
        </is>
      </c>
      <c r="O9" s="7" t="inlineStr">
        <is>
          <t>INT-T-005 (requirements/intake/2026-10-21-user-decisions-after-meetings.md); INT-T-002/003/004</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[Answered by the supervisor's words and the human's decision] Supervisor 2 Oct: one lens, not the best way (INT-T-004 E550-E570); the human: treat such ideas as candidates (INT-T-005 lines 1, 6). | Earlier: [Partly] Partial information as 'this lens', 'not saying this is the best way', numbers 'not rigid' (INT-T-004 E550-E570, E774).</t>
        </is>
      </c>
      <c r="L13" s="7" t="inlineStr">
        <is>
          <t>You decided</t>
        </is>
      </c>
      <c r="M13" s="7" t="inlineStr">
        <is>
          <t>2026-10-21</t>
        </is>
      </c>
      <c r="N13" s="7" t="inlineStr">
        <is>
          <t>REVIEWED</t>
        </is>
      </c>
      <c r="O13" s="7" t="inlineStr">
        <is>
          <t>INT-T-005 (requirements/intake/2026-10-21-user-decisions-after-meetings.md); INT-T-002/003/004</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is>
          <t>[Answered by the human] line 16 (no margin or budget): above the window the frontier is reported.</t>
        </is>
      </c>
      <c r="L14" s="7" t="inlineStr">
        <is>
          <t>You decided</t>
        </is>
      </c>
      <c r="M14" s="7" t="inlineStr">
        <is>
          <t>2026-10-21</t>
        </is>
      </c>
      <c r="N14" s="7" t="inlineStr">
        <is>
          <t>REVIEWED</t>
        </is>
      </c>
      <c r="O14" s="7" t="inlineStr">
        <is>
          <t>INT-T-005 (requirements/intake/2026-10-21-user-decisions-after-meetings.md)</t>
        </is>
      </c>
      <c r="P14" s="7" t="inlineStr">
        <is>
          <t>2026-10-21 / Claude</t>
        </is>
      </c>
      <c r="Q14" s="7" t="inlineStr">
        <is>
          <t>see the Change log of 2026-10-21</t>
        </is>
      </c>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[Answered by the human] line 16: no margin, no budget, no hard thresholds; accuracy nearly the same. | Earlier from the meetings: [Partly] 'match the baseline accuracy while giving lesser and lesser tool' (INT-T-004 E206); 'accuracy as high as possible' (INT-T-003 L159); no margin.</t>
        </is>
      </c>
      <c r="L15" s="7" t="inlineStr">
        <is>
          <t>You decided</t>
        </is>
      </c>
      <c r="M15" s="7" t="inlineStr">
        <is>
          <t>2026-10-21</t>
        </is>
      </c>
      <c r="N15" s="7" t="inlineStr">
        <is>
          <t>REVIEWED</t>
        </is>
      </c>
      <c r="O15" s="7" t="inlineStr">
        <is>
          <t>INT-T-005 (requirements/intake/2026-10-21-user-decisions-after-meetings.md)</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[Answered by the human] line 7: research and a drafted policy now; proof-of-concept tests of parts in a loop; end-to-end later. | Earlier from the meetings: [Partly] 2 Oct: 'write the draft version of uh your policy' (INT-T-004 E804); 14 Oct: 'You need to give me this policy' (INT-T-003 L429-L447). Delivery of the 2 Oct draft not stated.</t>
        </is>
      </c>
      <c r="L19" s="7" t="inlineStr">
        <is>
          <t>You decided</t>
        </is>
      </c>
      <c r="M19" s="7" t="inlineStr">
        <is>
          <t>2026-10-21</t>
        </is>
      </c>
      <c r="N19" s="7" t="inlineStr">
        <is>
          <t>REVIEWED</t>
        </is>
      </c>
      <c r="O19" s="7" t="inlineStr">
        <is>
          <t>INT-T-005 (requirements/intake/2026-10-21-user-decisions-after-meetings.md)</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[Answered by the human] line 10 (see Q-J03): selection and discovery cost is part of the averaged bill. | Earlier from the meetings: [Partly] 'if you use many many more token to filter out the tools then there is no value' (INT-T-004 E230-E232); amortisation not discussed.</t>
        </is>
      </c>
      <c r="L20" s="7" t="inlineStr">
        <is>
          <t>You decided</t>
        </is>
      </c>
      <c r="M20" s="7" t="inlineStr">
        <is>
          <t>2026-10-21</t>
        </is>
      </c>
      <c r="N20" s="7" t="inlineStr">
        <is>
          <t>REVIEWED</t>
        </is>
      </c>
      <c r="O20" s="7" t="inlineStr">
        <is>
          <t>INT-T-005 (requirements/intake/2026-10-21-user-decisions-after-meetings.md)</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[Answered by the supervisor's words and the human's decision] The human: no margin, budget or threshold (line 16); error control and strata in the end-to-end phase (line 7); kappa, discovery budget and call limit are set while drafting and testing the policy, not by the supervisor. | Earlier: [Partly] Tier sizes 'not rigid' (INT-T-004 E552-E560); start with about 20 samples (E749); delta, epsilon, N_dep not addressed.</t>
        </is>
      </c>
      <c r="L21" s="7" t="inlineStr">
        <is>
          <t>You decided</t>
        </is>
      </c>
      <c r="M21" s="7" t="inlineStr">
        <is>
          <t>2026-10-21</t>
        </is>
      </c>
      <c r="N21" s="7" t="inlineStr">
        <is>
          <t>REVIEWED</t>
        </is>
      </c>
      <c r="O21" s="7" t="inlineStr">
        <is>
          <t>INT-T-005 (requirements/intake/2026-10-21-user-decisions-after-meetings.md); INT-T-002/003/004</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[Answered by the supervisor's words and the human's decision] The human: models chosen when implementing, several available through a free university API (line 9; REQ-U21-01); the supervisor: repeated runs and several settings (INT-T-002 L441-L443). | Earlier: [Partly] Multiple goals, settings, repeated runs (INT-T-002 L441-L443); number of models not given.</t>
        </is>
      </c>
      <c r="L22" s="7" t="inlineStr">
        <is>
          <t>You decided</t>
        </is>
      </c>
      <c r="M22" s="7" t="inlineStr">
        <is>
          <t>2026-10-21</t>
        </is>
      </c>
      <c r="N22" s="7" t="inlineStr">
        <is>
          <t>REVIEWED</t>
        </is>
      </c>
      <c r="O22" s="7" t="inlineStr">
        <is>
          <t>INT-T-005 (requirements/intake/2026-10-21-user-decisions-after-meetings.md); INT-T-002/003/004</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[Answered by the supervisor's words and the human's decision] Supervisor: the novelty is the systematic combination and its findings, 'sell it as a novely' (INT-T-003 L227-L233), with a monthly search not to reinvent the wheel (INT-T-004 E591-E605); the human: success is the quality of the work (line 16) and no re-invention (line 1). No separate novelty assessment. | Earlier: [Partly] 'nothing is noble [novel] ... that is actually the novelty. You have to just sell it as a novely' (INT-T-003 L227-L233); monthly search not to reinvent the wheel (INT-T-004 E591-E605).</t>
        </is>
      </c>
      <c r="L23" s="7" t="inlineStr">
        <is>
          <t>You decided</t>
        </is>
      </c>
      <c r="M23" s="7" t="inlineStr">
        <is>
          <t>2026-10-21</t>
        </is>
      </c>
      <c r="N23" s="7" t="inlineStr">
        <is>
          <t>REVIEWED</t>
        </is>
      </c>
      <c r="O23" s="7" t="inlineStr">
        <is>
          <t>INT-T-005 (requirements/intake/2026-10-21-user-decisions-after-meetings.md); INT-T-002/003/004</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is>
          <t>[Answered by the human] line 9: chosen when implementing.</t>
        </is>
      </c>
      <c r="L25" s="7" t="inlineStr">
        <is>
          <t>You decided</t>
        </is>
      </c>
      <c r="M25" s="7" t="inlineStr">
        <is>
          <t>2026-10-21</t>
        </is>
      </c>
      <c r="N25" s="7" t="inlineStr">
        <is>
          <t>REVIEWED</t>
        </is>
      </c>
      <c r="O25" s="7" t="inlineStr">
        <is>
          <t>INT-T-005 (requirements/intake/2026-10-21-user-decisions-after-meetings.md)</t>
        </is>
      </c>
      <c r="P25" s="7" t="inlineStr">
        <is>
          <t>2026-10-21 / Claude</t>
        </is>
      </c>
      <c r="Q25" s="7" t="inlineStr">
        <is>
          <t>see the Change log of 2026-10-21</t>
        </is>
      </c>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[Answered by the human] line 14: one long run and returning users. | Earlier from the meetings: [Partly] 'The same problem is applicable for any kind of agent ... a salesman ... a recruiter ... marketing' (INT-T-002 L345-L354); no scenario chosen.</t>
        </is>
      </c>
      <c r="L51" s="7" t="inlineStr">
        <is>
          <t>You decided</t>
        </is>
      </c>
      <c r="M51" s="7" t="inlineStr">
        <is>
          <t>2026-10-21</t>
        </is>
      </c>
      <c r="N51" s="7" t="inlineStr">
        <is>
          <t>REVIEWED</t>
        </is>
      </c>
      <c r="O51" s="7" t="inlineStr">
        <is>
          <t>INT-T-005 (requirements/intake/2026-10-21-user-decisions-after-meetings.md)</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[Answered by the human] line 12: yes, as a small part, not the focus. | Earlier from the meetings: [Partly] Relevant part of memory first, more when asked (INT-T-002 L384); not all context 'just by saying hello' (L211-L216, theory part).</t>
        </is>
      </c>
      <c r="L53" s="7" t="inlineStr">
        <is>
          <t>You decided</t>
        </is>
      </c>
      <c r="M53" s="7" t="inlineStr">
        <is>
          <t>2026-10-21</t>
        </is>
      </c>
      <c r="N53" s="7" t="inlineStr">
        <is>
          <t>REVIEWED</t>
        </is>
      </c>
      <c r="O53" s="7" t="inlineStr">
        <is>
          <t>INT-T-005 (requirements/intake/2026-10-21-user-decisions-after-meetings.md)</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inlineStr">
        <is>
          <t>[Answered by the human] line 5: do both; memory deciding which tools are offered is part of the staged policy.</t>
        </is>
      </c>
      <c r="L58" s="7" t="inlineStr">
        <is>
          <t>You decided</t>
        </is>
      </c>
      <c r="M58" s="7" t="inlineStr">
        <is>
          <t>2026-10-21</t>
        </is>
      </c>
      <c r="N58" s="7" t="inlineStr">
        <is>
          <t>REVIEWED</t>
        </is>
      </c>
      <c r="O58" s="7" t="inlineStr">
        <is>
          <t>INT-T-005 (requirements/intake/2026-10-21-user-decisions-after-meetings.md)</t>
        </is>
      </c>
      <c r="P58" s="7" t="inlineStr">
        <is>
          <t>2026-10-21 / Claude</t>
        </is>
      </c>
      <c r="Q58" s="7" t="inlineStr">
        <is>
          <t>see the Change log of 2026-10-21</t>
        </is>
      </c>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300" customHeight="1">
      <c r="A12" s="5" t="inlineStr">
        <is>
          <t>N-26</t>
        </is>
      </c>
      <c r="B12" s="6" t="inlineStr">
        <is>
          <t>Caching mechanisms as policy variables: implicit, explicit (breakpoints, retention) or recorded only?</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K9 Cache &amp; billing</t>
        </is>
      </c>
      <c r="I12" s="6" t="inlineStr">
        <is>
          <t>G2 Before the affected pilot/arm</t>
        </is>
      </c>
      <c r="J12" s="6" t="inlineStr">
        <is>
          <t>High</t>
        </is>
      </c>
      <c r="K12" s="6" t="n">
        <v>33</v>
      </c>
      <c r="L12" s="6" t="inlineStr">
        <is>
          <t>W1 Decide</t>
        </is>
      </c>
      <c r="M12" s="6" t="inlineStr">
        <is>
          <t>S06</t>
        </is>
      </c>
      <c r="N12" s="6" t="inlineStr">
        <is>
          <t>Joaa</t>
        </is>
      </c>
      <c r="O12" s="6" t="inlineStr">
        <is>
          <t>Candidate for the first proof-of-concept</t>
        </is>
      </c>
      <c r="P12" s="6" t="inlineStr">
        <is>
          <t>Partly</t>
        </is>
      </c>
      <c r="Q12" s="6" t="inlineStr">
        <is>
          <t>Decision</t>
        </is>
      </c>
      <c r="R12" s="6" t="inlineStr">
        <is>
          <t>Item</t>
        </is>
      </c>
      <c r="S12" s="6" t="inlineStr"/>
      <c r="T12"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12"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 2026-10-21 (AUTH-019, the human's decisions): the human notes that prompt caching 'may use this as conversation memory in the begining' (line 8): caching as an early, simple memory is a candidate design element.</t>
        </is>
      </c>
      <c r="V12" s="6" t="inlineStr">
        <is>
          <t>Variables and recorded-only items listed in the evaluation contract.</t>
        </is>
      </c>
      <c r="W12" s="6" t="inlineStr"/>
      <c r="X12" s="6" t="inlineStr">
        <is>
          <t>C-S03, N-5, C-D02</t>
        </is>
      </c>
      <c r="Y12" s="6" t="inlineStr">
        <is>
          <t>Q-J26</t>
        </is>
      </c>
      <c r="Z12" s="6" t="inlineStr">
        <is>
          <t>DESK-ANALYSIS</t>
        </is>
      </c>
      <c r="AA12" s="6" t="inlineStr">
        <is>
          <t>K2 Objective &amp; accounting</t>
        </is>
      </c>
      <c r="AB12" s="6" t="inlineStr">
        <is>
          <t>DEC</t>
        </is>
      </c>
      <c r="AC12" s="6" t="inlineStr">
        <is>
          <t>n/a (new)</t>
        </is>
      </c>
      <c r="AD12" s="6" t="inlineStr">
        <is>
          <t>NEW</t>
        </is>
      </c>
      <c r="AE12" s="6" t="inlineStr">
        <is>
          <t>2026-10-21</t>
        </is>
      </c>
      <c r="AF12" s="6" t="inlineStr">
        <is>
          <t>INT-T-005 (requirements/intake/2026-10-21-user-decisions-after-meetings.md)</t>
        </is>
      </c>
      <c r="AG12" s="6" t="inlineStr"/>
      <c r="AH12" s="6" t="inlineStr">
        <is>
          <t>No</t>
        </is>
      </c>
      <c r="AI12" s="6" t="inlineStr"/>
      <c r="AJ12" s="6" t="inlineStr">
        <is>
          <t>Joaa 19 Oct (Supervisor statements sheet)</t>
        </is>
      </c>
      <c r="AK12" s="6" t="inlineStr">
        <is>
          <t>Joaa 19 Oct 12:15 (implicit and explicit caching), Joaa 19 Oct 12:15 (implicit and explicit caching)</t>
        </is>
      </c>
      <c r="AL12" s="6" t="inlineStr">
        <is>
          <t>S06</t>
        </is>
      </c>
    </row>
    <row r="13" ht="128" customHeight="1">
      <c r="A13" s="5" t="inlineStr">
        <is>
          <t>N-22</t>
        </is>
      </c>
      <c r="B13" s="6" t="inlineStr">
        <is>
          <t>Joaa's proposal: combine MCP server context, memory and explicit caching to find the best policy</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K4 Memory &amp; sessions</t>
        </is>
      </c>
      <c r="I13" s="6" t="inlineStr">
        <is>
          <t>G2 Before the affected pilot/arm</t>
        </is>
      </c>
      <c r="J13" s="6" t="inlineStr">
        <is>
          <t>High</t>
        </is>
      </c>
      <c r="K13" s="6" t="n">
        <v>35</v>
      </c>
      <c r="L13" s="6" t="inlineStr">
        <is>
          <t>W1 Decide</t>
        </is>
      </c>
      <c r="M13" s="6" t="inlineStr">
        <is>
          <t>S06</t>
        </is>
      </c>
      <c r="N13" s="6" t="inlineStr">
        <is>
          <t>Joaa</t>
        </is>
      </c>
      <c r="O13" s="6" t="inlineStr">
        <is>
          <t>N-28 and AS-15</t>
        </is>
      </c>
      <c r="P13" s="6" t="inlineStr">
        <is>
          <t>Partly</t>
        </is>
      </c>
      <c r="Q13" s="6" t="inlineStr">
        <is>
          <t>Decision</t>
        </is>
      </c>
      <c r="R13" s="6" t="inlineStr">
        <is>
          <t>Sub-item</t>
        </is>
      </c>
      <c r="S13" s="6" t="inlineStr">
        <is>
          <t>C-D07</t>
        </is>
      </c>
      <c r="T13"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13"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13" s="6" t="inlineStr">
        <is>
          <t>In or out of scope; if in, an arm set is defined.</t>
        </is>
      </c>
      <c r="W13" s="6" t="inlineStr">
        <is>
          <t>N-9</t>
        </is>
      </c>
      <c r="X13" s="6" t="inlineStr"/>
      <c r="Y13" s="6" t="inlineStr">
        <is>
          <t>Q-J05, Q-J06</t>
        </is>
      </c>
      <c r="Z13" s="6" t="inlineStr">
        <is>
          <t>TEST-PILOT</t>
        </is>
      </c>
      <c r="AA13" s="6" t="inlineStr"/>
      <c r="AB13" s="6" t="inlineStr">
        <is>
          <t>DEC+DATA</t>
        </is>
      </c>
      <c r="AC13" s="6" t="inlineStr">
        <is>
          <t>n/a (new)</t>
        </is>
      </c>
      <c r="AD13" s="6" t="inlineStr">
        <is>
          <t>NEW (repo sweep)</t>
        </is>
      </c>
      <c r="AE13" s="6" t="inlineStr">
        <is>
          <t>2026-10-21</t>
        </is>
      </c>
      <c r="AF13" s="6" t="inlineStr">
        <is>
          <t>INT-T-002 (requirements/intake/2026-10-21-supervisor-meeting-2026-10-21-notes-and-transcript.md); mapping design/ledger/notes/MEETINGS-MAPPING-20261021.md checked line by line by FND-0035 and FND-0036; REGISTER section H</t>
        </is>
      </c>
      <c r="AG13" s="6" t="inlineStr"/>
      <c r="AH13" s="6" t="inlineStr">
        <is>
          <t>No</t>
        </is>
      </c>
      <c r="AI13" s="6" t="inlineStr"/>
      <c r="AJ13" s="6" t="inlineStr">
        <is>
          <t>review 19 Oct section 3.2</t>
        </is>
      </c>
      <c r="AK13" s="6" t="inlineStr">
        <is>
          <t>Joaa 19 Oct 12:22 (combine all three)</t>
        </is>
      </c>
      <c r="AL13" s="6" t="inlineStr">
        <is>
          <t>S06</t>
        </is>
      </c>
    </row>
    <row r="14" ht="78" customHeight="1">
      <c r="A14" s="5" t="inlineStr">
        <is>
          <t>C-D03/ANSWERER</t>
        </is>
      </c>
      <c r="B14" s="6" t="inlineStr">
        <is>
          <t>Who or what answers each stage's question (model, rule, score)?</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K3 Policy form</t>
        </is>
      </c>
      <c r="I14" s="6" t="inlineStr">
        <is>
          <t>G2 Before the affected pilot/arm</t>
        </is>
      </c>
      <c r="J14" s="6" t="inlineStr">
        <is>
          <t>High</t>
        </is>
      </c>
      <c r="K14" s="6" t="n">
        <v>36</v>
      </c>
      <c r="L14" s="6" t="inlineStr">
        <is>
          <t>W1 Decide</t>
        </is>
      </c>
      <c r="M14" s="6" t="inlineStr">
        <is>
          <t>S07</t>
        </is>
      </c>
      <c r="N14" s="6" t="inlineStr">
        <is>
          <t>Joaa</t>
        </is>
      </c>
      <c r="O14" s="6" t="inlineStr">
        <is>
          <t>Decided by evaluation (pilot design)</t>
        </is>
      </c>
      <c r="P14" s="6" t="inlineStr">
        <is>
          <t>No</t>
        </is>
      </c>
      <c r="Q14" s="6" t="inlineStr">
        <is>
          <t>Decision</t>
        </is>
      </c>
      <c r="R14" s="6" t="inlineStr">
        <is>
          <t>Sub-item</t>
        </is>
      </c>
      <c r="S14" s="6" t="inlineStr">
        <is>
          <t>C-D03</t>
        </is>
      </c>
      <c r="T14" s="6" t="inlineStr">
        <is>
          <t>The excerpt does not say; v4 treats system-vs-model as an empirical question.</t>
        </is>
      </c>
      <c r="U14" s="6" t="inlineStr">
        <is>
          <t>v4 leaves it empirical. 2026-10-21 (AUTH-018): stage one is decided from context, who invokes the agent (INT-T-003 L261); for a later stage he names Executor-style capability listing or semantic narrowing, 'which one is better ... You have to figure it out' (L306-L308).</t>
        </is>
      </c>
      <c r="V14" s="6" t="inlineStr">
        <is>
          <t>Joaa's answer recorded in his words.</t>
        </is>
      </c>
      <c r="W14" s="6" t="inlineStr"/>
      <c r="X14" s="6" t="inlineStr"/>
      <c r="Y14" s="6" t="inlineStr">
        <is>
          <t>Q-J11</t>
        </is>
      </c>
      <c r="Z14" s="6" t="inlineStr"/>
      <c r="AA14" s="6" t="inlineStr"/>
      <c r="AB14" s="6" t="inlineStr">
        <is>
          <t>DEC</t>
        </is>
      </c>
      <c r="AC14" s="6" t="inlineStr">
        <is>
          <t>n/a (sub-item)</t>
        </is>
      </c>
      <c r="AD14" s="6" t="inlineStr">
        <is>
          <t>NEW (repo sweep)</t>
        </is>
      </c>
      <c r="AE14" s="6" t="inlineStr">
        <is>
          <t>2026-10-21</t>
        </is>
      </c>
      <c r="AF14" s="6" t="inlineStr">
        <is>
          <t>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section 4</t>
        </is>
      </c>
      <c r="AL14" s="6" t="inlineStr">
        <is>
          <t>S05</t>
        </is>
      </c>
    </row>
    <row r="15" ht="115.5" customHeight="1">
      <c r="A15" s="5" t="inlineStr">
        <is>
          <t>C-D03/CONTEXT</t>
        </is>
      </c>
      <c r="B15" s="6" t="inlineStr">
        <is>
          <t>What do 'context' and 'scenario' mean (the request, the trajectory so far, the deployment)?</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K3 Policy form</t>
        </is>
      </c>
      <c r="I15" s="6" t="inlineStr">
        <is>
          <t>G2 Before the affected pilot/arm</t>
        </is>
      </c>
      <c r="J15" s="6" t="inlineStr">
        <is>
          <t>High</t>
        </is>
      </c>
      <c r="K15" s="6" t="n">
        <v>37</v>
      </c>
      <c r="L15" s="6" t="inlineStr">
        <is>
          <t>W1 Decide</t>
        </is>
      </c>
      <c r="M15" s="6" t="inlineStr">
        <is>
          <t>S07</t>
        </is>
      </c>
      <c r="N15" s="6" t="inlineStr">
        <is>
          <t>Joaa</t>
        </is>
      </c>
      <c r="O15" s="6" t="inlineStr">
        <is>
          <t>Use both senses explicitly in the contract; ask only if a choice depends on it</t>
        </is>
      </c>
      <c r="P15" s="6" t="inlineStr">
        <is>
          <t>No</t>
        </is>
      </c>
      <c r="Q15" s="6" t="inlineStr">
        <is>
          <t>Decision</t>
        </is>
      </c>
      <c r="R15" s="6" t="inlineStr">
        <is>
          <t>Sub-item</t>
        </is>
      </c>
      <c r="S15" s="6" t="inlineStr">
        <is>
          <t>C-D03</t>
        </is>
      </c>
      <c r="T15" s="6" t="inlineStr">
        <is>
          <t>REQ-O14-09 / brief Q2: 'based on the context and based on the scenario it will be different' are undefined; the excerpt may be prescriptive or a prediction.</t>
        </is>
      </c>
      <c r="U15"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15" s="6" t="inlineStr">
        <is>
          <t>Joaa's answer recorded in his words.</t>
        </is>
      </c>
      <c r="W15" s="6" t="inlineStr"/>
      <c r="X15" s="6" t="inlineStr"/>
      <c r="Y15" s="6" t="inlineStr">
        <is>
          <t>Q-J09, Q-J25</t>
        </is>
      </c>
      <c r="Z15" s="6" t="inlineStr"/>
      <c r="AA15" s="6" t="inlineStr"/>
      <c r="AB15" s="6" t="inlineStr">
        <is>
          <t>DEC</t>
        </is>
      </c>
      <c r="AC15" s="6" t="inlineStr">
        <is>
          <t>n/a (sub-item)</t>
        </is>
      </c>
      <c r="AD15" s="6" t="inlineStr">
        <is>
          <t>NEW (repo sweep)</t>
        </is>
      </c>
      <c r="AE15" s="6" t="inlineStr">
        <is>
          <t>2026-10-21</t>
        </is>
      </c>
      <c r="AF15"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repo: REGISTER / COMPARISON</t>
        </is>
      </c>
      <c r="AK15" s="6" t="inlineStr">
        <is>
          <t>REQ-O14-09, v4-01 Q2</t>
        </is>
      </c>
      <c r="AL15" s="6" t="inlineStr">
        <is>
          <t>S05</t>
        </is>
      </c>
    </row>
    <row r="16" ht="53" customHeight="1">
      <c r="A16" s="5" t="inlineStr">
        <is>
          <t>C-R02/C10-13</t>
        </is>
      </c>
      <c r="B16" s="6" t="inlineStr">
        <is>
          <t>Offline/runtime label, D-node presentation, G vs C-A, A1-A5 disagreements</t>
        </is>
      </c>
      <c r="C16" s="6" t="inlineStr">
        <is>
          <t>PARTLY ANSWERED</t>
        </is>
      </c>
      <c r="D16" s="6">
        <f>IFERROR(INDEX(Lists!$B$2:$B$14,MATCH(C16,Lists!$A$2:$A$14,0)),"?")</f>
        <v/>
      </c>
      <c r="E16" s="6">
        <f>IF(COUNTIFS(Links!$B$2:$B$600,A16,Links!$E$2:$E$600,"Yes")&gt;0,"REVISE","")</f>
        <v/>
      </c>
      <c r="F16" s="6">
        <f>COUNTIFS(Links!$B$2:$B$600,A16,Links!$D$2:$D$600,"No",Links!$C$2:$C$600,"&lt;&gt;INFORMS")</f>
        <v/>
      </c>
      <c r="G16" s="8" t="inlineStr">
        <is>
          <t>RECORDS-AT-HAND</t>
        </is>
      </c>
      <c r="H16" s="6" t="inlineStr">
        <is>
          <t>K17 Record repair &amp; procedure error</t>
        </is>
      </c>
      <c r="I16" s="6" t="inlineStr">
        <is>
          <t>G5 Housekeeping / no block</t>
        </is>
      </c>
      <c r="J16" s="6" t="inlineStr">
        <is>
          <t>Low</t>
        </is>
      </c>
      <c r="K16" s="6" t="n">
        <v>39</v>
      </c>
      <c r="L16" s="6" t="inlineStr">
        <is>
          <t>W1 Decide</t>
        </is>
      </c>
      <c r="M16" s="6" t="inlineStr">
        <is>
          <t>S07</t>
        </is>
      </c>
      <c r="N16" s="6" t="inlineStr">
        <is>
          <t>You (presentation); team (E6)</t>
        </is>
      </c>
      <c r="O16" s="6" t="inlineStr">
        <is>
          <t>Lead drafts the fix; you approve</t>
        </is>
      </c>
      <c r="P16" s="6" t="inlineStr">
        <is>
          <t>Partly</t>
        </is>
      </c>
      <c r="Q16" s="6" t="inlineStr">
        <is>
          <t>Disagreement</t>
        </is>
      </c>
      <c r="R16" s="6" t="inlineStr">
        <is>
          <t>Sub-item</t>
        </is>
      </c>
      <c r="S16" s="6" t="inlineStr">
        <is>
          <t>C-R02</t>
        </is>
      </c>
      <c r="T16" s="6" t="inlineStr">
        <is>
          <t>SRC-06 C10-C13 (grouped in SRC-11 D4): label accepted as accurate; D-node presentation is the user's decision; G vs C-A has no winner and selection inflation is unmeasured; A1-A5 disagreements persist; A6 withdrawn in v3.</t>
        </is>
      </c>
      <c r="U16" s="6" t="inlineStr">
        <is>
          <t>Presentation decided by the lead (AUTH-010); retained disagreements listed in v2-06 and v3-04.</t>
        </is>
      </c>
      <c r="V16" s="6" t="inlineStr">
        <is>
          <t>Independent re-check and a dated fix.</t>
        </is>
      </c>
      <c r="W16" s="6" t="inlineStr"/>
      <c r="X16" s="6" t="inlineStr"/>
      <c r="Y16" s="6" t="inlineStr">
        <is>
          <t>Q-U10</t>
        </is>
      </c>
      <c r="Z16" s="6" t="inlineStr"/>
      <c r="AA16" s="6" t="inlineStr"/>
      <c r="AB16" s="6" t="inlineStr">
        <is>
          <t>RECORD+DATA</t>
        </is>
      </c>
      <c r="AC16" s="6" t="inlineStr">
        <is>
          <t>n/a (sub-item)</t>
        </is>
      </c>
      <c r="AD16" s="6" t="inlineStr">
        <is>
          <t>NEW (SRC-11 sub-row)</t>
        </is>
      </c>
      <c r="AE16" s="6" t="inlineStr">
        <is>
          <t>2026-10-19</t>
        </is>
      </c>
      <c r="AF16" s="6" t="inlineStr">
        <is>
          <t>WD-019/020; v2-06 section A; v3-04 section 3</t>
        </is>
      </c>
      <c r="AG16" s="6" t="inlineStr"/>
      <c r="AH16" s="6" t="inlineStr">
        <is>
          <t>No for presentation</t>
        </is>
      </c>
      <c r="AI16" s="6" t="inlineStr"/>
      <c r="AJ16" s="6" t="inlineStr">
        <is>
          <t>SRC-11 section D4</t>
        </is>
      </c>
      <c r="AK16" s="6" t="inlineStr">
        <is>
          <t>SRC-06 C10-C13, v2-06 A1-A5</t>
        </is>
      </c>
      <c r="AL16" s="6" t="inlineStr">
        <is>
          <t>S05</t>
        </is>
      </c>
    </row>
    <row r="17" ht="40.5" customHeight="1">
      <c r="A17" s="5" t="inlineStr">
        <is>
          <t>C-D10</t>
        </is>
      </c>
      <c r="B17" s="6" t="inlineStr">
        <is>
          <t>Confirm the presentation: run-time policy figure separate from the study-protocol figure (D-nodes offline).</t>
        </is>
      </c>
      <c r="C17" s="6" t="inlineStr">
        <is>
          <t>PARTLY ANSWERED</t>
        </is>
      </c>
      <c r="D17" s="6">
        <f>IFERROR(INDEX(Lists!$B$2:$B$14,MATCH(C17,Lists!$A$2:$A$14,0)),"?")</f>
        <v/>
      </c>
      <c r="E17" s="6">
        <f>IF(COUNTIFS(Links!$B$2:$B$600,A17,Links!$E$2:$E$600,"Yes")&gt;0,"REVISE","")</f>
        <v/>
      </c>
      <c r="F17" s="6">
        <f>COUNTIFS(Links!$B$2:$B$600,A17,Links!$D$2:$D$600,"No",Links!$C$2:$C$600,"&lt;&gt;INFORMS")</f>
        <v/>
      </c>
      <c r="G17" s="9" t="inlineStr">
        <is>
          <t>USER-DECISION</t>
        </is>
      </c>
      <c r="H17" s="6" t="inlineStr">
        <is>
          <t>K3 Policy form</t>
        </is>
      </c>
      <c r="I17" s="6" t="inlineStr">
        <is>
          <t>G5 Housekeeping / no block</t>
        </is>
      </c>
      <c r="J17" s="6" t="inlineStr">
        <is>
          <t>Low</t>
        </is>
      </c>
      <c r="K17" s="6" t="n">
        <v>43</v>
      </c>
      <c r="L17" s="6" t="inlineStr">
        <is>
          <t>W1 Decide</t>
        </is>
      </c>
      <c r="M17" s="6" t="inlineStr">
        <is>
          <t>S07</t>
        </is>
      </c>
      <c r="N17" s="6" t="inlineStr">
        <is>
          <t>You</t>
        </is>
      </c>
      <c r="O17" s="6" t="inlineStr">
        <is>
          <t>You decide (Q-J08, Q-U10)</t>
        </is>
      </c>
      <c r="P17" s="6" t="inlineStr">
        <is>
          <t>n/a</t>
        </is>
      </c>
      <c r="Q17" s="6" t="inlineStr">
        <is>
          <t>Decision</t>
        </is>
      </c>
      <c r="R17" s="6" t="inlineStr">
        <is>
          <t>Item</t>
        </is>
      </c>
      <c r="S17" s="6" t="inlineStr"/>
      <c r="T17" s="6" t="inlineStr">
        <is>
          <t>Confirm the presentation: run-time policy figure separate from the study-protocol figure (D-nodes offline).</t>
        </is>
      </c>
      <c r="U17" s="6" t="inlineStr">
        <is>
          <t>Decided by the lead under AUTH-010 (WD-020); not yet confirmed by you; Joaa saw v3.</t>
        </is>
      </c>
      <c r="V17" s="6" t="inlineStr">
        <is>
          <t>You confirm or reverse; decide what Joaa is shown.</t>
        </is>
      </c>
      <c r="W17" s="6" t="inlineStr">
        <is>
          <t>C-D03</t>
        </is>
      </c>
      <c r="X17" s="6" t="inlineStr"/>
      <c r="Y17" s="6" t="inlineStr">
        <is>
          <t>Q-J08, Q-U10</t>
        </is>
      </c>
      <c r="Z17" s="6" t="inlineStr"/>
      <c r="AA17" s="6" t="inlineStr"/>
      <c r="AB17" s="6" t="inlineStr">
        <is>
          <t>DEC</t>
        </is>
      </c>
      <c r="AC17" s="6" t="inlineStr">
        <is>
          <t>PARTLY ANSWERED - OPEN</t>
        </is>
      </c>
      <c r="AD17" s="6" t="inlineStr">
        <is>
          <t>RE-CHARACTERISED</t>
        </is>
      </c>
      <c r="AE17" s="6" t="inlineStr">
        <is>
          <t>2026-10-19</t>
        </is>
      </c>
      <c r="AF17" s="6" t="inlineStr">
        <is>
          <t>WD-020; v4-03 section 1</t>
        </is>
      </c>
      <c r="AG17" s="6" t="inlineStr"/>
      <c r="AH17" s="6" t="inlineStr">
        <is>
          <t>No</t>
        </is>
      </c>
      <c r="AI17" s="6" t="inlineStr"/>
      <c r="AJ17" s="6" t="inlineStr">
        <is>
          <t>SRC-11 canonical</t>
        </is>
      </c>
      <c r="AK17" s="6" t="inlineStr">
        <is>
          <t>SRC-06 D13, SRC-06 C10</t>
        </is>
      </c>
      <c r="AL17" s="6" t="inlineStr">
        <is>
          <t>S05</t>
        </is>
      </c>
    </row>
    <row r="18" ht="40.5" customHeight="1">
      <c r="A18" s="5" t="inlineStr">
        <is>
          <t>C-R02</t>
        </is>
      </c>
      <c r="B18" s="6" t="inlineStr">
        <is>
          <t>Challenge residuals: D-node presentation (decided by lead), no winner between G and C-A, selection inflatio...</t>
        </is>
      </c>
      <c r="C18" s="6" t="inlineStr">
        <is>
          <t>PARTLY ANSWERED</t>
        </is>
      </c>
      <c r="D18" s="6">
        <f>IFERROR(INDEX(Lists!$B$2:$B$14,MATCH(C18,Lists!$A$2:$A$14,0)),"?")</f>
        <v/>
      </c>
      <c r="E18" s="6">
        <f>IF(COUNTIFS(Links!$B$2:$B$600,A18,Links!$E$2:$E$600,"Yes")&gt;0,"REVISE","")</f>
        <v/>
      </c>
      <c r="F18" s="6">
        <f>COUNTIFS(Links!$B$2:$B$600,A18,Links!$D$2:$D$600,"No",Links!$C$2:$C$600,"&lt;&gt;INFORMS")</f>
        <v/>
      </c>
      <c r="G18" s="9" t="inlineStr">
        <is>
          <t>USER-DECISION</t>
        </is>
      </c>
      <c r="H18" s="6" t="inlineStr">
        <is>
          <t>K17 Record repair &amp; procedure error</t>
        </is>
      </c>
      <c r="I18" s="6" t="inlineStr">
        <is>
          <t>G5 Housekeeping / no block</t>
        </is>
      </c>
      <c r="J18" s="6" t="inlineStr">
        <is>
          <t>Low</t>
        </is>
      </c>
      <c r="K18" s="6" t="n">
        <v>44</v>
      </c>
      <c r="L18" s="6" t="inlineStr">
        <is>
          <t>W1 Decide</t>
        </is>
      </c>
      <c r="M18" s="6" t="inlineStr">
        <is>
          <t>S07</t>
        </is>
      </c>
      <c r="N18" s="6" t="inlineStr">
        <is>
          <t>You (presentation); team (E6)</t>
        </is>
      </c>
      <c r="O18" s="6" t="inlineStr">
        <is>
          <t>You decide (Q-U10)</t>
        </is>
      </c>
      <c r="P18" s="6" t="inlineStr">
        <is>
          <t>n/a</t>
        </is>
      </c>
      <c r="Q18" s="6" t="inlineStr">
        <is>
          <t>Decision</t>
        </is>
      </c>
      <c r="R18" s="6" t="inlineStr">
        <is>
          <t>Item</t>
        </is>
      </c>
      <c r="S18" s="6" t="inlineStr"/>
      <c r="T18" s="6" t="inlineStr">
        <is>
          <t>Challenge residuals: D-node presentation (decided by lead), no winner between G and C-A, selection inflation unmeasured.</t>
        </is>
      </c>
      <c r="U18" s="6" t="inlineStr">
        <is>
          <t>Presentation part decided by lead; selection-error part waits on E6.</t>
        </is>
      </c>
      <c r="V18" s="6" t="inlineStr">
        <is>
          <t>Presentation confirmed; selection error measured (X06).</t>
        </is>
      </c>
      <c r="W18" s="6" t="inlineStr">
        <is>
          <t>C-D03</t>
        </is>
      </c>
      <c r="X18" s="6" t="inlineStr"/>
      <c r="Y18" s="6" t="inlineStr">
        <is>
          <t>Q-U10</t>
        </is>
      </c>
      <c r="Z18" s="6" t="inlineStr">
        <is>
          <t>TEST-PILOT</t>
        </is>
      </c>
      <c r="AA18" s="6" t="inlineStr">
        <is>
          <t>K3 Policy form</t>
        </is>
      </c>
      <c r="AB18" s="6" t="inlineStr">
        <is>
          <t>DEC+DATA</t>
        </is>
      </c>
      <c r="AC18" s="6" t="inlineStr">
        <is>
          <t>PARTLY ANSWERED - OPEN</t>
        </is>
      </c>
      <c r="AD18" s="6" t="inlineStr">
        <is>
          <t>RE-CHARACTERISED</t>
        </is>
      </c>
      <c r="AE18" s="6" t="inlineStr">
        <is>
          <t>2026-10-19</t>
        </is>
      </c>
      <c r="AF18" s="6" t="inlineStr">
        <is>
          <t>WD-019/020; CH-0010..0013</t>
        </is>
      </c>
      <c r="AG18" s="6" t="inlineStr"/>
      <c r="AH18" s="6" t="inlineStr">
        <is>
          <t>No for presentation</t>
        </is>
      </c>
      <c r="AI18" s="6" t="inlineStr"/>
      <c r="AJ18" s="6" t="inlineStr">
        <is>
          <t>SRC-11 canonical</t>
        </is>
      </c>
      <c r="AK18" s="6" t="inlineStr">
        <is>
          <t>SRC-06 C10-C13, HYP-0013</t>
        </is>
      </c>
      <c r="AL18" s="6" t="inlineStr">
        <is>
          <t>S05</t>
        </is>
      </c>
    </row>
    <row r="19" ht="53" customHeight="1">
      <c r="A19" s="5" t="inlineStr">
        <is>
          <t>N-16</t>
        </is>
      </c>
      <c r="B19" s="6" t="inlineStr">
        <is>
          <t>No design record is approved; human review of the v4 package pending</t>
        </is>
      </c>
      <c r="C19" s="6" t="inlineStr">
        <is>
          <t>OPEN</t>
        </is>
      </c>
      <c r="D19" s="6">
        <f>IFERROR(INDEX(Lists!$B$2:$B$14,MATCH(C19,Lists!$A$2:$A$14,0)),"?")</f>
        <v/>
      </c>
      <c r="E19" s="6">
        <f>IF(COUNTIFS(Links!$B$2:$B$600,A19,Links!$E$2:$E$600,"Yes")&gt;0,"REVISE","")</f>
        <v/>
      </c>
      <c r="F19" s="6">
        <f>COUNTIFS(Links!$B$2:$B$600,A19,Links!$D$2:$D$600,"No",Links!$C$2:$C$600,"&lt;&gt;INFORMS")</f>
        <v/>
      </c>
      <c r="G19" s="9" t="inlineStr">
        <is>
          <t>USER-DECISION</t>
        </is>
      </c>
      <c r="H19" s="6" t="inlineStr">
        <is>
          <t>K6 Deliverable &amp; authorization</t>
        </is>
      </c>
      <c r="I19" s="6" t="inlineStr">
        <is>
          <t>G5 Housekeeping / no block</t>
        </is>
      </c>
      <c r="J19" s="6" t="inlineStr">
        <is>
          <t>Low</t>
        </is>
      </c>
      <c r="K19" s="6" t="n">
        <v>45</v>
      </c>
      <c r="L19" s="6" t="inlineStr">
        <is>
          <t>W1 Decide</t>
        </is>
      </c>
      <c r="M19" s="6" t="inlineStr">
        <is>
          <t>S08</t>
        </is>
      </c>
      <c r="N19" s="6" t="inlineStr">
        <is>
          <t>You</t>
        </is>
      </c>
      <c r="O19" s="6" t="inlineStr">
        <is>
          <t>Answer Q-U25</t>
        </is>
      </c>
      <c r="P19" s="6" t="inlineStr">
        <is>
          <t>n/a</t>
        </is>
      </c>
      <c r="Q19" s="6" t="inlineStr">
        <is>
          <t>Decision</t>
        </is>
      </c>
      <c r="R19" s="6" t="inlineStr">
        <is>
          <t>Item</t>
        </is>
      </c>
      <c r="S19" s="6" t="inlineStr"/>
      <c r="T19" s="6" t="inlineStr">
        <is>
          <t>Every design record is provisional/proposed; `approved` needs the human and a design-level AUTH. STATE asks you to review the brief first, then 02 and 03; AUTHORIZATIONS 'Not yet authorized' lists review/acceptance of results.</t>
        </is>
      </c>
      <c r="U19" s="6" t="inlineStr">
        <is>
          <t>Nothing is approved.</t>
        </is>
      </c>
      <c r="V19" s="6" t="inlineStr">
        <is>
          <t>Records you accept are marked approved under an AUTH, the rest stay proposed.</t>
        </is>
      </c>
      <c r="W19" s="6" t="inlineStr"/>
      <c r="X19" s="6" t="inlineStr"/>
      <c r="Y19" s="6" t="inlineStr">
        <is>
          <t>Q-U25</t>
        </is>
      </c>
      <c r="Z19" s="6" t="inlineStr"/>
      <c r="AA19" s="6" t="inlineStr"/>
      <c r="AB19" s="6" t="inlineStr">
        <is>
          <t>DEC</t>
        </is>
      </c>
      <c r="AC19" s="6" t="inlineStr">
        <is>
          <t>n/a (new)</t>
        </is>
      </c>
      <c r="AD19" s="6" t="inlineStr">
        <is>
          <t>NEW (repo sweep)</t>
        </is>
      </c>
      <c r="AE19" s="6" t="inlineStr">
        <is>
          <t>2026-10-19</t>
        </is>
      </c>
      <c r="AF19" s="6" t="inlineStr">
        <is>
          <t>STATE; AUTHORIZATIONS</t>
        </is>
      </c>
      <c r="AG19" s="6" t="inlineStr"/>
      <c r="AH19" s="6" t="inlineStr">
        <is>
          <t>Yes (design-level)</t>
        </is>
      </c>
      <c r="AI19" s="6" t="inlineStr"/>
      <c r="AJ19" s="6" t="inlineStr">
        <is>
          <t>repo: STATE open item 1; AUTHORIZATIONS 'Not yet authorized'</t>
        </is>
      </c>
      <c r="AK19" s="6" t="inlineStr">
        <is>
          <t>STATE open item 1, STATE open item 2</t>
        </is>
      </c>
      <c r="AL19" s="6" t="inlineStr">
        <is>
          <t>S05</t>
        </is>
      </c>
    </row>
    <row r="20" ht="140.5" customHeight="1">
      <c r="A20" s="5" t="inlineStr">
        <is>
          <t>C-E06</t>
        </is>
      </c>
      <c r="B20" s="6" t="inlineStr">
        <is>
          <t>True full-catalogue reference cannot run above n_fit (roughly 200 to 10,000 tools); a substitute does not b...</t>
        </is>
      </c>
      <c r="C20" s="6" t="inlineStr">
        <is>
          <t>LIMITATION - ACCEPTANCE PENDING</t>
        </is>
      </c>
      <c r="D20" s="6">
        <f>IFERROR(INDEX(Lists!$B$2:$B$14,MATCH(C20,Lists!$A$2:$A$14,0)),"?")</f>
        <v/>
      </c>
      <c r="E20" s="6">
        <f>IF(COUNTIFS(Links!$B$2:$B$600,A20,Links!$E$2:$E$600,"Yes")&gt;0,"REVISE","")</f>
        <v/>
      </c>
      <c r="F20" s="6">
        <f>COUNTIFS(Links!$B$2:$B$600,A20,Links!$D$2:$D$600,"No",Links!$C$2:$C$600,"&lt;&gt;INFORMS")</f>
        <v/>
      </c>
      <c r="G20" s="12" t="inlineStr">
        <is>
          <t>ACCEPT-LIMITATION</t>
        </is>
      </c>
      <c r="H20" s="6" t="inlineStr">
        <is>
          <t>K7 Large-catalogue reference</t>
        </is>
      </c>
      <c r="I20" s="6" t="inlineStr">
        <is>
          <t>G3 Before confirmatory study</t>
        </is>
      </c>
      <c r="J20" s="6" t="inlineStr">
        <is>
          <t>Normal</t>
        </is>
      </c>
      <c r="K20" s="6" t="n">
        <v>47</v>
      </c>
      <c r="L20" s="6" t="inlineStr">
        <is>
          <t>W1 Decide</t>
        </is>
      </c>
      <c r="M20" s="6" t="inlineStr">
        <is>
          <t>S08</t>
        </is>
      </c>
      <c r="N20" s="6" t="inlineStr">
        <is>
          <t>You (+Joaa, brief Q4)</t>
        </is>
      </c>
      <c r="O20" s="6" t="inlineStr">
        <is>
          <t>Accept the limitation when you review it (it is a physical limit)</t>
        </is>
      </c>
      <c r="P20" s="6" t="inlineStr">
        <is>
          <t>n/a</t>
        </is>
      </c>
      <c r="Q20" s="6" t="inlineStr">
        <is>
          <t>Limitation</t>
        </is>
      </c>
      <c r="R20" s="6" t="inlineStr">
        <is>
          <t>Item</t>
        </is>
      </c>
      <c r="S20" s="6" t="inlineStr"/>
      <c r="T20" s="6" t="inlineStr">
        <is>
          <t>True full-catalogue reference cannot run above n_fit (roughly 200 to 10,000 tools); a substitute does not become full exposure.</t>
        </is>
      </c>
      <c r="U20"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 2026-10-21 (AUTH-019, the human's decisions): no margin or budget is set (line 16): above the window the study reports the cost-accuracy frontier and the gap to the pool reference; no feasibility test against expose-all is needed there.</t>
        </is>
      </c>
      <c r="V20" s="6" t="inlineStr">
        <is>
          <t>Boundary accepted and claim narrowed; who sets the margin/budget recorded.</t>
        </is>
      </c>
      <c r="W20" s="6" t="inlineStr">
        <is>
          <t>C-D02</t>
        </is>
      </c>
      <c r="X20" s="6" t="inlineStr"/>
      <c r="Y20" s="6" t="inlineStr">
        <is>
          <t>Q-J13</t>
        </is>
      </c>
      <c r="Z20" s="6" t="inlineStr">
        <is>
          <t>JOAA-DECISION</t>
        </is>
      </c>
      <c r="AA20" s="6" t="inlineStr">
        <is>
          <t>K5 Evaluation contract</t>
        </is>
      </c>
      <c r="AB20" s="6" t="inlineStr">
        <is>
          <t>BOUND</t>
        </is>
      </c>
      <c r="AC20" s="6" t="inlineStr">
        <is>
          <t>BOUNDARY</t>
        </is>
      </c>
      <c r="AD20" s="6" t="inlineStr">
        <is>
          <t>UNCHANGED</t>
        </is>
      </c>
      <c r="AE20" s="6" t="inlineStr">
        <is>
          <t>2026-10-21</t>
        </is>
      </c>
      <c r="AF20" s="6" t="inlineStr">
        <is>
          <t>INT-T-005 (requirements/intake/2026-10-21-user-decisions-after-meetings.md)</t>
        </is>
      </c>
      <c r="AG20" s="6" t="inlineStr"/>
      <c r="AH20" s="6" t="inlineStr">
        <is>
          <t>No</t>
        </is>
      </c>
      <c r="AI20" s="6" t="inlineStr"/>
      <c r="AJ20" s="6" t="inlineStr">
        <is>
          <t>SRC-11 canonical</t>
        </is>
      </c>
      <c r="AK20" s="6" t="inlineStr">
        <is>
          <t>SRC-06 S31, SRC-07 32</t>
        </is>
      </c>
      <c r="AL20" s="6" t="inlineStr">
        <is>
          <t>S08</t>
        </is>
      </c>
    </row>
    <row r="21" ht="178" customHeight="1">
      <c r="A21" s="5" t="inlineStr">
        <is>
          <t>C-S17</t>
        </is>
      </c>
      <c r="B21" s="6" t="inlineStr">
        <is>
          <t>Is offline selection cost charged (N_dep, deployment horizon) and shown with and without?</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G3 Before confirmatory study</t>
        </is>
      </c>
      <c r="J21" s="6" t="inlineStr">
        <is>
          <t>Normal</t>
        </is>
      </c>
      <c r="K21" s="6" t="n">
        <v>48</v>
      </c>
      <c r="L21" s="6" t="inlineStr">
        <is>
          <t>W1 Decide</t>
        </is>
      </c>
      <c r="M21" s="6" t="inlineStr">
        <is>
          <t>S08</t>
        </is>
      </c>
      <c r="N21" s="6" t="inlineStr">
        <is>
          <t>Joaa + you</t>
        </is>
      </c>
      <c r="O21" s="6" t="inlineStr">
        <is>
          <t>Decide the treatment of one-time development runs when the end-to-end study is designed</t>
        </is>
      </c>
      <c r="P21" s="6" t="inlineStr">
        <is>
          <t>No</t>
        </is>
      </c>
      <c r="Q21" s="6" t="inlineStr">
        <is>
          <t>Decision</t>
        </is>
      </c>
      <c r="R21" s="6" t="inlineStr">
        <is>
          <t>Item</t>
        </is>
      </c>
      <c r="S21" s="6" t="inlineStr"/>
      <c r="T21" s="6" t="inlineStr">
        <is>
          <t>Is offline selection cost charged (N_dep, deployment horizon) and shown with and without?</t>
        </is>
      </c>
      <c r="U21"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 2026-10-21 (AUTH-019, the human's decisions): the human points the offline-cost question to the bill on average (line 10 'go chcek what i said for QJ03', line 8): what the policy spends to select or discover tools is part of the averaged bill; how a one-time offline development run is charged is not stated.</t>
        </is>
      </c>
      <c r="V21" s="6" t="inlineStr">
        <is>
          <t>Convention and horizon fixed.</t>
        </is>
      </c>
      <c r="W21" s="6" t="inlineStr">
        <is>
          <t>C-D02</t>
        </is>
      </c>
      <c r="X21" s="6" t="inlineStr"/>
      <c r="Y21" s="6" t="inlineStr">
        <is>
          <t>Q-J19</t>
        </is>
      </c>
      <c r="Z21" s="6" t="inlineStr">
        <is>
          <t>USER-DECISION</t>
        </is>
      </c>
      <c r="AA21" s="6" t="inlineStr">
        <is>
          <t>K5 Evaluation contract</t>
        </is>
      </c>
      <c r="AB21" s="6" t="inlineStr">
        <is>
          <t>DEC+DATA</t>
        </is>
      </c>
      <c r="AC21" s="6" t="inlineStr">
        <is>
          <t>PARTLY ANSWERED - OPEN</t>
        </is>
      </c>
      <c r="AD21" s="6" t="inlineStr">
        <is>
          <t>UNCHANGED</t>
        </is>
      </c>
      <c r="AE21" s="6" t="inlineStr">
        <is>
          <t>2026-10-21</t>
        </is>
      </c>
      <c r="AF21" s="6" t="inlineStr">
        <is>
          <t>INT-T-005 (requirements/intake/2026-10-21-user-decisions-after-meetings.md)</t>
        </is>
      </c>
      <c r="AG21" s="6" t="inlineStr"/>
      <c r="AH21" s="6" t="inlineStr">
        <is>
          <t>No</t>
        </is>
      </c>
      <c r="AI21" s="6" t="inlineStr"/>
      <c r="AJ21" s="6" t="inlineStr">
        <is>
          <t>SRC-11 canonical</t>
        </is>
      </c>
      <c r="AK21" s="6" t="inlineStr">
        <is>
          <t>SRC-06 S35</t>
        </is>
      </c>
      <c r="AL21" s="6" t="inlineStr">
        <is>
          <t>S08</t>
        </is>
      </c>
    </row>
    <row r="22" ht="53" customHeight="1">
      <c r="A22" s="5" t="inlineStr">
        <is>
          <t>C-D08/ARMS-CACHE</t>
        </is>
      </c>
      <c r="B22" s="6" t="inlineStr">
        <is>
          <t>New arm candidates from the cache/memory addendum (memory-seeded core, re-ordering vs append-only, 5-min vs 1-h write)</t>
        </is>
      </c>
      <c r="C22" s="6" t="inlineStr">
        <is>
          <t>OPEN</t>
        </is>
      </c>
      <c r="D22" s="6">
        <f>IFERROR(INDEX(Lists!$B$2:$B$14,MATCH(C22,Lists!$A$2:$A$14,0)),"?")</f>
        <v/>
      </c>
      <c r="E22" s="6">
        <f>IF(COUNTIFS(Links!$B$2:$B$600,A22,Links!$E$2:$E$600,"Yes")&gt;0,"REVISE","")</f>
        <v/>
      </c>
      <c r="F22" s="6">
        <f>COUNTIFS(Links!$B$2:$B$600,A22,Links!$D$2:$D$600,"No",Links!$C$2:$C$600,"&lt;&gt;INFORMS")</f>
        <v/>
      </c>
      <c r="G22" s="13" t="inlineStr">
        <is>
          <t>DESK-ANALYSIS</t>
        </is>
      </c>
      <c r="H22" s="6" t="inlineStr">
        <is>
          <t>K9 Cache &amp; billing</t>
        </is>
      </c>
      <c r="I22" s="6" t="inlineStr">
        <is>
          <t>G1 Before any implementation</t>
        </is>
      </c>
      <c r="J22" s="6" t="inlineStr">
        <is>
          <t>High</t>
        </is>
      </c>
      <c r="K22" s="6" t="n">
        <v>50</v>
      </c>
      <c r="L22" s="6" t="inlineStr">
        <is>
          <t>W2 Desk work (no model runs)</t>
        </is>
      </c>
      <c r="M22" s="6" t="inlineStr">
        <is>
          <t>S09</t>
        </is>
      </c>
      <c r="N22" s="6" t="inlineStr">
        <is>
          <t>Joaa + you (or a documented pilot)</t>
        </is>
      </c>
      <c r="O22" s="6" t="inlineStr">
        <is>
          <t>Lead computes or writes it (no model runs)</t>
        </is>
      </c>
      <c r="P22" s="6" t="inlineStr">
        <is>
          <t>No</t>
        </is>
      </c>
      <c r="Q22" s="6" t="inlineStr">
        <is>
          <t>Parameter</t>
        </is>
      </c>
      <c r="R22" s="6" t="inlineStr">
        <is>
          <t>Sub-item</t>
        </is>
      </c>
      <c r="S22" s="6" t="inlineStr">
        <is>
          <t>C-D08</t>
        </is>
      </c>
      <c r="T22" s="6" t="inlineStr">
        <is>
          <t>v4-04 section 5 lists candidate arms not yet in the arm table: a memory-seeded core after a shared prefix; core re-ordering vs append-only; a one-hour vs five-minute write choice by expected session gap.</t>
        </is>
      </c>
      <c r="U22" s="6" t="inlineStr">
        <is>
          <t>Unset.</t>
        </is>
      </c>
      <c r="V22" s="6" t="inlineStr">
        <is>
          <t>Set in the evaluation contract, or deferred to a documented pilot with Joaa's agreement.</t>
        </is>
      </c>
      <c r="W22" s="6" t="inlineStr"/>
      <c r="X22" s="6" t="inlineStr">
        <is>
          <t>N-2, C-D02</t>
        </is>
      </c>
      <c r="Y22" s="6" t="inlineStr">
        <is>
          <t>Q-J06, Q-J26, Q-J27</t>
        </is>
      </c>
      <c r="Z22" s="6" t="inlineStr">
        <is>
          <t>JOAA-DECISION</t>
        </is>
      </c>
      <c r="AA22" s="6" t="inlineStr"/>
      <c r="AB22" s="6" t="inlineStr">
        <is>
          <t>DEC+DATA</t>
        </is>
      </c>
      <c r="AC22" s="6" t="inlineStr">
        <is>
          <t>n/a (sub-item)</t>
        </is>
      </c>
      <c r="AD22" s="6" t="inlineStr">
        <is>
          <t>NEW (repo sweep)</t>
        </is>
      </c>
      <c r="AE22" s="6" t="inlineStr">
        <is>
          <t>2026-10-19</t>
        </is>
      </c>
      <c r="AF22" s="6" t="inlineStr">
        <is>
          <t>v4-04 section 5</t>
        </is>
      </c>
      <c r="AG22" s="6" t="inlineStr"/>
      <c r="AH22" s="6" t="inlineStr">
        <is>
          <t>No</t>
        </is>
      </c>
      <c r="AI22" s="6" t="inlineStr"/>
      <c r="AJ22" s="6" t="inlineStr">
        <is>
          <t>repo: v4-02 / v3-04 section 5 / v2-05 section 3</t>
        </is>
      </c>
      <c r="AK22" s="6" t="inlineStr"/>
      <c r="AL22" s="6" t="inlineStr">
        <is>
          <t>S06</t>
        </is>
      </c>
    </row>
    <row r="23" ht="128" customHeight="1">
      <c r="A23" s="5" t="inlineStr">
        <is>
          <t>C-D08/ALPHA</t>
        </is>
      </c>
      <c r="B23" s="6" t="inlineStr">
        <is>
          <t>alpha / family error rate</t>
        </is>
      </c>
      <c r="C23" s="6" t="inlineStr">
        <is>
          <t>DEFERRED</t>
        </is>
      </c>
      <c r="D23" s="6">
        <f>IFERROR(INDEX(Lists!$B$2:$B$14,MATCH(C23,Lists!$A$2:$A$14,0)),"?")</f>
        <v/>
      </c>
      <c r="E23" s="6">
        <f>IF(COUNTIFS(Links!$B$2:$B$600,A23,Links!$E$2:$E$600,"Yes")&gt;0,"REVISE","")</f>
        <v/>
      </c>
      <c r="F23" s="6">
        <f>COUNTIFS(Links!$B$2:$B$600,A23,Links!$D$2:$D$600,"No",Links!$C$2:$C$600,"&lt;&gt;INFORMS")</f>
        <v/>
      </c>
      <c r="G23" s="10" t="inlineStr">
        <is>
          <t>JOAA-DECISION</t>
        </is>
      </c>
      <c r="H23" s="6" t="inlineStr">
        <is>
          <t>K5 Evaluation contract</t>
        </is>
      </c>
      <c r="I23" s="6" t="inlineStr">
        <is>
          <t>G1 Before any implementation</t>
        </is>
      </c>
      <c r="J23" s="6" t="inlineStr">
        <is>
          <t>High</t>
        </is>
      </c>
      <c r="K23" s="6" t="n">
        <v>51</v>
      </c>
      <c r="L23" s="6" t="inlineStr">
        <is>
          <t>W2 Desk work (no model runs)</t>
        </is>
      </c>
      <c r="M23" s="6" t="inlineStr">
        <is>
          <t>S09</t>
        </is>
      </c>
      <c r="N23" s="6" t="inlineStr">
        <is>
          <t>Joaa + you (or a documented pilot)</t>
        </is>
      </c>
      <c r="O23" s="6" t="inlineStr">
        <is>
          <t>none until the trigger fires</t>
        </is>
      </c>
      <c r="P23" s="6" t="inlineStr">
        <is>
          <t>No</t>
        </is>
      </c>
      <c r="Q23" s="6" t="inlineStr">
        <is>
          <t>Parameter</t>
        </is>
      </c>
      <c r="R23" s="6" t="inlineStr">
        <is>
          <t>Sub-item</t>
        </is>
      </c>
      <c r="S23" s="6" t="inlineStr">
        <is>
          <t>C-D08</t>
        </is>
      </c>
      <c r="T23" s="6" t="inlineStr">
        <is>
          <t>alpha and the family error rate over the arm table are unset (R7: unnamed).</t>
        </is>
      </c>
      <c r="U23"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23" s="6" t="inlineStr">
        <is>
          <t>Set in the evaluation contract, or deferred to a documented pilot with Joaa's agreement.</t>
        </is>
      </c>
      <c r="W23" s="6" t="inlineStr"/>
      <c r="X23" s="6" t="inlineStr"/>
      <c r="Y23" s="6" t="inlineStr">
        <is>
          <t>Q-J20</t>
        </is>
      </c>
      <c r="Z23" s="6" t="inlineStr">
        <is>
          <t>DESK-ANALYSIS</t>
        </is>
      </c>
      <c r="AA23" s="6" t="inlineStr"/>
      <c r="AB23" s="6" t="inlineStr">
        <is>
          <t>DEC+DATA</t>
        </is>
      </c>
      <c r="AC23" s="6" t="inlineStr">
        <is>
          <t>n/a (sub-item)</t>
        </is>
      </c>
      <c r="AD23" s="6" t="inlineStr">
        <is>
          <t>NEW (repo sweep)</t>
        </is>
      </c>
      <c r="AE23" s="6" t="inlineStr">
        <is>
          <t>2026-10-21</t>
        </is>
      </c>
      <c r="AF23" s="6" t="inlineStr">
        <is>
          <t>INT-T-005 (requirements/intake/2026-10-21-user-decisions-after-meetings.md)</t>
        </is>
      </c>
      <c r="AG23" s="6" t="inlineStr">
        <is>
          <t>The end-to-end study is designed</t>
        </is>
      </c>
      <c r="AH23" s="6" t="inlineStr">
        <is>
          <t>No</t>
        </is>
      </c>
      <c r="AI23" s="6" t="inlineStr"/>
      <c r="AJ23" s="6" t="inlineStr">
        <is>
          <t>repo: v4-02 / v3-04 section 5 / v2-05 section 3</t>
        </is>
      </c>
      <c r="AK23" s="6" t="inlineStr">
        <is>
          <t>alpha, R7</t>
        </is>
      </c>
      <c r="AL23" s="6" t="inlineStr">
        <is>
          <t>S08</t>
        </is>
      </c>
    </row>
    <row r="24" ht="53" customHeight="1">
      <c r="A24" s="5" t="inlineStr">
        <is>
          <t>C-D08/ARMS</t>
        </is>
      </c>
      <c r="B24" s="6" t="inlineStr">
        <is>
          <t>Arm-table composition (trigger arms, navigated hierarchy, ordered-core arms, size of the table)</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K5 Evaluation contract</t>
        </is>
      </c>
      <c r="I24" s="6" t="inlineStr">
        <is>
          <t>G1 Before any implementation</t>
        </is>
      </c>
      <c r="J24" s="6" t="inlineStr">
        <is>
          <t>High</t>
        </is>
      </c>
      <c r="K24" s="6" t="n">
        <v>52</v>
      </c>
      <c r="L24" s="6" t="inlineStr">
        <is>
          <t>W2 Desk work (no model runs)</t>
        </is>
      </c>
      <c r="M24" s="6" t="inlineStr">
        <is>
          <t>S09</t>
        </is>
      </c>
      <c r="N24" s="6" t="inlineStr">
        <is>
          <t>Joaa + you (or a documented pilot)</t>
        </is>
      </c>
      <c r="O24" s="6" t="inlineStr">
        <is>
          <t>Ask Joaa (Q-J07)</t>
        </is>
      </c>
      <c r="P24" s="6" t="inlineStr">
        <is>
          <t>No</t>
        </is>
      </c>
      <c r="Q24" s="6" t="inlineStr">
        <is>
          <t>Parameter</t>
        </is>
      </c>
      <c r="R24" s="6" t="inlineStr">
        <is>
          <t>Sub-item</t>
        </is>
      </c>
      <c r="S24" s="6" t="inlineStr">
        <is>
          <t>C-D08</t>
        </is>
      </c>
      <c r="T24" s="6" t="inlineStr">
        <is>
          <t>The arm table must be fixed before any run: at least three trigger arms (after results, at finish, both), the navigated-hierarchy arm, ordered-core arms if a need estimator exists; its size drives multiplicity and power.</t>
        </is>
      </c>
      <c r="U24" s="6" t="inlineStr">
        <is>
          <t>Unset.</t>
        </is>
      </c>
      <c r="V24" s="6" t="inlineStr">
        <is>
          <t>Set in the evaluation contract, or deferred to a documented pilot with Joaa's agreement.</t>
        </is>
      </c>
      <c r="W24" s="6" t="inlineStr"/>
      <c r="X24" s="6" t="inlineStr"/>
      <c r="Y24" s="6" t="inlineStr">
        <is>
          <t>Q-J07</t>
        </is>
      </c>
      <c r="Z24" s="6" t="inlineStr">
        <is>
          <t>DESK-ANALYSIS</t>
        </is>
      </c>
      <c r="AA24" s="6" t="inlineStr"/>
      <c r="AB24" s="6" t="inlineStr">
        <is>
          <t>DEC+DATA</t>
        </is>
      </c>
      <c r="AC24" s="6" t="inlineStr">
        <is>
          <t>n/a (sub-item)</t>
        </is>
      </c>
      <c r="AD24" s="6" t="inlineStr">
        <is>
          <t>NEW (repo sweep)</t>
        </is>
      </c>
      <c r="AE24" s="6" t="inlineStr">
        <is>
          <t>2026-10-19</t>
        </is>
      </c>
      <c r="AF24" s="6" t="inlineStr">
        <is>
          <t>v4-02 notes 4, section 5</t>
        </is>
      </c>
      <c r="AG24" s="6" t="inlineStr"/>
      <c r="AH24" s="6" t="inlineStr">
        <is>
          <t>No</t>
        </is>
      </c>
      <c r="AI24" s="6" t="inlineStr"/>
      <c r="AJ24" s="6" t="inlineStr">
        <is>
          <t>repo: v4-02 / v3-04 section 5 / v2-05 section 3</t>
        </is>
      </c>
      <c r="AK24" s="6" t="inlineStr">
        <is>
          <t>CH-0040 (a), CH-0049</t>
        </is>
      </c>
      <c r="AL24" s="6" t="inlineStr">
        <is>
          <t>S08</t>
        </is>
      </c>
    </row>
    <row r="25" ht="40.5" customHeight="1">
      <c r="A25" s="5" t="inlineStr">
        <is>
          <t>C-D08/BS</t>
        </is>
      </c>
      <c r="B25" s="6" t="inlineStr">
        <is>
          <t>Discovery budget B_s (and whether the budget is adequate: RA8, RA4)</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K5 Evaluation contract</t>
        </is>
      </c>
      <c r="I25" s="6" t="inlineStr">
        <is>
          <t>G1 Before any implementation</t>
        </is>
      </c>
      <c r="J25" s="6" t="inlineStr">
        <is>
          <t>High</t>
        </is>
      </c>
      <c r="K25" s="6" t="n">
        <v>53</v>
      </c>
      <c r="L25" s="6" t="inlineStr">
        <is>
          <t>W2 Desk work (no model runs)</t>
        </is>
      </c>
      <c r="M25" s="6" t="inlineStr">
        <is>
          <t>S09</t>
        </is>
      </c>
      <c r="N25" s="6" t="inlineStr">
        <is>
          <t>Joaa + you (or a documented pilot)</t>
        </is>
      </c>
      <c r="O25" s="6" t="inlineStr">
        <is>
          <t>Ask Joaa (Q-J20)</t>
        </is>
      </c>
      <c r="P25" s="6" t="inlineStr">
        <is>
          <t>No</t>
        </is>
      </c>
      <c r="Q25" s="6" t="inlineStr">
        <is>
          <t>Parameter</t>
        </is>
      </c>
      <c r="R25" s="6" t="inlineStr">
        <is>
          <t>Sub-item</t>
        </is>
      </c>
      <c r="S25" s="6" t="inlineStr">
        <is>
          <t>C-D08</t>
        </is>
      </c>
      <c r="T25" s="6" t="inlineStr">
        <is>
          <t>The discovery budget B_s and the trajectory/search budgets that must allow the extra calls (RA4, RA8) are unset.</t>
        </is>
      </c>
      <c r="U25" s="6" t="inlineStr">
        <is>
          <t>Unset.</t>
        </is>
      </c>
      <c r="V25" s="6" t="inlineStr">
        <is>
          <t>Set in the evaluation contract, or deferred to a documented pilot with Joaa's agreement.</t>
        </is>
      </c>
      <c r="W25" s="6" t="inlineStr"/>
      <c r="X25" s="6" t="inlineStr"/>
      <c r="Y25" s="6" t="inlineStr">
        <is>
          <t>Q-J20</t>
        </is>
      </c>
      <c r="Z25" s="6" t="inlineStr">
        <is>
          <t>DESK-ANALYSIS</t>
        </is>
      </c>
      <c r="AA25" s="6" t="inlineStr"/>
      <c r="AB25" s="6" t="inlineStr">
        <is>
          <t>DEC+DATA</t>
        </is>
      </c>
      <c r="AC25" s="6" t="inlineStr">
        <is>
          <t>n/a (sub-item)</t>
        </is>
      </c>
      <c r="AD25" s="6" t="inlineStr">
        <is>
          <t>NEW (repo sweep)</t>
        </is>
      </c>
      <c r="AE25" s="6" t="inlineStr">
        <is>
          <t>2026-10-19</t>
        </is>
      </c>
      <c r="AF25" s="6" t="inlineStr">
        <is>
          <t>v4-02 header ('unset')</t>
        </is>
      </c>
      <c r="AG25" s="6" t="inlineStr"/>
      <c r="AH25" s="6" t="inlineStr">
        <is>
          <t>No</t>
        </is>
      </c>
      <c r="AI25" s="6" t="inlineStr"/>
      <c r="AJ25" s="6" t="inlineStr">
        <is>
          <t>repo: v4-02 / v3-04 section 5 / v2-05 section 3</t>
        </is>
      </c>
      <c r="AK25" s="6" t="inlineStr">
        <is>
          <t>B_s, RA8, RA4</t>
        </is>
      </c>
      <c r="AL25" s="6" t="inlineStr">
        <is>
          <t>S08</t>
        </is>
      </c>
    </row>
    <row r="26" ht="53" customHeight="1">
      <c r="A26" s="5" t="inlineStr">
        <is>
          <t>C-D08/CALLLIM</t>
        </is>
      </c>
      <c r="B26" s="6" t="inlineStr">
        <is>
          <t>Call limit: its value and what counts (discovery calls, LLM-classifier calls, the vehicle's 12 tool-call budget)</t>
        </is>
      </c>
      <c r="C26" s="6" t="inlineStr">
        <is>
          <t>OPEN</t>
        </is>
      </c>
      <c r="D26" s="6">
        <f>IFERROR(INDEX(Lists!$B$2:$B$14,MATCH(C26,Lists!$A$2:$A$14,0)),"?")</f>
        <v/>
      </c>
      <c r="E26" s="6">
        <f>IF(COUNTIFS(Links!$B$2:$B$600,A26,Links!$E$2:$E$600,"Yes")&gt;0,"REVISE","")</f>
        <v/>
      </c>
      <c r="F26" s="6">
        <f>COUNTIFS(Links!$B$2:$B$600,A26,Links!$D$2:$D$600,"No",Links!$C$2:$C$600,"&lt;&gt;INFORMS")</f>
        <v/>
      </c>
      <c r="G26" s="13" t="inlineStr">
        <is>
          <t>DESK-ANALYSIS</t>
        </is>
      </c>
      <c r="H26" s="6" t="inlineStr">
        <is>
          <t>K5 Evaluation contract</t>
        </is>
      </c>
      <c r="I26" s="6" t="inlineStr">
        <is>
          <t>G1 Before any implementation</t>
        </is>
      </c>
      <c r="J26" s="6" t="inlineStr">
        <is>
          <t>High</t>
        </is>
      </c>
      <c r="K26" s="6" t="n">
        <v>54</v>
      </c>
      <c r="L26" s="6" t="inlineStr">
        <is>
          <t>W2 Desk work (no model runs)</t>
        </is>
      </c>
      <c r="M26" s="6" t="inlineStr">
        <is>
          <t>S09</t>
        </is>
      </c>
      <c r="N26" s="6" t="inlineStr">
        <is>
          <t>Joaa + you (or a documented pilot)</t>
        </is>
      </c>
      <c r="O26" s="6" t="inlineStr">
        <is>
          <t>Lead computes or writes it (no model runs)</t>
        </is>
      </c>
      <c r="P26" s="6" t="inlineStr">
        <is>
          <t>No</t>
        </is>
      </c>
      <c r="Q26" s="6" t="inlineStr">
        <is>
          <t>Parameter</t>
        </is>
      </c>
      <c r="R26" s="6" t="inlineStr">
        <is>
          <t>Sub-item</t>
        </is>
      </c>
      <c r="S26" s="6" t="inlineStr">
        <is>
          <t>C-D08</t>
        </is>
      </c>
      <c r="T26" s="6" t="inlineStr">
        <is>
          <t>The call limit's value is the vehicle's; whether discovery calls count against the vehicle's 12 tool-call budget (a bias against discovery arms) and whether an LLM classifier's calls count are unset.</t>
        </is>
      </c>
      <c r="U26" s="6" t="inlineStr">
        <is>
          <t>Unset.</t>
        </is>
      </c>
      <c r="V26" s="6" t="inlineStr">
        <is>
          <t>Set in the evaluation contract, or deferred to a documented pilot with Joaa's agreement.</t>
        </is>
      </c>
      <c r="W26" s="6" t="inlineStr"/>
      <c r="X26" s="6" t="inlineStr"/>
      <c r="Y26" s="6" t="inlineStr">
        <is>
          <t>Q-J20</t>
        </is>
      </c>
      <c r="Z26" s="6" t="inlineStr">
        <is>
          <t>USER-DECISION</t>
        </is>
      </c>
      <c r="AA26" s="6" t="inlineStr"/>
      <c r="AB26" s="6" t="inlineStr">
        <is>
          <t>DEC+DATA</t>
        </is>
      </c>
      <c r="AC26" s="6" t="inlineStr">
        <is>
          <t>n/a (sub-item)</t>
        </is>
      </c>
      <c r="AD26" s="6" t="inlineStr">
        <is>
          <t>NEW (repo sweep)</t>
        </is>
      </c>
      <c r="AE26" s="6" t="inlineStr">
        <is>
          <t>2026-10-19</t>
        </is>
      </c>
      <c r="AF26" s="6" t="inlineStr">
        <is>
          <t>v4-02 notes 3-4; EXT-0084</t>
        </is>
      </c>
      <c r="AG26" s="6" t="inlineStr"/>
      <c r="AH26" s="6" t="inlineStr">
        <is>
          <t>No</t>
        </is>
      </c>
      <c r="AI26" s="6" t="inlineStr"/>
      <c r="AJ26" s="6" t="inlineStr">
        <is>
          <t>repo: v4-02 / v3-04 section 5 / v2-05 section 3</t>
        </is>
      </c>
      <c r="AK26" s="6" t="inlineStr">
        <is>
          <t>RA4</t>
        </is>
      </c>
      <c r="AL26" s="6" t="inlineStr">
        <is>
          <t>S08</t>
        </is>
      </c>
    </row>
    <row r="27" ht="40.5" customHeight="1">
      <c r="A27" s="5" t="inlineStr">
        <is>
          <t>C-D08/CORESWEEP</t>
        </is>
      </c>
      <c r="B27" s="6" t="inlineStr">
        <is>
          <t>Core-size sweep points and models / catalogue sizes</t>
        </is>
      </c>
      <c r="C27" s="6" t="inlineStr">
        <is>
          <t>OPEN</t>
        </is>
      </c>
      <c r="D27" s="6">
        <f>IFERROR(INDEX(Lists!$B$2:$B$14,MATCH(C27,Lists!$A$2:$A$14,0)),"?")</f>
        <v/>
      </c>
      <c r="E27" s="6">
        <f>IF(COUNTIFS(Links!$B$2:$B$600,A27,Links!$E$2:$E$600,"Yes")&gt;0,"REVISE","")</f>
        <v/>
      </c>
      <c r="F27" s="6">
        <f>COUNTIFS(Links!$B$2:$B$600,A27,Links!$D$2:$D$600,"No",Links!$C$2:$C$600,"&lt;&gt;INFORMS")</f>
        <v/>
      </c>
      <c r="G27" s="13" t="inlineStr">
        <is>
          <t>DESK-ANALYSIS</t>
        </is>
      </c>
      <c r="H27" s="6" t="inlineStr">
        <is>
          <t>K5 Evaluation contract</t>
        </is>
      </c>
      <c r="I27" s="6" t="inlineStr">
        <is>
          <t>G1 Before any implementation</t>
        </is>
      </c>
      <c r="J27" s="6" t="inlineStr">
        <is>
          <t>High</t>
        </is>
      </c>
      <c r="K27" s="6" t="n">
        <v>55</v>
      </c>
      <c r="L27" s="6" t="inlineStr">
        <is>
          <t>W2 Desk work (no model runs)</t>
        </is>
      </c>
      <c r="M27" s="6" t="inlineStr">
        <is>
          <t>S09</t>
        </is>
      </c>
      <c r="N27" s="6" t="inlineStr">
        <is>
          <t>Joaa + you (or a documented pilot)</t>
        </is>
      </c>
      <c r="O27" s="6" t="inlineStr">
        <is>
          <t>Lead computes or writes it (no model runs)</t>
        </is>
      </c>
      <c r="P27" s="6" t="inlineStr">
        <is>
          <t>No</t>
        </is>
      </c>
      <c r="Q27" s="6" t="inlineStr">
        <is>
          <t>Parameter</t>
        </is>
      </c>
      <c r="R27" s="6" t="inlineStr">
        <is>
          <t>Sub-item</t>
        </is>
      </c>
      <c r="S27" s="6" t="inlineStr">
        <is>
          <t>C-D08</t>
        </is>
      </c>
      <c r="T27" s="6" t="inlineStr">
        <is>
          <t>Core-size sweep points, the catalogue sizes and the model set are unset.</t>
        </is>
      </c>
      <c r="U27" s="6" t="inlineStr">
        <is>
          <t>Unset.</t>
        </is>
      </c>
      <c r="V27" s="6" t="inlineStr">
        <is>
          <t>Set in the evaluation contract, or deferred to a documented pilot with Joaa's agreement.</t>
        </is>
      </c>
      <c r="W27" s="6" t="inlineStr"/>
      <c r="X27" s="6" t="inlineStr"/>
      <c r="Y27" s="6" t="inlineStr">
        <is>
          <t>Q-J21</t>
        </is>
      </c>
      <c r="Z27" s="6" t="inlineStr">
        <is>
          <t>DESK-ANALYSIS</t>
        </is>
      </c>
      <c r="AA27" s="6" t="inlineStr"/>
      <c r="AB27" s="6" t="inlineStr">
        <is>
          <t>DEC+DATA</t>
        </is>
      </c>
      <c r="AC27" s="6" t="inlineStr">
        <is>
          <t>n/a (sub-item)</t>
        </is>
      </c>
      <c r="AD27" s="6" t="inlineStr">
        <is>
          <t>NEW (repo sweep)</t>
        </is>
      </c>
      <c r="AE27" s="6" t="inlineStr">
        <is>
          <t>2026-10-19</t>
        </is>
      </c>
      <c r="AF27" s="6" t="inlineStr">
        <is>
          <t>v4-02 header ('unset')</t>
        </is>
      </c>
      <c r="AG27" s="6" t="inlineStr"/>
      <c r="AH27" s="6" t="inlineStr">
        <is>
          <t>No</t>
        </is>
      </c>
      <c r="AI27" s="6" t="inlineStr"/>
      <c r="AJ27" s="6" t="inlineStr">
        <is>
          <t>repo: v4-02 / v3-04 section 5 / v2-05 section 3</t>
        </is>
      </c>
      <c r="AK27" s="6" t="inlineStr">
        <is>
          <t>v1-A9</t>
        </is>
      </c>
      <c r="AL27" s="6" t="inlineStr">
        <is>
          <t>S08</t>
        </is>
      </c>
    </row>
    <row r="28" ht="190.5" customHeight="1">
      <c r="A28" s="5" t="inlineStr">
        <is>
          <t>C-D08/EC1</t>
        </is>
      </c>
      <c r="B28" s="6" t="inlineStr">
        <is>
          <t>Unit of analysis, eligible tasks, models/provider/client versions, repeats</t>
        </is>
      </c>
      <c r="C28" s="6" t="inlineStr">
        <is>
          <t>PARTLY ANSWERED</t>
        </is>
      </c>
      <c r="D28" s="6">
        <f>IFERROR(INDEX(Lists!$B$2:$B$14,MATCH(C28,Lists!$A$2:$A$14,0)),"?")</f>
        <v/>
      </c>
      <c r="E28" s="6">
        <f>IF(COUNTIFS(Links!$B$2:$B$600,A28,Links!$E$2:$E$600,"Yes")&gt;0,"REVISE","")</f>
        <v/>
      </c>
      <c r="F28" s="6">
        <f>COUNTIFS(Links!$B$2:$B$600,A28,Links!$D$2:$D$600,"No",Links!$C$2:$C$600,"&lt;&gt;INFORMS")</f>
        <v/>
      </c>
      <c r="G28" s="13" t="inlineStr">
        <is>
          <t>DESK-ANALYSIS</t>
        </is>
      </c>
      <c r="H28" s="6" t="inlineStr">
        <is>
          <t>K5 Evaluation contract</t>
        </is>
      </c>
      <c r="I28" s="6" t="inlineStr">
        <is>
          <t>G1 Before any implementation</t>
        </is>
      </c>
      <c r="J28" s="6" t="inlineStr">
        <is>
          <t>High</t>
        </is>
      </c>
      <c r="K28" s="6" t="n">
        <v>57</v>
      </c>
      <c r="L28" s="6" t="inlineStr">
        <is>
          <t>W2 Desk work (no model runs)</t>
        </is>
      </c>
      <c r="M28" s="6" t="inlineStr">
        <is>
          <t>S09</t>
        </is>
      </c>
      <c r="N28" s="6" t="inlineStr">
        <is>
          <t>Lead drafts; Joaa/you approve</t>
        </is>
      </c>
      <c r="O28" s="6" t="inlineStr">
        <is>
          <t>At implementation</t>
        </is>
      </c>
      <c r="P28" s="6" t="inlineStr">
        <is>
          <t>Partly</t>
        </is>
      </c>
      <c r="Q28" s="6" t="inlineStr">
        <is>
          <t>Contract element</t>
        </is>
      </c>
      <c r="R28" s="6" t="inlineStr">
        <is>
          <t>Sub-item</t>
        </is>
      </c>
      <c r="S28" s="6" t="inlineStr">
        <is>
          <t>C-D08</t>
        </is>
      </c>
      <c r="T28" s="6" t="inlineStr">
        <is>
          <t>SRC-12 Phase 2: the unit of analysis (turn or complete trajectory), eligible tasks, models, provider and client versions and repeats are not fixed.</t>
        </is>
      </c>
      <c r="U28"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 2026-10-21 (AUTH-019, the human's decisions): models and providers are chosen when implementing ('we will get the model list when we start implementing doesnt matter for now', line 9); session patterns: one long run and returning users (line 14).</t>
        </is>
      </c>
      <c r="V28" s="6" t="inlineStr">
        <is>
          <t>Written in the evaluation contract.</t>
        </is>
      </c>
      <c r="W28" s="6" t="inlineStr"/>
      <c r="X28" s="6" t="inlineStr"/>
      <c r="Y28" s="6" t="inlineStr">
        <is>
          <t>Q-J04, Q-J21, Q-J24, Q-J25</t>
        </is>
      </c>
      <c r="Z28" s="6" t="inlineStr">
        <is>
          <t>JOAA-DECISION, USER-DECISION</t>
        </is>
      </c>
      <c r="AA28" s="6" t="inlineStr"/>
      <c r="AB28" s="6" t="inlineStr">
        <is>
          <t>DEC+DATA</t>
        </is>
      </c>
      <c r="AC28" s="6" t="inlineStr">
        <is>
          <t>n/a (sub-item)</t>
        </is>
      </c>
      <c r="AD28" s="6" t="inlineStr">
        <is>
          <t>NEW (SRC-12)</t>
        </is>
      </c>
      <c r="AE28" s="6" t="inlineStr">
        <is>
          <t>2026-10-21</t>
        </is>
      </c>
      <c r="AF28" s="6" t="inlineStr">
        <is>
          <t>INT-T-005 (requirements/intake/2026-10-21-user-decisions-after-meetings.md)</t>
        </is>
      </c>
      <c r="AG28" s="6" t="inlineStr"/>
      <c r="AH28" s="6" t="inlineStr">
        <is>
          <t>No</t>
        </is>
      </c>
      <c r="AI28" s="6" t="inlineStr"/>
      <c r="AJ28" s="6" t="inlineStr">
        <is>
          <t>SRC-12 Phase 2</t>
        </is>
      </c>
      <c r="AK28" s="6" t="inlineStr">
        <is>
          <t>SRC-12 Phase 2 bullet 1, A12</t>
        </is>
      </c>
      <c r="AL28" s="6" t="inlineStr">
        <is>
          <t>S08</t>
        </is>
      </c>
    </row>
    <row r="29" ht="28" customHeight="1">
      <c r="A29" s="5" t="inlineStr">
        <is>
          <t>C-D08/EC2</t>
        </is>
      </c>
      <c r="B29" s="6" t="inlineStr">
        <is>
          <t>Success/failure, argument-error and no-call outcomes: definitions and adjudication</t>
        </is>
      </c>
      <c r="C29" s="6" t="inlineStr">
        <is>
          <t>OPEN</t>
        </is>
      </c>
      <c r="D29" s="6">
        <f>IFERROR(INDEX(Lists!$B$2:$B$14,MATCH(C29,Lists!$A$2:$A$14,0)),"?")</f>
        <v/>
      </c>
      <c r="E29" s="6">
        <f>IF(COUNTIFS(Links!$B$2:$B$600,A29,Links!$E$2:$E$600,"Yes")&gt;0,"REVISE","")</f>
        <v/>
      </c>
      <c r="F29" s="6">
        <f>COUNTIFS(Links!$B$2:$B$600,A29,Links!$D$2:$D$600,"No",Links!$C$2:$C$600,"&lt;&gt;INFORMS")</f>
        <v/>
      </c>
      <c r="G29" s="13" t="inlineStr">
        <is>
          <t>DESK-ANALYSIS</t>
        </is>
      </c>
      <c r="H29" s="6" t="inlineStr">
        <is>
          <t>K5 Evaluation contract</t>
        </is>
      </c>
      <c r="I29" s="6" t="inlineStr">
        <is>
          <t>G1 Before any implementation</t>
        </is>
      </c>
      <c r="J29" s="6" t="inlineStr">
        <is>
          <t>High</t>
        </is>
      </c>
      <c r="K29" s="6" t="n">
        <v>58</v>
      </c>
      <c r="L29" s="6" t="inlineStr">
        <is>
          <t>W2 Desk work (no model runs)</t>
        </is>
      </c>
      <c r="M29" s="6" t="inlineStr">
        <is>
          <t>S09</t>
        </is>
      </c>
      <c r="N29" s="6" t="inlineStr">
        <is>
          <t>Lead drafts; Joaa/you approve</t>
        </is>
      </c>
      <c r="O29" s="6" t="inlineStr">
        <is>
          <t>Lead computes or writes it (no model runs)</t>
        </is>
      </c>
      <c r="P29" s="6" t="inlineStr">
        <is>
          <t>Partly</t>
        </is>
      </c>
      <c r="Q29" s="6" t="inlineStr">
        <is>
          <t>Contract element</t>
        </is>
      </c>
      <c r="R29" s="6" t="inlineStr">
        <is>
          <t>Sub-item</t>
        </is>
      </c>
      <c r="S29" s="6" t="inlineStr">
        <is>
          <t>C-D08</t>
        </is>
      </c>
      <c r="T29" s="6" t="inlineStr">
        <is>
          <t>SRC-12 Phase 2: how success, failure, argument errors and no-call outcomes are defined and adjudicated.</t>
        </is>
      </c>
      <c r="U29" s="6" t="inlineStr">
        <is>
          <t>One scorer required (E2); outcome splits not specified.</t>
        </is>
      </c>
      <c r="V29" s="6" t="inlineStr">
        <is>
          <t>Written in the evaluation contract.</t>
        </is>
      </c>
      <c r="W29" s="6" t="inlineStr"/>
      <c r="X29" s="6" t="inlineStr"/>
      <c r="Y29" s="6" t="inlineStr">
        <is>
          <t>Q-J20</t>
        </is>
      </c>
      <c r="Z29" s="6" t="inlineStr">
        <is>
          <t>JOAA-DECISION, USER-DECISION</t>
        </is>
      </c>
      <c r="AA29" s="6" t="inlineStr"/>
      <c r="AB29" s="6" t="inlineStr">
        <is>
          <t>DEC+DATA</t>
        </is>
      </c>
      <c r="AC29" s="6" t="inlineStr">
        <is>
          <t>n/a (sub-item)</t>
        </is>
      </c>
      <c r="AD29" s="6" t="inlineStr">
        <is>
          <t>NEW (SRC-12)</t>
        </is>
      </c>
      <c r="AE29" s="6" t="inlineStr">
        <is>
          <t>2026-10-19</t>
        </is>
      </c>
      <c r="AF29" s="6" t="inlineStr">
        <is>
          <t>v4-02 (one scorer); C-S09</t>
        </is>
      </c>
      <c r="AG29" s="6" t="inlineStr"/>
      <c r="AH29" s="6" t="inlineStr">
        <is>
          <t>No</t>
        </is>
      </c>
      <c r="AI29" s="6" t="inlineStr"/>
      <c r="AJ29" s="6" t="inlineStr">
        <is>
          <t>SRC-12 Phase 2</t>
        </is>
      </c>
      <c r="AK29" s="6" t="inlineStr">
        <is>
          <t>SRC-12 Phase 2 bullet 2</t>
        </is>
      </c>
      <c r="AL29" s="6" t="inlineStr">
        <is>
          <t>S08</t>
        </is>
      </c>
    </row>
    <row r="30" ht="28" customHeight="1">
      <c r="A30" s="5" t="inlineStr">
        <is>
          <t>C-D08/EC3</t>
        </is>
      </c>
      <c r="B30" s="6" t="inlineStr">
        <is>
          <t>Exposure levels and allowed discovery / re-addition behaviour</t>
        </is>
      </c>
      <c r="C30" s="6" t="inlineStr">
        <is>
          <t>OPEN</t>
        </is>
      </c>
      <c r="D30" s="6">
        <f>IFERROR(INDEX(Lists!$B$2:$B$14,MATCH(C30,Lists!$A$2:$A$14,0)),"?")</f>
        <v/>
      </c>
      <c r="E30" s="6">
        <f>IF(COUNTIFS(Links!$B$2:$B$600,A30,Links!$E$2:$E$600,"Yes")&gt;0,"REVISE","")</f>
        <v/>
      </c>
      <c r="F30" s="6">
        <f>COUNTIFS(Links!$B$2:$B$600,A30,Links!$D$2:$D$600,"No",Links!$C$2:$C$600,"&lt;&gt;INFORMS")</f>
        <v/>
      </c>
      <c r="G30" s="13" t="inlineStr">
        <is>
          <t>DESK-ANALYSIS</t>
        </is>
      </c>
      <c r="H30" s="6" t="inlineStr">
        <is>
          <t>K5 Evaluation contract</t>
        </is>
      </c>
      <c r="I30" s="6" t="inlineStr">
        <is>
          <t>G1 Before any implementation</t>
        </is>
      </c>
      <c r="J30" s="6" t="inlineStr">
        <is>
          <t>High</t>
        </is>
      </c>
      <c r="K30" s="6" t="n">
        <v>59</v>
      </c>
      <c r="L30" s="6" t="inlineStr">
        <is>
          <t>W2 Desk work (no model runs)</t>
        </is>
      </c>
      <c r="M30" s="6" t="inlineStr">
        <is>
          <t>S09</t>
        </is>
      </c>
      <c r="N30" s="6" t="inlineStr">
        <is>
          <t>Lead drafts; Joaa/you approve</t>
        </is>
      </c>
      <c r="O30" s="6" t="inlineStr">
        <is>
          <t>Lead computes or writes it (no model runs)</t>
        </is>
      </c>
      <c r="P30" s="6" t="inlineStr">
        <is>
          <t>Partly</t>
        </is>
      </c>
      <c r="Q30" s="6" t="inlineStr">
        <is>
          <t>Contract element</t>
        </is>
      </c>
      <c r="R30" s="6" t="inlineStr">
        <is>
          <t>Sub-item</t>
        </is>
      </c>
      <c r="S30" s="6" t="inlineStr">
        <is>
          <t>C-D08</t>
        </is>
      </c>
      <c r="T30" s="6" t="inlineStr">
        <is>
          <t>SRC-12 Phase 2: the exposure levels and the discovery or re-addition behaviour allowed in each arm.</t>
        </is>
      </c>
      <c r="U30" s="6" t="inlineStr">
        <is>
          <t>Figure 1 expresses the configurations; exposure levels (named-only/compact/full) not fixed.</t>
        </is>
      </c>
      <c r="V30" s="6" t="inlineStr">
        <is>
          <t>Written in the evaluation contract.</t>
        </is>
      </c>
      <c r="W30" s="6" t="inlineStr"/>
      <c r="X30" s="6" t="inlineStr"/>
      <c r="Y30" s="6" t="inlineStr">
        <is>
          <t>Q-J12</t>
        </is>
      </c>
      <c r="Z30" s="6" t="inlineStr">
        <is>
          <t>JOAA-DECISION, USER-DECISION</t>
        </is>
      </c>
      <c r="AA30" s="6" t="inlineStr"/>
      <c r="AB30" s="6" t="inlineStr">
        <is>
          <t>DEC+DATA</t>
        </is>
      </c>
      <c r="AC30" s="6" t="inlineStr">
        <is>
          <t>n/a (sub-item)</t>
        </is>
      </c>
      <c r="AD30" s="6" t="inlineStr">
        <is>
          <t>NEW (SRC-12)</t>
        </is>
      </c>
      <c r="AE30" s="6" t="inlineStr">
        <is>
          <t>2026-10-19</t>
        </is>
      </c>
      <c r="AF30" s="6" t="inlineStr">
        <is>
          <t>v4-02 Figure 1 and arm table</t>
        </is>
      </c>
      <c r="AG30" s="6" t="inlineStr"/>
      <c r="AH30" s="6" t="inlineStr">
        <is>
          <t>No</t>
        </is>
      </c>
      <c r="AI30" s="6" t="inlineStr"/>
      <c r="AJ30" s="6" t="inlineStr">
        <is>
          <t>SRC-12 Phase 2</t>
        </is>
      </c>
      <c r="AK30" s="6" t="inlineStr">
        <is>
          <t>SRC-12 Phase 2 bullet 3</t>
        </is>
      </c>
      <c r="AL30" s="6" t="inlineStr">
        <is>
          <t>S08</t>
        </is>
      </c>
    </row>
    <row r="31" ht="28" customHeight="1">
      <c r="A31" s="5" t="inlineStr">
        <is>
          <t>C-D08/EC4</t>
        </is>
      </c>
      <c r="B31" s="6" t="inlineStr">
        <is>
          <t>Reference arm(s), substitute reference, margin, strata, minimum counts</t>
        </is>
      </c>
      <c r="C31" s="6" t="inlineStr">
        <is>
          <t>OPEN</t>
        </is>
      </c>
      <c r="D31" s="6">
        <f>IFERROR(INDEX(Lists!$B$2:$B$14,MATCH(C31,Lists!$A$2:$A$14,0)),"?")</f>
        <v/>
      </c>
      <c r="E31" s="6">
        <f>IF(COUNTIFS(Links!$B$2:$B$600,A31,Links!$E$2:$E$600,"Yes")&gt;0,"REVISE","")</f>
        <v/>
      </c>
      <c r="F31" s="6">
        <f>COUNTIFS(Links!$B$2:$B$600,A31,Links!$D$2:$D$600,"No",Links!$C$2:$C$600,"&lt;&gt;INFORMS")</f>
        <v/>
      </c>
      <c r="G31" s="13" t="inlineStr">
        <is>
          <t>DESK-ANALYSIS</t>
        </is>
      </c>
      <c r="H31" s="6" t="inlineStr">
        <is>
          <t>K5 Evaluation contract</t>
        </is>
      </c>
      <c r="I31" s="6" t="inlineStr">
        <is>
          <t>G1 Before any implementation</t>
        </is>
      </c>
      <c r="J31" s="6" t="inlineStr">
        <is>
          <t>High</t>
        </is>
      </c>
      <c r="K31" s="6" t="n">
        <v>60</v>
      </c>
      <c r="L31" s="6" t="inlineStr">
        <is>
          <t>W2 Desk work (no model runs)</t>
        </is>
      </c>
      <c r="M31" s="6" t="inlineStr">
        <is>
          <t>S09</t>
        </is>
      </c>
      <c r="N31" s="6" t="inlineStr">
        <is>
          <t>Lead drafts; Joaa/you approve</t>
        </is>
      </c>
      <c r="O31" s="6" t="inlineStr">
        <is>
          <t>Lead computes or writes it (no model runs)</t>
        </is>
      </c>
      <c r="P31" s="6" t="inlineStr">
        <is>
          <t>Partly</t>
        </is>
      </c>
      <c r="Q31" s="6" t="inlineStr">
        <is>
          <t>Contract element</t>
        </is>
      </c>
      <c r="R31" s="6" t="inlineStr">
        <is>
          <t>Sub-item</t>
        </is>
      </c>
      <c r="S31" s="6" t="inlineStr">
        <is>
          <t>C-D08</t>
        </is>
      </c>
      <c r="T31" s="6" t="inlineStr">
        <is>
          <t>SRC-12 Phase 2: reference arm(s), any substitute reference, success margin, strata and minimum counts.</t>
        </is>
      </c>
      <c r="U31" s="6" t="inlineStr">
        <is>
          <t>Reference ladder defined; margin, strata, counts unset.</t>
        </is>
      </c>
      <c r="V31" s="6" t="inlineStr">
        <is>
          <t>Written in the evaluation contract.</t>
        </is>
      </c>
      <c r="W31" s="6" t="inlineStr"/>
      <c r="X31" s="6" t="inlineStr"/>
      <c r="Y31" s="6" t="inlineStr">
        <is>
          <t>Q-J20</t>
        </is>
      </c>
      <c r="Z31" s="6" t="inlineStr">
        <is>
          <t>JOAA-DECISION, USER-DECISION</t>
        </is>
      </c>
      <c r="AA31" s="6" t="inlineStr"/>
      <c r="AB31" s="6" t="inlineStr">
        <is>
          <t>DEC+DATA</t>
        </is>
      </c>
      <c r="AC31" s="6" t="inlineStr">
        <is>
          <t>n/a (sub-item)</t>
        </is>
      </c>
      <c r="AD31" s="6" t="inlineStr">
        <is>
          <t>NEW (SRC-12)</t>
        </is>
      </c>
      <c r="AE31" s="6" t="inlineStr">
        <is>
          <t>2026-10-19</t>
        </is>
      </c>
      <c r="AF31" s="6" t="inlineStr">
        <is>
          <t>v4-02 sections 4, 6, 7</t>
        </is>
      </c>
      <c r="AG31" s="6" t="inlineStr"/>
      <c r="AH31" s="6" t="inlineStr">
        <is>
          <t>No</t>
        </is>
      </c>
      <c r="AI31" s="6" t="inlineStr"/>
      <c r="AJ31" s="6" t="inlineStr">
        <is>
          <t>SRC-12 Phase 2</t>
        </is>
      </c>
      <c r="AK31" s="6" t="inlineStr">
        <is>
          <t>SRC-12 Phase 2 bullet 4</t>
        </is>
      </c>
      <c r="AL31" s="6" t="inlineStr">
        <is>
          <t>S08</t>
        </is>
      </c>
    </row>
    <row r="32" ht="128" customHeight="1">
      <c r="A32" s="5" t="inlineStr">
        <is>
          <t>C-D08/EC5</t>
        </is>
      </c>
      <c r="B32" s="6" t="inlineStr">
        <is>
          <t>Accounting: input tokens, cached/billed cost, latency, offline selection cost</t>
        </is>
      </c>
      <c r="C32" s="6" t="inlineStr">
        <is>
          <t>PARTLY ANSWERED</t>
        </is>
      </c>
      <c r="D32" s="6">
        <f>IFERROR(INDEX(Lists!$B$2:$B$14,MATCH(C32,Lists!$A$2:$A$14,0)),"?")</f>
        <v/>
      </c>
      <c r="E32" s="6">
        <f>IF(COUNTIFS(Links!$B$2:$B$600,A32,Links!$E$2:$E$600,"Yes")&gt;0,"REVISE","")</f>
        <v/>
      </c>
      <c r="F32" s="6">
        <f>COUNTIFS(Links!$B$2:$B$600,A32,Links!$D$2:$D$600,"No",Links!$C$2:$C$600,"&lt;&gt;INFORMS")</f>
        <v/>
      </c>
      <c r="G32" s="13" t="inlineStr">
        <is>
          <t>DESK-ANALYSIS</t>
        </is>
      </c>
      <c r="H32" s="6" t="inlineStr">
        <is>
          <t>K5 Evaluation contract</t>
        </is>
      </c>
      <c r="I32" s="6" t="inlineStr">
        <is>
          <t>G1 Before any implementation</t>
        </is>
      </c>
      <c r="J32" s="6" t="inlineStr">
        <is>
          <t>High</t>
        </is>
      </c>
      <c r="K32" s="6" t="n">
        <v>61</v>
      </c>
      <c r="L32" s="6" t="inlineStr">
        <is>
          <t>W2 Desk work (no model runs)</t>
        </is>
      </c>
      <c r="M32" s="6" t="inlineStr">
        <is>
          <t>S09</t>
        </is>
      </c>
      <c r="N32" s="6" t="inlineStr">
        <is>
          <t>Lead drafts; Joaa/you approve</t>
        </is>
      </c>
      <c r="O32" s="6" t="inlineStr">
        <is>
          <t>Adopt the equation (N-30) into the contract</t>
        </is>
      </c>
      <c r="P32" s="6" t="inlineStr">
        <is>
          <t>Partly</t>
        </is>
      </c>
      <c r="Q32" s="6" t="inlineStr">
        <is>
          <t>Contract element</t>
        </is>
      </c>
      <c r="R32" s="6" t="inlineStr">
        <is>
          <t>Sub-item</t>
        </is>
      </c>
      <c r="S32" s="6" t="inlineStr">
        <is>
          <t>C-D08</t>
        </is>
      </c>
      <c r="T32" s="6" t="inlineStr">
        <is>
          <t>SRC-12 Phase 2: input-token accounting, cached and billed cost, latency and offline selection cost (separate columns if the objective is undecided).</t>
        </is>
      </c>
      <c r="U32" s="6" t="inlineStr">
        <is>
          <t>Tokens are the working criterion; bill recorded separately; latency is not in any criterion. 2026-10-21 (AUTH-018): money cost per turn, tokens and response time, averaged over turns (INT-T-002 L275, L302, L354); filtering cost counts (INT-T-004 E230-E232). 2026-10-21 (AUTH-019, the human's decisions): accounting = the bill on average over turns and sessions with its components (C-D02 closed); the canonical equation is being drafted (N-30).</t>
        </is>
      </c>
      <c r="V32" s="6" t="inlineStr">
        <is>
          <t>Written in the evaluation contract.</t>
        </is>
      </c>
      <c r="W32" s="6" t="inlineStr"/>
      <c r="X32" s="6" t="inlineStr"/>
      <c r="Y32" s="6" t="inlineStr">
        <is>
          <t>Q-J03</t>
        </is>
      </c>
      <c r="Z32" s="6" t="inlineStr">
        <is>
          <t>JOAA-DECISION, USER-DECISION</t>
        </is>
      </c>
      <c r="AA32" s="6" t="inlineStr"/>
      <c r="AB32" s="6" t="inlineStr">
        <is>
          <t>DEC+DATA</t>
        </is>
      </c>
      <c r="AC32" s="6" t="inlineStr">
        <is>
          <t>n/a (sub-item)</t>
        </is>
      </c>
      <c r="AD32" s="6" t="inlineStr">
        <is>
          <t>NEW (SRC-12)</t>
        </is>
      </c>
      <c r="AE32" s="6" t="inlineStr">
        <is>
          <t>2026-10-21</t>
        </is>
      </c>
      <c r="AF32" s="6" t="inlineStr">
        <is>
          <t>INT-T-005 (requirements/intake/2026-10-21-user-decisions-after-meetings.md)</t>
        </is>
      </c>
      <c r="AG32" s="6" t="inlineStr"/>
      <c r="AH32" s="6" t="inlineStr">
        <is>
          <t>No</t>
        </is>
      </c>
      <c r="AI32" s="6" t="inlineStr"/>
      <c r="AJ32" s="6" t="inlineStr">
        <is>
          <t>SRC-12 Phase 2</t>
        </is>
      </c>
      <c r="AK32" s="6" t="inlineStr">
        <is>
          <t>SRC-12 Phase 2 bullet 5</t>
        </is>
      </c>
      <c r="AL32" s="6" t="inlineStr">
        <is>
          <t>S08</t>
        </is>
      </c>
    </row>
    <row r="33" ht="65.5" customHeight="1">
      <c r="A33" s="5" t="inlineStr">
        <is>
          <t>C-D08/EC6</t>
        </is>
      </c>
      <c r="B33" s="6" t="inlineStr">
        <is>
          <t>Analysis plan, stopping rule, uncertainty intervals, exclusions, large-catalogue claim boundary</t>
        </is>
      </c>
      <c r="C33" s="6" t="inlineStr">
        <is>
          <t>PARTLY ANSWERED</t>
        </is>
      </c>
      <c r="D33" s="6">
        <f>IFERROR(INDEX(Lists!$B$2:$B$14,MATCH(C33,Lists!$A$2:$A$14,0)),"?")</f>
        <v/>
      </c>
      <c r="E33" s="6">
        <f>IF(COUNTIFS(Links!$B$2:$B$600,A33,Links!$E$2:$E$600,"Yes")&gt;0,"REVISE","")</f>
        <v/>
      </c>
      <c r="F33" s="6">
        <f>COUNTIFS(Links!$B$2:$B$600,A33,Links!$D$2:$D$600,"No",Links!$C$2:$C$600,"&lt;&gt;INFORMS")</f>
        <v/>
      </c>
      <c r="G33" s="13" t="inlineStr">
        <is>
          <t>DESK-ANALYSIS</t>
        </is>
      </c>
      <c r="H33" s="6" t="inlineStr">
        <is>
          <t>K5 Evaluation contract</t>
        </is>
      </c>
      <c r="I33" s="6" t="inlineStr">
        <is>
          <t>G1 Before any implementation</t>
        </is>
      </c>
      <c r="J33" s="6" t="inlineStr">
        <is>
          <t>High</t>
        </is>
      </c>
      <c r="K33" s="6" t="n">
        <v>62</v>
      </c>
      <c r="L33" s="6" t="inlineStr">
        <is>
          <t>W2 Desk work (no model runs)</t>
        </is>
      </c>
      <c r="M33" s="6" t="inlineStr">
        <is>
          <t>S09</t>
        </is>
      </c>
      <c r="N33" s="6" t="inlineStr">
        <is>
          <t>Lead drafts; Joaa/you approve</t>
        </is>
      </c>
      <c r="O33" s="6" t="inlineStr">
        <is>
          <t>Write the analysis plan</t>
        </is>
      </c>
      <c r="P33" s="6" t="inlineStr">
        <is>
          <t>Partly</t>
        </is>
      </c>
      <c r="Q33" s="6" t="inlineStr">
        <is>
          <t>Contract element</t>
        </is>
      </c>
      <c r="R33" s="6" t="inlineStr">
        <is>
          <t>Sub-item</t>
        </is>
      </c>
      <c r="S33" s="6" t="inlineStr">
        <is>
          <t>C-D08</t>
        </is>
      </c>
      <c r="T33" s="6" t="inlineStr">
        <is>
          <t>SRC-12 Phase 2: analysis plan, stopping rule, intervals, exclusions and the large-catalogue claim boundary.</t>
        </is>
      </c>
      <c r="U33" s="6" t="inlineStr">
        <is>
          <t>Decision rule S5A and Figure 2 exist; stopping rule and exclusions unspecified. 2026-10-21 (AUTH-018): repeated runs per setting to show statistical variance (INT-T-002 L441-L443); averaging over turns with failing turns allowed (L302-L320).</t>
        </is>
      </c>
      <c r="V33" s="6" t="inlineStr">
        <is>
          <t>Written in the evaluation contract.</t>
        </is>
      </c>
      <c r="W33" s="6" t="inlineStr"/>
      <c r="X33" s="6" t="inlineStr"/>
      <c r="Y33" s="6" t="inlineStr">
        <is>
          <t>Q-J20</t>
        </is>
      </c>
      <c r="Z33" s="6" t="inlineStr">
        <is>
          <t>JOAA-DECISION, USER-DECISION</t>
        </is>
      </c>
      <c r="AA33" s="6" t="inlineStr"/>
      <c r="AB33" s="6" t="inlineStr">
        <is>
          <t>DEC+DATA</t>
        </is>
      </c>
      <c r="AC33" s="6" t="inlineStr">
        <is>
          <t>n/a (sub-item)</t>
        </is>
      </c>
      <c r="AD33" s="6" t="inlineStr">
        <is>
          <t>NEW (SRC-12)</t>
        </is>
      </c>
      <c r="AE33" s="6" t="inlineStr">
        <is>
          <t>2026-10-21</t>
        </is>
      </c>
      <c r="AF33" s="6" t="inlineStr">
        <is>
          <t>INT-T-002 (requirements/intake/2026-10-21-supervisor-meeting-2026-10-21-notes-and-transcript.md); mapping design/ledger/notes/MEETINGS-MAPPING-20261021.md checked line by line by FND-0035 and FND-0036; REGISTER section H</t>
        </is>
      </c>
      <c r="AG33" s="6" t="inlineStr"/>
      <c r="AH33" s="6" t="inlineStr">
        <is>
          <t>No</t>
        </is>
      </c>
      <c r="AI33" s="6" t="inlineStr"/>
      <c r="AJ33" s="6" t="inlineStr">
        <is>
          <t>SRC-12 Phase 2</t>
        </is>
      </c>
      <c r="AK33" s="6" t="inlineStr">
        <is>
          <t>SRC-12 Phase 2 bullet 6</t>
        </is>
      </c>
      <c r="AL33" s="6" t="inlineStr">
        <is>
          <t>S08</t>
        </is>
      </c>
    </row>
    <row r="34" ht="265.5" customHeight="1">
      <c r="A34" s="5" t="inlineStr">
        <is>
          <t>C-D08/EXEC</t>
        </is>
      </c>
      <c r="B34" s="6" t="inlineStr">
        <is>
          <t>Identity of 'Executor' and whether it must be an arm (assertion A7)</t>
        </is>
      </c>
      <c r="C34" s="6" t="inlineStr">
        <is>
          <t>PARTLY ANSWERED</t>
        </is>
      </c>
      <c r="D34" s="6">
        <f>IFERROR(INDEX(Lists!$B$2:$B$14,MATCH(C34,Lists!$A$2:$A$14,0)),"?")</f>
        <v/>
      </c>
      <c r="E34" s="6">
        <f>IF(COUNTIFS(Links!$B$2:$B$600,A34,Links!$E$2:$E$600,"Yes")&gt;0,"REVISE","")</f>
        <v/>
      </c>
      <c r="F34" s="6">
        <f>COUNTIFS(Links!$B$2:$B$600,A34,Links!$D$2:$D$600,"No",Links!$C$2:$C$600,"&lt;&gt;INFORMS")</f>
        <v/>
      </c>
      <c r="G34" s="14" t="inlineStr">
        <is>
          <t>SOURCE-REREAD</t>
        </is>
      </c>
      <c r="H34" s="6" t="inlineStr">
        <is>
          <t>K5 Evaluation contract</t>
        </is>
      </c>
      <c r="I34" s="6" t="inlineStr">
        <is>
          <t>G1 Before any implementation</t>
        </is>
      </c>
      <c r="J34" s="6" t="inlineStr">
        <is>
          <t>High</t>
        </is>
      </c>
      <c r="K34" s="6" t="n">
        <v>64</v>
      </c>
      <c r="L34" s="6" t="inlineStr">
        <is>
          <t>W2 Desk work (no model runs)</t>
        </is>
      </c>
      <c r="M34" s="6" t="inlineStr">
        <is>
          <t>S09</t>
        </is>
      </c>
      <c r="N34" s="6" t="inlineStr">
        <is>
          <t>Joaa + you (or a documented pilot)</t>
        </is>
      </c>
      <c r="O34" s="6" t="inlineStr">
        <is>
          <t>Pin the Executor version and models in the contract</t>
        </is>
      </c>
      <c r="P34" s="6" t="inlineStr">
        <is>
          <t>Yes - stored text, unread</t>
        </is>
      </c>
      <c r="Q34" s="6" t="inlineStr">
        <is>
          <t>Parameter</t>
        </is>
      </c>
      <c r="R34" s="6" t="inlineStr">
        <is>
          <t>Sub-item</t>
        </is>
      </c>
      <c r="S34" s="6" t="inlineStr">
        <is>
          <t>C-D08</t>
        </is>
      </c>
      <c r="T34" s="6" t="inlineStr">
        <is>
          <t>Joaa's 'Executor' is identified by researcher records, not transcript lines; the stored Executor docs/code (r4-executor-*) could confirm what the project does.</t>
        </is>
      </c>
      <c r="U3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t>
        </is>
      </c>
      <c r="V34" s="6" t="inlineStr">
        <is>
          <t>Set in the evaluation contract, or deferred to a documented pilot with Joaa's agreement.</t>
        </is>
      </c>
      <c r="W34" s="6" t="inlineStr"/>
      <c r="X34" s="6" t="inlineStr"/>
      <c r="Y34" s="6" t="inlineStr">
        <is>
          <t>Q-J16</t>
        </is>
      </c>
      <c r="Z34" s="6" t="inlineStr">
        <is>
          <t>JOAA-DECISION</t>
        </is>
      </c>
      <c r="AA34" s="6" t="inlineStr"/>
      <c r="AB34" s="6" t="inlineStr">
        <is>
          <t>SOURCE+DEC</t>
        </is>
      </c>
      <c r="AC34" s="6" t="inlineStr">
        <is>
          <t>n/a (sub-item)</t>
        </is>
      </c>
      <c r="AD34" s="6" t="inlineStr">
        <is>
          <t>NEW (repo sweep)</t>
        </is>
      </c>
      <c r="AE34" s="6" t="inlineStr">
        <is>
          <t>2026-10-21</t>
        </is>
      </c>
      <c r="AF34" s="6"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AG34" s="6" t="inlineStr"/>
      <c r="AH34" s="6" t="inlineStr">
        <is>
          <t>No</t>
        </is>
      </c>
      <c r="AI34" s="6" t="inlineStr"/>
      <c r="AJ34" s="6" t="inlineStr">
        <is>
          <t>repo: v4-02 / v3-04 section 5 / v2-05 section 3</t>
        </is>
      </c>
      <c r="AK34" s="6" t="inlineStr">
        <is>
          <t>A7, CAVEATS 6</t>
        </is>
      </c>
      <c r="AL34" s="6" t="inlineStr">
        <is>
          <t>S08</t>
        </is>
      </c>
    </row>
    <row r="35" ht="128" customHeight="1">
      <c r="A35" s="5" t="inlineStr">
        <is>
          <t>C-D08/GATEWAY</t>
        </is>
      </c>
      <c r="B35" s="6" t="inlineStr">
        <is>
          <t>Does a code-mediated or gateway path count as exposure / must it be a baseline arm?</t>
        </is>
      </c>
      <c r="C35" s="6" t="inlineStr">
        <is>
          <t>PARTLY ANSWERED</t>
        </is>
      </c>
      <c r="D35" s="6">
        <f>IFERROR(INDEX(Lists!$B$2:$B$14,MATCH(C35,Lists!$A$2:$A$14,0)),"?")</f>
        <v/>
      </c>
      <c r="E35" s="6">
        <f>IF(COUNTIFS(Links!$B$2:$B$600,A35,Links!$E$2:$E$600,"Yes")&gt;0,"REVISE","")</f>
        <v/>
      </c>
      <c r="F35" s="6">
        <f>COUNTIFS(Links!$B$2:$B$600,A35,Links!$D$2:$D$600,"No",Links!$C$2:$C$600,"&lt;&gt;INFORMS")</f>
        <v/>
      </c>
      <c r="G35" s="10" t="inlineStr">
        <is>
          <t>JOAA-DECISION</t>
        </is>
      </c>
      <c r="H35" s="6" t="inlineStr">
        <is>
          <t>K5 Evaluation contract</t>
        </is>
      </c>
      <c r="I35" s="6" t="inlineStr">
        <is>
          <t>G1 Before any implementation</t>
        </is>
      </c>
      <c r="J35" s="6" t="inlineStr">
        <is>
          <t>High</t>
        </is>
      </c>
      <c r="K35" s="6" t="n">
        <v>65</v>
      </c>
      <c r="L35" s="6" t="inlineStr">
        <is>
          <t>W2 Desk work (no model runs)</t>
        </is>
      </c>
      <c r="M35" s="6" t="inlineStr">
        <is>
          <t>S09</t>
        </is>
      </c>
      <c r="N35" s="6" t="inlineStr">
        <is>
          <t>Joaa + you (or a documented pilot)</t>
        </is>
      </c>
      <c r="O35" s="6" t="inlineStr">
        <is>
          <t>Write into the contract</t>
        </is>
      </c>
      <c r="P35" s="6" t="inlineStr">
        <is>
          <t>No</t>
        </is>
      </c>
      <c r="Q35" s="6" t="inlineStr">
        <is>
          <t>Parameter</t>
        </is>
      </c>
      <c r="R35" s="6" t="inlineStr">
        <is>
          <t>Sub-item</t>
        </is>
      </c>
      <c r="S35" s="6" t="inlineStr">
        <is>
          <t>C-D08</t>
        </is>
      </c>
      <c r="T35" s="6" t="inlineStr">
        <is>
          <t>Whether the existing code-mediated project (and gateways) is a baseline arm or an exposure policy is unset (brief Q6).</t>
        </is>
      </c>
      <c r="U35"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35" s="6" t="inlineStr">
        <is>
          <t>Set in the evaluation contract, or deferred to a documented pilot with Joaa's agreement.</t>
        </is>
      </c>
      <c r="W35" s="6" t="inlineStr"/>
      <c r="X35" s="6" t="inlineStr"/>
      <c r="Y35" s="6" t="inlineStr">
        <is>
          <t>Q-J16</t>
        </is>
      </c>
      <c r="Z35" s="6" t="inlineStr">
        <is>
          <t>DESK-ANALYSIS</t>
        </is>
      </c>
      <c r="AA35" s="6" t="inlineStr"/>
      <c r="AB35" s="6" t="inlineStr">
        <is>
          <t>DEC+DATA</t>
        </is>
      </c>
      <c r="AC35" s="6" t="inlineStr">
        <is>
          <t>n/a (sub-item)</t>
        </is>
      </c>
      <c r="AD35" s="6" t="inlineStr">
        <is>
          <t>NEW (repo sweep)</t>
        </is>
      </c>
      <c r="AE35" s="6" t="inlineStr">
        <is>
          <t>2026-10-21</t>
        </is>
      </c>
      <c r="AF35" s="6" t="inlineStr">
        <is>
          <t>INT-T-004 (requirements/intake/2026-10-21-supervisor-meeting-2026-10-02-excerpts.md); ops/AUTHORIZATIONS.md (AUTH-018); mapping design/ledger/notes/MEETINGS-MAPPING-20261021.md checked line by line by FND-0035 and FND-0036; REGISTER section H</t>
        </is>
      </c>
      <c r="AG35" s="6" t="inlineStr"/>
      <c r="AH35" s="6" t="inlineStr">
        <is>
          <t>No</t>
        </is>
      </c>
      <c r="AI35" s="6" t="inlineStr"/>
      <c r="AJ35" s="6" t="inlineStr">
        <is>
          <t>repo: v4-02 / v3-04 section 5 / v2-05 section 3</t>
        </is>
      </c>
      <c r="AK35" s="6" t="inlineStr">
        <is>
          <t>v4-01 Q6</t>
        </is>
      </c>
      <c r="AL35" s="6" t="inlineStr">
        <is>
          <t>S08</t>
        </is>
      </c>
    </row>
    <row r="36" ht="40.5" customHeight="1">
      <c r="A36" s="5" t="inlineStr">
        <is>
          <t>C-D08/HIER</t>
        </is>
      </c>
      <c r="B36" s="6" t="inlineStr">
        <is>
          <t>Navigated hierarchy: source of the hierarchy and budget unit</t>
        </is>
      </c>
      <c r="C36" s="6" t="inlineStr">
        <is>
          <t>OPEN</t>
        </is>
      </c>
      <c r="D36" s="6">
        <f>IFERROR(INDEX(Lists!$B$2:$B$14,MATCH(C36,Lists!$A$2:$A$14,0)),"?")</f>
        <v/>
      </c>
      <c r="E36" s="6">
        <f>IF(COUNTIFS(Links!$B$2:$B$600,A36,Links!$E$2:$E$600,"Yes")&gt;0,"REVISE","")</f>
        <v/>
      </c>
      <c r="F36" s="6">
        <f>COUNTIFS(Links!$B$2:$B$600,A36,Links!$D$2:$D$600,"No",Links!$C$2:$C$600,"&lt;&gt;INFORMS")</f>
        <v/>
      </c>
      <c r="G36" s="13" t="inlineStr">
        <is>
          <t>DESK-ANALYSIS</t>
        </is>
      </c>
      <c r="H36" s="6" t="inlineStr">
        <is>
          <t>K5 Evaluation contract</t>
        </is>
      </c>
      <c r="I36" s="6" t="inlineStr">
        <is>
          <t>G1 Before any implementation</t>
        </is>
      </c>
      <c r="J36" s="6" t="inlineStr">
        <is>
          <t>High</t>
        </is>
      </c>
      <c r="K36" s="6" t="n">
        <v>66</v>
      </c>
      <c r="L36" s="6" t="inlineStr">
        <is>
          <t>W2 Desk work (no model runs)</t>
        </is>
      </c>
      <c r="M36" s="6" t="inlineStr">
        <is>
          <t>S09</t>
        </is>
      </c>
      <c r="N36" s="6" t="inlineStr">
        <is>
          <t>Joaa + you (or a documented pilot)</t>
        </is>
      </c>
      <c r="O36" s="6" t="inlineStr">
        <is>
          <t>Lead computes or writes it (no model runs)</t>
        </is>
      </c>
      <c r="P36" s="6" t="inlineStr">
        <is>
          <t>No</t>
        </is>
      </c>
      <c r="Q36" s="6" t="inlineStr">
        <is>
          <t>Parameter</t>
        </is>
      </c>
      <c r="R36" s="6" t="inlineStr">
        <is>
          <t>Sub-item</t>
        </is>
      </c>
      <c r="S36" s="6" t="inlineStr">
        <is>
          <t>C-D08</t>
        </is>
      </c>
      <c r="T36" s="6" t="inlineStr">
        <is>
          <t>The source of the hierarchy (catalogue's own structure or derived) and the budget unit (one level = one discovery) are unset; untested above 400 tools.</t>
        </is>
      </c>
      <c r="U36" s="6" t="inlineStr">
        <is>
          <t>Unset.</t>
        </is>
      </c>
      <c r="V36" s="6" t="inlineStr">
        <is>
          <t>Set in the evaluation contract, or deferred to a documented pilot with Joaa's agreement.</t>
        </is>
      </c>
      <c r="W36" s="6" t="inlineStr"/>
      <c r="X36" s="6" t="inlineStr"/>
      <c r="Y36" s="6" t="inlineStr">
        <is>
          <t>Q-J20</t>
        </is>
      </c>
      <c r="Z36" s="6" t="inlineStr">
        <is>
          <t>DESK-ANALYSIS</t>
        </is>
      </c>
      <c r="AA36" s="6" t="inlineStr"/>
      <c r="AB36" s="6" t="inlineStr">
        <is>
          <t>DEC+DATA</t>
        </is>
      </c>
      <c r="AC36" s="6" t="inlineStr">
        <is>
          <t>n/a (sub-item)</t>
        </is>
      </c>
      <c r="AD36" s="6" t="inlineStr">
        <is>
          <t>NEW (repo sweep)</t>
        </is>
      </c>
      <c r="AE36" s="6" t="inlineStr">
        <is>
          <t>2026-10-19</t>
        </is>
      </c>
      <c r="AF36" s="6" t="inlineStr">
        <is>
          <t>v4-02 section 5</t>
        </is>
      </c>
      <c r="AG36" s="6" t="inlineStr"/>
      <c r="AH36" s="6" t="inlineStr">
        <is>
          <t>No</t>
        </is>
      </c>
      <c r="AI36" s="6" t="inlineStr"/>
      <c r="AJ36" s="6" t="inlineStr">
        <is>
          <t>repo: v4-02 / v3-04 section 5 / v2-05 section 3</t>
        </is>
      </c>
      <c r="AK36" s="6" t="inlineStr"/>
      <c r="AL36" s="6" t="inlineStr">
        <is>
          <t>S08</t>
        </is>
      </c>
    </row>
    <row r="37" ht="40.5" customHeight="1">
      <c r="A37" s="5" t="inlineStr">
        <is>
          <t>C-D08/KAPPA</t>
        </is>
      </c>
      <c r="B37" s="6" t="inlineStr">
        <is>
          <t>Search width kappa</t>
        </is>
      </c>
      <c r="C37" s="6" t="inlineStr">
        <is>
          <t>OPEN</t>
        </is>
      </c>
      <c r="D37" s="6">
        <f>IFERROR(INDEX(Lists!$B$2:$B$14,MATCH(C37,Lists!$A$2:$A$14,0)),"?")</f>
        <v/>
      </c>
      <c r="E37" s="6">
        <f>IF(COUNTIFS(Links!$B$2:$B$600,A37,Links!$E$2:$E$600,"Yes")&gt;0,"REVISE","")</f>
        <v/>
      </c>
      <c r="F37" s="6">
        <f>COUNTIFS(Links!$B$2:$B$600,A37,Links!$D$2:$D$600,"No",Links!$C$2:$C$600,"&lt;&gt;INFORMS")</f>
        <v/>
      </c>
      <c r="G37" s="13" t="inlineStr">
        <is>
          <t>DESK-ANALYSIS</t>
        </is>
      </c>
      <c r="H37" s="6" t="inlineStr">
        <is>
          <t>K5 Evaluation contract</t>
        </is>
      </c>
      <c r="I37" s="6" t="inlineStr">
        <is>
          <t>G1 Before any implementation</t>
        </is>
      </c>
      <c r="J37" s="6" t="inlineStr">
        <is>
          <t>High</t>
        </is>
      </c>
      <c r="K37" s="6" t="n">
        <v>67</v>
      </c>
      <c r="L37" s="6" t="inlineStr">
        <is>
          <t>W2 Desk work (no model runs)</t>
        </is>
      </c>
      <c r="M37" s="6" t="inlineStr">
        <is>
          <t>S09</t>
        </is>
      </c>
      <c r="N37" s="6" t="inlineStr">
        <is>
          <t>Joaa + you (or a documented pilot)</t>
        </is>
      </c>
      <c r="O37" s="6" t="inlineStr">
        <is>
          <t>Lead computes or writes it (no model runs)</t>
        </is>
      </c>
      <c r="P37" s="6" t="inlineStr">
        <is>
          <t>No</t>
        </is>
      </c>
      <c r="Q37" s="6" t="inlineStr">
        <is>
          <t>Parameter</t>
        </is>
      </c>
      <c r="R37" s="6" t="inlineStr">
        <is>
          <t>Sub-item</t>
        </is>
      </c>
      <c r="S37" s="6" t="inlineStr">
        <is>
          <t>C-D08</t>
        </is>
      </c>
      <c r="T37" s="6" t="inlineStr">
        <is>
          <t>The top-kappa search width is unset.</t>
        </is>
      </c>
      <c r="U37" s="6" t="inlineStr">
        <is>
          <t>Unset.</t>
        </is>
      </c>
      <c r="V37" s="6" t="inlineStr">
        <is>
          <t>Set in the evaluation contract, or deferred to a documented pilot with Joaa's agreement.</t>
        </is>
      </c>
      <c r="W37" s="6" t="inlineStr"/>
      <c r="X37" s="6" t="inlineStr"/>
      <c r="Y37" s="6" t="inlineStr">
        <is>
          <t>Q-J20</t>
        </is>
      </c>
      <c r="Z37" s="6" t="inlineStr">
        <is>
          <t>JOAA-DECISION</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kappa</t>
        </is>
      </c>
      <c r="AL37" s="6" t="inlineStr">
        <is>
          <t>S08</t>
        </is>
      </c>
    </row>
    <row r="38" ht="40.5" customHeight="1">
      <c r="A38" s="5" t="inlineStr">
        <is>
          <t>C-D08/RANKER</t>
        </is>
      </c>
      <c r="B38" s="6" t="inlineStr">
        <is>
          <t>Ranker / selector type and disclosure-grade set</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68</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ranker type, the selector type and the set of disclosure grades are unset.</t>
        </is>
      </c>
      <c r="U38" s="6" t="inlineStr">
        <is>
          <t>Unset.</t>
        </is>
      </c>
      <c r="V38" s="6" t="inlineStr">
        <is>
          <t>Set in the evaluation contract, or deferred to a documented pilot with Joaa's agreement.</t>
        </is>
      </c>
      <c r="W38" s="6" t="inlineStr"/>
      <c r="X38" s="6" t="inlineStr"/>
      <c r="Y38" s="6" t="inlineStr">
        <is>
          <t>Q-J20</t>
        </is>
      </c>
      <c r="Z38" s="6" t="inlineStr">
        <is>
          <t>DESK-ANALYSIS</t>
        </is>
      </c>
      <c r="AA38" s="6" t="inlineStr"/>
      <c r="AB38" s="6" t="inlineStr">
        <is>
          <t>DEC+DATA</t>
        </is>
      </c>
      <c r="AC38" s="6" t="inlineStr">
        <is>
          <t>n/a (sub-item)</t>
        </is>
      </c>
      <c r="AD38" s="6" t="inlineStr">
        <is>
          <t>NEW (repo sweep)</t>
        </is>
      </c>
      <c r="AE38" s="6" t="inlineStr">
        <is>
          <t>2026-10-19</t>
        </is>
      </c>
      <c r="AF38" s="6" t="inlineStr">
        <is>
          <t>v4-02 header ('unset')</t>
        </is>
      </c>
      <c r="AG38" s="6" t="inlineStr"/>
      <c r="AH38" s="6" t="inlineStr">
        <is>
          <t>No</t>
        </is>
      </c>
      <c r="AI38" s="6" t="inlineStr"/>
      <c r="AJ38" s="6" t="inlineStr">
        <is>
          <t>repo: v4-02 / v3-04 section 5 / v2-05 section 3</t>
        </is>
      </c>
      <c r="AK38" s="6" t="inlineStr">
        <is>
          <t>v1-A9</t>
        </is>
      </c>
      <c r="AL38" s="6" t="inlineStr">
        <is>
          <t>S08</t>
        </is>
      </c>
    </row>
    <row r="39" ht="53" customHeight="1">
      <c r="A39" s="5" t="inlineStr">
        <is>
          <t>C-D08/SCOPESTMT</t>
        </is>
      </c>
      <c r="B39" s="6" t="inlineStr">
        <is>
          <t>Scope-statement and interface-contract wording; statement ladder wordings</t>
        </is>
      </c>
      <c r="C39" s="6" t="inlineStr">
        <is>
          <t>OPEN</t>
        </is>
      </c>
      <c r="D39" s="6">
        <f>IFERROR(INDEX(Lists!$B$2:$B$14,MATCH(C39,Lists!$A$2:$A$14,0)),"?")</f>
        <v/>
      </c>
      <c r="E39" s="6">
        <f>IF(COUNTIFS(Links!$B$2:$B$600,A39,Links!$E$2:$E$600,"Yes")&gt;0,"REVISE","")</f>
        <v/>
      </c>
      <c r="F39" s="6">
        <f>COUNTIFS(Links!$B$2:$B$600,A39,Links!$D$2:$D$600,"No",Links!$C$2:$C$600,"&lt;&gt;INFORMS")</f>
        <v/>
      </c>
      <c r="G39" s="13" t="inlineStr">
        <is>
          <t>DESK-ANALYSIS</t>
        </is>
      </c>
      <c r="H39" s="6" t="inlineStr">
        <is>
          <t>K5 Evaluation contract</t>
        </is>
      </c>
      <c r="I39" s="6" t="inlineStr">
        <is>
          <t>G1 Before any implementation</t>
        </is>
      </c>
      <c r="J39" s="6" t="inlineStr">
        <is>
          <t>High</t>
        </is>
      </c>
      <c r="K39" s="6" t="n">
        <v>69</v>
      </c>
      <c r="L39" s="6" t="inlineStr">
        <is>
          <t>W2 Desk work (no model runs)</t>
        </is>
      </c>
      <c r="M39" s="6" t="inlineStr">
        <is>
          <t>S09</t>
        </is>
      </c>
      <c r="N39" s="6" t="inlineStr">
        <is>
          <t>Joaa + you (or a documented pilot)</t>
        </is>
      </c>
      <c r="O39" s="6" t="inlineStr">
        <is>
          <t>Lead computes or writes it (no model runs)</t>
        </is>
      </c>
      <c r="P39" s="6" t="inlineStr">
        <is>
          <t>No</t>
        </is>
      </c>
      <c r="Q39" s="6" t="inlineStr">
        <is>
          <t>Parameter</t>
        </is>
      </c>
      <c r="R39" s="6" t="inlineStr">
        <is>
          <t>Sub-item</t>
        </is>
      </c>
      <c r="S39" s="6" t="inlineStr">
        <is>
          <t>C-D08</t>
        </is>
      </c>
      <c r="T39" s="6" t="inlineStr">
        <is>
          <t>The wording of the metadata-only scope statement, the interface contract and the statement ladder (generic, catalogue-specific, existence hint) is unset; a catalogue-specific statement partly exposes the catalogue.</t>
        </is>
      </c>
      <c r="U39" s="6" t="inlineStr">
        <is>
          <t>Unset.</t>
        </is>
      </c>
      <c r="V39" s="6" t="inlineStr">
        <is>
          <t>Set in the evaluation contract, or deferred to a documented pilot with Joaa's agreement.</t>
        </is>
      </c>
      <c r="W39" s="6" t="inlineStr"/>
      <c r="X39" s="6" t="inlineStr"/>
      <c r="Y39" s="6" t="inlineStr">
        <is>
          <t>Q-J20</t>
        </is>
      </c>
      <c r="Z39" s="6" t="inlineStr">
        <is>
          <t>DESK-ANALYSIS</t>
        </is>
      </c>
      <c r="AA39" s="6" t="inlineStr"/>
      <c r="AB39" s="6" t="inlineStr">
        <is>
          <t>DEC+DATA</t>
        </is>
      </c>
      <c r="AC39" s="6" t="inlineStr">
        <is>
          <t>n/a (sub-item)</t>
        </is>
      </c>
      <c r="AD39" s="6" t="inlineStr">
        <is>
          <t>NEW (repo sweep)</t>
        </is>
      </c>
      <c r="AE39" s="6" t="inlineStr">
        <is>
          <t>2026-10-19</t>
        </is>
      </c>
      <c r="AF39" s="6" t="inlineStr">
        <is>
          <t>v4-05 section 2 item 3; CH-0062</t>
        </is>
      </c>
      <c r="AG39" s="6" t="inlineStr"/>
      <c r="AH39" s="6" t="inlineStr">
        <is>
          <t>No</t>
        </is>
      </c>
      <c r="AI39" s="6" t="inlineStr"/>
      <c r="AJ39" s="6" t="inlineStr">
        <is>
          <t>repo: v4-02 / v3-04 section 5 / v2-05 section 3</t>
        </is>
      </c>
      <c r="AK39" s="6" t="inlineStr">
        <is>
          <t>CH-0062, RA6</t>
        </is>
      </c>
      <c r="AL39" s="6" t="inlineStr">
        <is>
          <t>S08</t>
        </is>
      </c>
    </row>
    <row r="40" ht="128" customHeight="1">
      <c r="A40" s="5" t="inlineStr">
        <is>
          <t>C-D08/STRATA</t>
        </is>
      </c>
      <c r="B40" s="6" t="inlineStr">
        <is>
          <t>Strata and minimum stratum size (and source of strata annotations)</t>
        </is>
      </c>
      <c r="C40" s="6" t="inlineStr">
        <is>
          <t>DEFERRED</t>
        </is>
      </c>
      <c r="D40" s="6">
        <f>IFERROR(INDEX(Lists!$B$2:$B$14,MATCH(C40,Lists!$A$2:$A$14,0)),"?")</f>
        <v/>
      </c>
      <c r="E40" s="6">
        <f>IF(COUNTIFS(Links!$B$2:$B$600,A40,Links!$E$2:$E$600,"Yes")&gt;0,"REVISE","")</f>
        <v/>
      </c>
      <c r="F40" s="6">
        <f>COUNTIFS(Links!$B$2:$B$600,A40,Links!$D$2:$D$600,"No",Links!$C$2:$C$600,"&lt;&gt;INFORMS")</f>
        <v/>
      </c>
      <c r="G40" s="10" t="inlineStr">
        <is>
          <t>JOAA-DECISION</t>
        </is>
      </c>
      <c r="H40" s="6" t="inlineStr">
        <is>
          <t>K5 Evaluation contract</t>
        </is>
      </c>
      <c r="I40" s="6" t="inlineStr">
        <is>
          <t>G1 Before any implementation</t>
        </is>
      </c>
      <c r="J40" s="6" t="inlineStr">
        <is>
          <t>High</t>
        </is>
      </c>
      <c r="K40" s="6" t="n">
        <v>70</v>
      </c>
      <c r="L40" s="6" t="inlineStr">
        <is>
          <t>W2 Desk work (no model runs)</t>
        </is>
      </c>
      <c r="M40" s="6" t="inlineStr">
        <is>
          <t>S09</t>
        </is>
      </c>
      <c r="N40" s="6" t="inlineStr">
        <is>
          <t>Joaa + you (or a documented pilot)</t>
        </is>
      </c>
      <c r="O40" s="6" t="inlineStr">
        <is>
          <t>none until the trigger fires</t>
        </is>
      </c>
      <c r="P40" s="6" t="inlineStr">
        <is>
          <t>No</t>
        </is>
      </c>
      <c r="Q40" s="6" t="inlineStr">
        <is>
          <t>Parameter</t>
        </is>
      </c>
      <c r="R40" s="6" t="inlineStr">
        <is>
          <t>Sub-item</t>
        </is>
      </c>
      <c r="S40" s="6" t="inlineStr">
        <is>
          <t>C-D08</t>
        </is>
      </c>
      <c r="T40" s="6" t="inlineStr">
        <is>
          <t>Strata, the minimum stratum size and the source of strata annotations are unset (CH-0038 residual).</t>
        </is>
      </c>
      <c r="U40" s="6" t="inlineStr">
        <is>
          <t>Unset.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40" s="6" t="inlineStr">
        <is>
          <t>Set in the evaluation contract, or deferred to a documented pilot with Joaa's agreement.</t>
        </is>
      </c>
      <c r="W40" s="6" t="inlineStr"/>
      <c r="X40" s="6" t="inlineStr"/>
      <c r="Y40" s="6" t="inlineStr">
        <is>
          <t>Q-J14, Q-J20</t>
        </is>
      </c>
      <c r="Z40" s="6" t="inlineStr">
        <is>
          <t>DESK-ANALYSIS</t>
        </is>
      </c>
      <c r="AA40" s="6" t="inlineStr"/>
      <c r="AB40" s="6" t="inlineStr">
        <is>
          <t>DEC+DATA</t>
        </is>
      </c>
      <c r="AC40" s="6" t="inlineStr">
        <is>
          <t>n/a (sub-item)</t>
        </is>
      </c>
      <c r="AD40" s="6" t="inlineStr">
        <is>
          <t>NEW (repo sweep)</t>
        </is>
      </c>
      <c r="AE40" s="6" t="inlineStr">
        <is>
          <t>2026-10-21</t>
        </is>
      </c>
      <c r="AF40" s="6" t="inlineStr">
        <is>
          <t>INT-T-005 (requirements/intake/2026-10-21-user-decisions-after-meetings.md)</t>
        </is>
      </c>
      <c r="AG40" s="6" t="inlineStr">
        <is>
          <t>The end-to-end study is designed</t>
        </is>
      </c>
      <c r="AH40" s="6" t="inlineStr">
        <is>
          <t>No</t>
        </is>
      </c>
      <c r="AI40" s="6" t="inlineStr"/>
      <c r="AJ40" s="6" t="inlineStr">
        <is>
          <t>repo: v4-02 / v3-04 section 5 / v2-05 section 3</t>
        </is>
      </c>
      <c r="AK40" s="6" t="inlineStr">
        <is>
          <t>strata</t>
        </is>
      </c>
      <c r="AL40" s="6" t="inlineStr">
        <is>
          <t>S08</t>
        </is>
      </c>
    </row>
    <row r="41" ht="40.5" customHeight="1">
      <c r="A41" s="5" t="inlineStr">
        <is>
          <t>C-D08/TOK</t>
        </is>
      </c>
      <c r="B41" s="6" t="inlineStr">
        <is>
          <t>Tokenizer convention</t>
        </is>
      </c>
      <c r="C41" s="6" t="inlineStr">
        <is>
          <t>OPEN</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71</v>
      </c>
      <c r="L41" s="6" t="inlineStr">
        <is>
          <t>W2 Desk work (no model runs)</t>
        </is>
      </c>
      <c r="M41" s="6" t="inlineStr">
        <is>
          <t>S09</t>
        </is>
      </c>
      <c r="N41" s="6" t="inlineStr">
        <is>
          <t>Joaa + you (or a documented pilot)</t>
        </is>
      </c>
      <c r="O41" s="6" t="inlineStr">
        <is>
          <t>Lead computes or writes it (no model runs)</t>
        </is>
      </c>
      <c r="P41" s="6" t="inlineStr">
        <is>
          <t>No</t>
        </is>
      </c>
      <c r="Q41" s="6" t="inlineStr">
        <is>
          <t>Parameter</t>
        </is>
      </c>
      <c r="R41" s="6" t="inlineStr">
        <is>
          <t>Sub-item</t>
        </is>
      </c>
      <c r="S41" s="6" t="inlineStr">
        <is>
          <t>C-D08</t>
        </is>
      </c>
      <c r="T41" s="6" t="inlineStr">
        <is>
          <t>The tokenizer or usage-field convention (provider-reported vs own tokenizer) is unset.</t>
        </is>
      </c>
      <c r="U41" s="6" t="inlineStr">
        <is>
          <t>Unset.</t>
        </is>
      </c>
      <c r="V41" s="6" t="inlineStr">
        <is>
          <t>Set in the evaluation contract, or deferred to a documented pilot with Joaa's agreement.</t>
        </is>
      </c>
      <c r="W41" s="6" t="inlineStr"/>
      <c r="X41" s="6" t="inlineStr"/>
      <c r="Y41" s="6" t="inlineStr">
        <is>
          <t>Q-J03</t>
        </is>
      </c>
      <c r="Z41" s="6" t="inlineStr">
        <is>
          <t>JOAA-DECISION</t>
        </is>
      </c>
      <c r="AA41" s="6" t="inlineStr"/>
      <c r="AB41" s="6" t="inlineStr">
        <is>
          <t>DEC+DATA</t>
        </is>
      </c>
      <c r="AC41" s="6" t="inlineStr">
        <is>
          <t>n/a (sub-item)</t>
        </is>
      </c>
      <c r="AD41" s="6" t="inlineStr">
        <is>
          <t>NEW (repo sweep)</t>
        </is>
      </c>
      <c r="AE41" s="6" t="inlineStr">
        <is>
          <t>2026-10-19</t>
        </is>
      </c>
      <c r="AF41" s="6" t="inlineStr">
        <is>
          <t>v4-02 header ('unset')</t>
        </is>
      </c>
      <c r="AG41" s="6" t="inlineStr"/>
      <c r="AH41" s="6" t="inlineStr">
        <is>
          <t>No</t>
        </is>
      </c>
      <c r="AI41" s="6" t="inlineStr"/>
      <c r="AJ41" s="6" t="inlineStr">
        <is>
          <t>repo: v4-02 / v3-04 section 5 / v2-05 section 3</t>
        </is>
      </c>
      <c r="AK41" s="6" t="inlineStr">
        <is>
          <t>tokenizer</t>
        </is>
      </c>
      <c r="AL41" s="6" t="inlineStr">
        <is>
          <t>S08</t>
        </is>
      </c>
    </row>
    <row r="42" ht="300" customHeight="1">
      <c r="A42" s="5" t="inlineStr">
        <is>
          <t>N-30</t>
        </is>
      </c>
      <c r="B42" s="6" t="inlineStr">
        <is>
          <t>Canonical billing equation of turns and sessions (model-agnostic components)</t>
        </is>
      </c>
      <c r="C42" s="6" t="inlineStr">
        <is>
          <t>PARTLY ANSWERED</t>
        </is>
      </c>
      <c r="D42" s="6">
        <f>IFERROR(INDEX(Lists!$B$2:$B$14,MATCH(C42,Lists!$A$2:$A$14,0)),"?")</f>
        <v/>
      </c>
      <c r="E42" s="6">
        <f>IF(COUNTIFS(Links!$B$2:$B$600,A42,Links!$E$2:$E$600,"Yes")&gt;0,"REVISE","")</f>
        <v/>
      </c>
      <c r="F42" s="6">
        <f>COUNTIFS(Links!$B$2:$B$600,A42,Links!$D$2:$D$600,"No",Links!$C$2:$C$600,"&lt;&gt;INFORMS")</f>
        <v/>
      </c>
      <c r="G42" s="13" t="inlineStr">
        <is>
          <t>DESK-ANALYSIS</t>
        </is>
      </c>
      <c r="H42" s="6" t="inlineStr">
        <is>
          <t>K5 Evaluation contract</t>
        </is>
      </c>
      <c r="I42" s="6" t="inlineStr">
        <is>
          <t>G1 Before any implementation</t>
        </is>
      </c>
      <c r="J42" s="6" t="inlineStr">
        <is>
          <t>High</t>
        </is>
      </c>
      <c r="K42" s="6" t="n">
        <v>72</v>
      </c>
      <c r="L42" s="6" t="inlineStr">
        <is>
          <t>W2 Desk work (no model runs)</t>
        </is>
      </c>
      <c r="M42" s="6" t="inlineStr">
        <is>
          <t>S09</t>
        </is>
      </c>
      <c r="N42" s="6" t="inlineStr">
        <is>
          <t>Lead + steward; you approve</t>
        </is>
      </c>
      <c r="O42" s="6" t="inlineStr">
        <is>
          <t>Your approval of DPR-0006 (proposed); then the first billing probe</t>
        </is>
      </c>
      <c r="P42" s="6" t="inlineStr">
        <is>
          <t>Yes - stored text, unread</t>
        </is>
      </c>
      <c r="Q42" s="6" t="inlineStr">
        <is>
          <t>Parameter</t>
        </is>
      </c>
      <c r="R42" s="6" t="inlineStr">
        <is>
          <t>Item</t>
        </is>
      </c>
      <c r="S42" s="6" t="inlineStr"/>
      <c r="T42" s="6" t="inlineStr">
        <is>
          <t>The human asked for the canonical parts of the billing equation of turns and sessions, not tied to one model: input, reasoning, output, tools, prompt caching (possibly used as conversation memory at first), averaged over turns and sessions (INT-T-005 line 8).</t>
        </is>
      </c>
      <c r="U42" s="6" t="inlineStr">
        <is>
          <t>The stored provider pages cover the components (EXT-0085, EXT-0086, EXT-0089, EXT-0115, EXT-0123, EXT-0150, EXT-0152, EXT-0158, EXT-0183 and the 2026-10-19 rechecks). 2026-10-21 (AUTH-019): drafted as design/proposals/DPR-0006.md (proposed): per request C_r = p·[F_r + w·W_r + ρ·R_r + κ·(O_r + H_r)]·m_r + T_r; per session B_s = Σ C_r + storage S_s + session-time charges X_s; objective = mean bill per turn over all sessions, accuracy beside it, no margin; gap cost after a cache lifetime follows from the lifetime rules; components from FND-0039 (findings/SUM-0041), which leaves open: reasoning-token billing at Anthropic and OpenAI, Gemini explicit-cache lifetime and write fee, Bedrock multipliers, Anthropic cross-session sharing. Under review (RV-0020). 2026-10-21 (AUTH-019): reviewed by the design-challenger (RV-0020: 1 high, 9 medium, 6 low defects, nothing withdrawn) and corrected in DPR-0006: a price table per component, tier and mode replaces the single multiplier; cache writes split into 5-minute and 1-hour classes; reasoning tokens priced inside billed output only; the session sum covers requests outside turns (prewarm, memory writing, keep-alive); container time counted once (X_s); free allowances reported apart; gap cost p·P·(c_cold − ρ) stated as a consequence already inside W and R; primary figure (ratio of sums per turn) marked as the lead's [I] with the per-session mean as the alternative. Still open: reasoning-token billing at Anthropic and OpenAI, whether OpenAI's usage record separates cache writes, Gemini cache lifetimes and write fee (checked by the first billing probe, C-X07).</t>
        </is>
      </c>
      <c r="V42" s="6" t="inlineStr">
        <is>
          <t>A drafted equation with every component cited per provider, reviewed, and approved by the human.</t>
        </is>
      </c>
      <c r="W42" s="6" t="inlineStr"/>
      <c r="X42" s="6" t="inlineStr"/>
      <c r="Y42" s="6" t="inlineStr"/>
      <c r="Z42" s="6" t="inlineStr"/>
      <c r="AA42" s="6" t="inlineStr"/>
      <c r="AB42" s="6" t="inlineStr">
        <is>
          <t>SOURCE</t>
        </is>
      </c>
      <c r="AC42" s="6" t="inlineStr">
        <is>
          <t>n/a (new)</t>
        </is>
      </c>
      <c r="AD42" s="6" t="inlineStr">
        <is>
          <t>NEW (the human's decision 2026-10-21)</t>
        </is>
      </c>
      <c r="AE42" s="6" t="inlineStr">
        <is>
          <t>2026-10-21</t>
        </is>
      </c>
      <c r="AF42" s="6" t="inlineStr">
        <is>
          <t>design/proposals/DPR-0006.md; reviews/RV-0020.md; FND-0039</t>
        </is>
      </c>
      <c r="AG42" s="6" t="inlineStr"/>
      <c r="AH42" s="6" t="inlineStr">
        <is>
          <t>No (AUTH-019)</t>
        </is>
      </c>
      <c r="AI42" s="6" t="inlineStr"/>
      <c r="AJ42" s="6" t="inlineStr">
        <is>
          <t>INT-T-005 line 8</t>
        </is>
      </c>
      <c r="AK42" s="6" t="inlineStr"/>
      <c r="AL42" s="6" t="inlineStr">
        <is>
          <t>S08</t>
        </is>
      </c>
    </row>
    <row r="43" ht="65.5" customHeight="1">
      <c r="A43" s="5" t="inlineStr">
        <is>
          <t>C-D08</t>
        </is>
      </c>
      <c r="B43" s="6" t="inlineStr">
        <is>
          <t>Arms and baselines (incl.</t>
        </is>
      </c>
      <c r="C43" s="6" t="inlineStr">
        <is>
          <t>PARTLY ANSWERED</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73</v>
      </c>
      <c r="L43" s="6" t="inlineStr">
        <is>
          <t>W2 Desk work (no model runs)</t>
        </is>
      </c>
      <c r="M43" s="6" t="inlineStr">
        <is>
          <t>S09</t>
        </is>
      </c>
      <c r="N43" s="6" t="inlineStr">
        <is>
          <t>Joaa + you</t>
        </is>
      </c>
      <c r="O43" s="6" t="inlineStr">
        <is>
          <t>Ask Joaa (Q-J01, Q-J16, Q-J20, Q-U06)</t>
        </is>
      </c>
      <c r="P43" s="6" t="inlineStr">
        <is>
          <t>Partly</t>
        </is>
      </c>
      <c r="Q43" s="6" t="inlineStr">
        <is>
          <t>Decision</t>
        </is>
      </c>
      <c r="R43" s="6" t="inlineStr">
        <is>
          <t>Item</t>
        </is>
      </c>
      <c r="S43" s="6" t="inlineStr"/>
      <c r="T43" s="6" t="inlineStr">
        <is>
          <t>Arms and baselines (incl. who or what 'Executor' is), maintained-performance margin, alpha, strata, N_dep, epsilon, tokenizer, ranker, search budget are unset.</t>
        </is>
      </c>
      <c r="U43" s="6" t="inlineStr">
        <is>
          <t>v4 added the navigated-hierarchy arm; parameters still unset. 'Executor as named baseline' is a researcher identification, not transcript text. Arms and baselines are G1; numeric parameters are G3.</t>
        </is>
      </c>
      <c r="V43" s="6" t="inlineStr">
        <is>
          <t>Arm table and comparison contract fixed in writing; unset numbers deferred to a pilot only with Joaa's agreement.</t>
        </is>
      </c>
      <c r="W43" s="6" t="inlineStr">
        <is>
          <t>C-D01, C-D02, C-D03, C-D05</t>
        </is>
      </c>
      <c r="X43" s="6" t="inlineStr">
        <is>
          <t>C-D11</t>
        </is>
      </c>
      <c r="Y43" s="6" t="inlineStr">
        <is>
          <t>Q-J01, Q-J16, Q-J20, Q-U06, Q-J30</t>
        </is>
      </c>
      <c r="Z43" s="6" t="inlineStr">
        <is>
          <t>USER-DECISION, DESK-ANALYSIS</t>
        </is>
      </c>
      <c r="AA43" s="6" t="inlineStr">
        <is>
          <t>K11 End-to-end comparison</t>
        </is>
      </c>
      <c r="AB43" s="6" t="inlineStr">
        <is>
          <t>DEC+DATA</t>
        </is>
      </c>
      <c r="AC43" s="6" t="inlineStr">
        <is>
          <t>PARTLY ANSWERED - OPEN</t>
        </is>
      </c>
      <c r="AD43" s="6" t="inlineStr">
        <is>
          <t>UNCHANGED</t>
        </is>
      </c>
      <c r="AE43" s="6" t="inlineStr">
        <is>
          <t>2026-10-19</t>
        </is>
      </c>
      <c r="AF43" s="6" t="inlineStr">
        <is>
          <t>v4-02 sections 5-7; CAVEATS row 6</t>
        </is>
      </c>
      <c r="AG43" s="6" t="inlineStr"/>
      <c r="AH43" s="6" t="inlineStr">
        <is>
          <t>No</t>
        </is>
      </c>
      <c r="AI43" s="6" t="inlineStr"/>
      <c r="AJ43" s="6" t="inlineStr">
        <is>
          <t>SRC-11 canonical</t>
        </is>
      </c>
      <c r="AK43" s="6" t="inlineStr">
        <is>
          <t>SRC-06 D10, SRC-06 D11, v1-A9, v3-04 section 5</t>
        </is>
      </c>
      <c r="AL43" s="6" t="inlineStr">
        <is>
          <t>S08</t>
        </is>
      </c>
    </row>
    <row r="44" ht="240.5" customHeight="1">
      <c r="A44" s="5" t="inlineStr">
        <is>
          <t>C-E05</t>
        </is>
      </c>
      <c r="B44" s="6" t="inlineStr">
        <is>
          <t>Provider prices and implementation change; the repo's price evidence is dated 2026-10-11 (SRC-11 reports a ...</t>
        </is>
      </c>
      <c r="C44" s="6" t="inlineStr">
        <is>
          <t>PARTLY ANSWERED</t>
        </is>
      </c>
      <c r="D44" s="6">
        <f>IFERROR(INDEX(Lists!$B$2:$B$14,MATCH(C44,Lists!$A$2:$A$14,0)),"?")</f>
        <v/>
      </c>
      <c r="E44" s="6">
        <f>IF(COUNTIFS(Links!$B$2:$B$600,A44,Links!$E$2:$E$600,"Yes")&gt;0,"REVISE","")</f>
        <v/>
      </c>
      <c r="F44" s="6">
        <f>COUNTIFS(Links!$B$2:$B$600,A44,Links!$D$2:$D$600,"No",Links!$C$2:$C$600,"&lt;&gt;INFORMS")</f>
        <v/>
      </c>
      <c r="G44" s="15" t="inlineStr">
        <is>
          <t>TIME-RECHECK</t>
        </is>
      </c>
      <c r="H44" s="6" t="inlineStr">
        <is>
          <t>K15 Expiring provider facts</t>
        </is>
      </c>
      <c r="I44" s="6" t="inlineStr">
        <is>
          <t>G2 Before the affected pilot/arm</t>
        </is>
      </c>
      <c r="J44" s="6" t="inlineStr">
        <is>
          <t>High</t>
        </is>
      </c>
      <c r="K44" s="6" t="n">
        <v>76</v>
      </c>
      <c r="L44" s="6" t="inlineStr">
        <is>
          <t>W2 Desk work (no model runs)</t>
        </is>
      </c>
      <c r="M44" s="6" t="inlineStr">
        <is>
          <t>S10</t>
        </is>
      </c>
      <c r="N44" s="6" t="inlineStr">
        <is>
          <t>Lead (web) with a dated table</t>
        </is>
      </c>
      <c r="O44" s="6" t="inlineStr">
        <is>
          <t>Recheck at claim time</t>
        </is>
      </c>
      <c r="P44" s="6" t="inlineStr">
        <is>
          <t>Partly</t>
        </is>
      </c>
      <c r="Q44" s="6" t="inlineStr">
        <is>
          <t>Source check</t>
        </is>
      </c>
      <c r="R44" s="6" t="inlineStr">
        <is>
          <t>Item</t>
        </is>
      </c>
      <c r="S44" s="6" t="inlineStr"/>
      <c r="T44" s="6" t="inlineStr">
        <is>
          <t>Provider prices and implementation change; the repo's price evidence is dated 2026-10-11 (SRC-11 reports a 17-18 Oct check).</t>
        </is>
      </c>
      <c r="U44"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44" s="6" t="inlineStr">
        <is>
          <t>A dated price table now (before Pilot A); repeat at step S24 before any current-price claim, because prices expire.</t>
        </is>
      </c>
      <c r="W44" s="6" t="inlineStr">
        <is>
          <t>N-5, C-D02</t>
        </is>
      </c>
      <c r="X44" s="6" t="inlineStr"/>
      <c r="Y44" s="6" t="inlineStr">
        <is>
          <t>Q-J03, Q-J24, Q-U21</t>
        </is>
      </c>
      <c r="Z44" s="6" t="inlineStr">
        <is>
          <t>SOURCE-REREAD</t>
        </is>
      </c>
      <c r="AA44" s="6" t="inlineStr">
        <is>
          <t>K9 Cache &amp; billing</t>
        </is>
      </c>
      <c r="AB44" s="6" t="inlineStr">
        <is>
          <t>TIME+SOURCE</t>
        </is>
      </c>
      <c r="AC44" s="6" t="inlineStr">
        <is>
          <t>BOUNDARY - OPEN</t>
        </is>
      </c>
      <c r="AD44" s="6" t="inlineStr">
        <is>
          <t>UNCHANGED</t>
        </is>
      </c>
      <c r="AE44" s="6" t="inlineStr">
        <is>
          <t>2026-10-19</t>
        </is>
      </c>
      <c r="AF44" s="6" t="inlineStr">
        <is>
          <t>evidence/literature-20261019/price-*-20261019 and MANIFEST.jsonl (the manifest's 'auth' field says AUTH-013 because the pinned fetch helper hard-codes it; the fetch was made under AUTH-016); EXT-0085, EXT-0086, EXT-0089</t>
        </is>
      </c>
      <c r="AG44" s="6" t="inlineStr">
        <is>
          <t>Before any current-price claim, and whenever a provider/model is chosen or the bill becomes the objective</t>
        </is>
      </c>
      <c r="AH44" s="6" t="inlineStr">
        <is>
          <t>No (AUTH-016 covers web fetches for this item)</t>
        </is>
      </c>
      <c r="AI44" s="6" t="inlineStr"/>
      <c r="AJ44" s="6" t="inlineStr">
        <is>
          <t>SRC-11 canonical</t>
        </is>
      </c>
      <c r="AK44" s="6" t="inlineStr">
        <is>
          <t>SRC-07 31</t>
        </is>
      </c>
      <c r="AL44" s="6" t="inlineStr">
        <is>
          <t>S10</t>
        </is>
      </c>
    </row>
    <row r="45" ht="300" customHeight="1">
      <c r="A45" s="5" t="inlineStr">
        <is>
          <t>AS-07</t>
        </is>
      </c>
      <c r="B45" s="6" t="inlineStr">
        <is>
          <t>Supervisor assertion A7: 'Executor' exposes connection prefixes and meta-tools (tool search, details, results) instead of listing all tools</t>
        </is>
      </c>
      <c r="C45" s="6" t="inlineStr">
        <is>
          <t>PARTLY ANSWERED</t>
        </is>
      </c>
      <c r="D45" s="6">
        <f>IFERROR(INDEX(Lists!$B$2:$B$14,MATCH(C45,Lists!$A$2:$A$14,0)),"?")</f>
        <v/>
      </c>
      <c r="E45" s="6">
        <f>IF(COUNTIFS(Links!$B$2:$B$600,A45,Links!$E$2:$E$600,"Yes")&gt;0,"REVISE","")</f>
        <v/>
      </c>
      <c r="F45" s="6">
        <f>COUNTIFS(Links!$B$2:$B$600,A45,Links!$D$2:$D$600,"No",Links!$C$2:$C$600,"&lt;&gt;INFORMS")</f>
        <v/>
      </c>
      <c r="G45" s="14" t="inlineStr">
        <is>
          <t>SOURCE-REREAD</t>
        </is>
      </c>
      <c r="H45" s="6" t="inlineStr">
        <is>
          <t>K14 Source &amp; vendor verification</t>
        </is>
      </c>
      <c r="I45" s="6" t="inlineStr">
        <is>
          <t>G4 Before claims</t>
        </is>
      </c>
      <c r="J45" s="6" t="inlineStr">
        <is>
          <t>Normal</t>
        </is>
      </c>
      <c r="K45" s="6" t="n">
        <v>77</v>
      </c>
      <c r="L45" s="6" t="inlineStr">
        <is>
          <t>W2 Desk work (no model runs)</t>
        </is>
      </c>
      <c r="M45" s="6" t="inlineStr">
        <is>
          <t>S11</t>
        </is>
      </c>
      <c r="N45" s="6" t="inlineStr">
        <is>
          <t>Lead / team</t>
        </is>
      </c>
      <c r="O45" s="6" t="inlineStr">
        <is>
          <t>Check the Executor version when pinning it</t>
        </is>
      </c>
      <c r="P45" s="6" t="inlineStr">
        <is>
          <t>Yes - stored text, unread</t>
        </is>
      </c>
      <c r="Q45" s="6" t="inlineStr">
        <is>
          <t>Claim to test</t>
        </is>
      </c>
      <c r="R45" s="6" t="inlineStr">
        <is>
          <t>Item</t>
        </is>
      </c>
      <c r="S45" s="6" t="inlineStr"/>
      <c r="T45" s="6" t="inlineStr">
        <is>
          <t>REQ-A1 A7: 'Executor' exposes connection prefixes and meta-tools (tool search, details, results) instead of listing all tools. Product identity and behaviour must be checked at source; Executor docs/code are stored (r4-executor-*).</t>
        </is>
      </c>
      <c r="U45"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t>
        </is>
      </c>
      <c r="V45" s="6" t="inlineStr">
        <is>
          <t>Product identity and behaviour must be checked at source; Executor docs/code are stored (r4-executor-*).</t>
        </is>
      </c>
      <c r="W45" s="6" t="inlineStr"/>
      <c r="X45" s="6" t="inlineStr"/>
      <c r="Y45" s="6" t="inlineStr">
        <is>
          <t>Q-J16</t>
        </is>
      </c>
      <c r="Z45" s="6" t="inlineStr"/>
      <c r="AA45" s="6" t="inlineStr"/>
      <c r="AB45" s="6" t="inlineStr">
        <is>
          <t>SOURCE</t>
        </is>
      </c>
      <c r="AC45" s="6" t="inlineStr">
        <is>
          <t>n/a (REGISTER E)</t>
        </is>
      </c>
      <c r="AD45" s="6" t="inlineStr">
        <is>
          <t>NEW (repo sweep)</t>
        </is>
      </c>
      <c r="AE45" s="6" t="inlineStr">
        <is>
          <t>2026-10-21</t>
        </is>
      </c>
      <c r="AF45" s="6" t="inlineStr">
        <is>
          <t>INT-T-004 (requirements/intake/2026-10-21-supervisor-meeting-2026-10-02-excerpts.md); mapping design/ledger/notes/MEETINGS-MAPPING-20261021.md checked line by line by FND-0035 and FND-0036; REGISTER section H</t>
        </is>
      </c>
      <c r="AG45" s="6" t="inlineStr"/>
      <c r="AH45" s="6" t="inlineStr">
        <is>
          <t>No</t>
        </is>
      </c>
      <c r="AI45" s="6" t="inlineStr"/>
      <c r="AJ45" s="6" t="inlineStr">
        <is>
          <t>repo: REGISTER section E / EXT-0004</t>
        </is>
      </c>
      <c r="AK45" s="6" t="inlineStr">
        <is>
          <t>REQ-A1 A7</t>
        </is>
      </c>
      <c r="AL45" s="6" t="inlineStr">
        <is>
          <t>S11</t>
        </is>
      </c>
    </row>
    <row r="46" ht="53" customHeight="1">
      <c r="A46" s="5" t="inlineStr">
        <is>
          <t>C-E01</t>
        </is>
      </c>
      <c r="B46" s="6" t="inlineStr">
        <is>
          <t>Ten disputed or unverified paper/vendor claims and propagation defects (e.g., the 292K flat-catalogue figure).</t>
        </is>
      </c>
      <c r="C46" s="6" t="inlineStr">
        <is>
          <t>PARTLY ANSWERED</t>
        </is>
      </c>
      <c r="D46" s="6">
        <f>IFERROR(INDEX(Lists!$B$2:$B$14,MATCH(C46,Lists!$A$2:$A$14,0)),"?")</f>
        <v/>
      </c>
      <c r="E46" s="6">
        <f>IF(COUNTIFS(Links!$B$2:$B$600,A46,Links!$E$2:$E$600,"Yes")&gt;0,"REVISE","")</f>
        <v/>
      </c>
      <c r="F46" s="6">
        <f>COUNTIFS(Links!$B$2:$B$600,A46,Links!$D$2:$D$600,"No",Links!$C$2:$C$600,"&lt;&gt;INFORMS")</f>
        <v/>
      </c>
      <c r="G46" s="14" t="inlineStr">
        <is>
          <t>SOURCE-REREAD</t>
        </is>
      </c>
      <c r="H46" s="6" t="inlineStr">
        <is>
          <t>K14 Source &amp; vendor verification</t>
        </is>
      </c>
      <c r="I46" s="6" t="inlineStr">
        <is>
          <t>G4 Before claims</t>
        </is>
      </c>
      <c r="J46" s="6" t="inlineStr">
        <is>
          <t>Normal</t>
        </is>
      </c>
      <c r="K46" s="6" t="n">
        <v>78</v>
      </c>
      <c r="L46" s="6" t="inlineStr">
        <is>
          <t>W2 Desk work (no model runs)</t>
        </is>
      </c>
      <c r="M46" s="6" t="inlineStr">
        <is>
          <t>S11</t>
        </is>
      </c>
      <c r="N46" s="6" t="inlineStr">
        <is>
          <t>Lead + steward (authors for table conflicts)</t>
        </is>
      </c>
      <c r="O46" s="6" t="inlineStr">
        <is>
          <t>Read the stored text first (tools/origin_extract.py)</t>
        </is>
      </c>
      <c r="P46" s="6" t="inlineStr">
        <is>
          <t>Yes - stored text, unread</t>
        </is>
      </c>
      <c r="Q46" s="6" t="inlineStr">
        <is>
          <t>Source check</t>
        </is>
      </c>
      <c r="R46" s="6" t="inlineStr">
        <is>
          <t>Item</t>
        </is>
      </c>
      <c r="S46" s="6" t="inlineStr"/>
      <c r="T46" s="6" t="inlineStr">
        <is>
          <t>Ten disputed or unverified paper/vendor claims and propagation defects (e.g., the 292K flat-catalogue figure).</t>
        </is>
      </c>
      <c r="U46" s="6" t="inlineStr">
        <is>
          <t>One sub-claim (292K figure) traced to the benchmark repo's development document, not the paper (v4-03 section 2); the others concern the Phase 1 dossier outside the repo.</t>
        </is>
      </c>
      <c r="V46" s="6" t="inlineStr">
        <is>
          <t>Original versions/tables opened; derivative claims corrected; unreplicable vendor data labelled.</t>
        </is>
      </c>
      <c r="W46" s="6" t="inlineStr"/>
      <c r="X46" s="6" t="inlineStr">
        <is>
          <t>C-D01, C-D08</t>
        </is>
      </c>
      <c r="Y46" s="6" t="inlineStr"/>
      <c r="Z46" s="6" t="inlineStr">
        <is>
          <t>AUTHOR-OR-VENDOR, RECORDS-AT-HAND</t>
        </is>
      </c>
      <c r="AA46" s="6" t="inlineStr"/>
      <c r="AB46" s="6" t="inlineStr">
        <is>
          <t>SOURCE+RECORD+AUTHOR</t>
        </is>
      </c>
      <c r="AC46" s="6" t="inlineStr">
        <is>
          <t>OPEN</t>
        </is>
      </c>
      <c r="AD46" s="6" t="inlineStr">
        <is>
          <t>NARROWED</t>
        </is>
      </c>
      <c r="AE46" s="6" t="inlineStr">
        <is>
          <t>2026-10-19</t>
        </is>
      </c>
      <c r="AF46" s="6" t="inlineStr">
        <is>
          <t>v4-03 section 2; EXT-0084</t>
        </is>
      </c>
      <c r="AG46" s="6" t="inlineStr"/>
      <c r="AH46" s="6" t="inlineStr">
        <is>
          <t>No (AUTH-016 covers web fetches for this item)</t>
        </is>
      </c>
      <c r="AI46" s="6" t="inlineStr"/>
      <c r="AJ46" s="6" t="inlineStr">
        <is>
          <t>SRC-11 canonical</t>
        </is>
      </c>
      <c r="AK46" s="6" t="inlineStr">
        <is>
          <t>SRC-06 E01-E10</t>
        </is>
      </c>
      <c r="AL46" s="6" t="inlineStr">
        <is>
          <t>S11</t>
        </is>
      </c>
    </row>
    <row r="47" ht="65.5" customHeight="1">
      <c r="A47" s="5" t="inlineStr">
        <is>
          <t>C-E01/E02</t>
        </is>
      </c>
      <c r="B47" s="6" t="inlineStr">
        <is>
          <t>Toollery replay library, selector comparability, pricing protocol unstated</t>
        </is>
      </c>
      <c r="C47" s="6" t="inlineStr">
        <is>
          <t>NOT LOCATED</t>
        </is>
      </c>
      <c r="D47" s="6">
        <f>IFERROR(INDEX(Lists!$B$2:$B$14,MATCH(C47,Lists!$A$2:$A$14,0)),"?")</f>
        <v/>
      </c>
      <c r="E47" s="6">
        <f>IF(COUNTIFS(Links!$B$2:$B$600,A47,Links!$E$2:$E$600,"Yes")&gt;0,"REVISE","")</f>
        <v/>
      </c>
      <c r="F47" s="6">
        <f>COUNTIFS(Links!$B$2:$B$600,A47,Links!$D$2:$D$600,"No",Links!$C$2:$C$600,"&lt;&gt;INFORMS")</f>
        <v/>
      </c>
      <c r="G47" s="16" t="inlineStr">
        <is>
          <t>AUTHOR-OR-VENDOR</t>
        </is>
      </c>
      <c r="H47" s="6" t="inlineStr">
        <is>
          <t>K14 Source &amp; vendor verification</t>
        </is>
      </c>
      <c r="I47" s="6" t="inlineStr">
        <is>
          <t>G4 Before claims</t>
        </is>
      </c>
      <c r="J47" s="6" t="inlineStr">
        <is>
          <t>Normal</t>
        </is>
      </c>
      <c r="K47" s="6" t="n">
        <v>81</v>
      </c>
      <c r="L47" s="6" t="inlineStr">
        <is>
          <t>W2 Desk work (no model runs)</t>
        </is>
      </c>
      <c r="M47" s="6" t="inlineStr">
        <is>
          <t>S11</t>
        </is>
      </c>
      <c r="N47" s="6" t="inlineStr">
        <is>
          <t>Authors</t>
        </is>
      </c>
      <c r="O47" s="6" t="inlineStr">
        <is>
          <t>You send the drafted ask (design/ledger/notes/AUTHOR-ASKS-DRAFT-20261020.md, section 4) and record the reply; until then it waits on the authors</t>
        </is>
      </c>
      <c r="P47" s="6" t="inlineStr">
        <is>
          <t>Partly</t>
        </is>
      </c>
      <c r="Q47" s="6" t="inlineStr">
        <is>
          <t>Source check</t>
        </is>
      </c>
      <c r="R47" s="6" t="inlineStr">
        <is>
          <t>Sub-item</t>
        </is>
      </c>
      <c r="S47" s="6" t="inlineStr">
        <is>
          <t>C-E01</t>
        </is>
      </c>
      <c r="T47" s="6" t="inlineStr">
        <is>
          <t>SRC-06 E02: Toollery's replay library, selector comparability and pricing protocol are unstated in the stored text.</t>
        </is>
      </c>
      <c r="U47" s="6" t="inlineStr">
        <is>
          <t>The repo confirms the stored text lacks them; the fitted multiplier is treated as study-specific.</t>
        </is>
      </c>
      <c r="V47" s="6" t="inlineStr">
        <is>
          <t>Authors answer, or 'not provided' recorded and the number labelled study-specific.</t>
        </is>
      </c>
      <c r="W47" s="6" t="inlineStr"/>
      <c r="X47" s="6" t="inlineStr"/>
      <c r="Y47" s="6" t="inlineStr"/>
      <c r="Z47" s="6" t="inlineStr"/>
      <c r="AA47" s="6" t="inlineStr"/>
      <c r="AB47" s="6" t="inlineStr">
        <is>
          <t>SOURCE+AUTHOR</t>
        </is>
      </c>
      <c r="AC47" s="6" t="inlineStr">
        <is>
          <t>n/a (sub-item)</t>
        </is>
      </c>
      <c r="AD47" s="6" t="inlineStr">
        <is>
          <t>NEW (SRC-11 sub-row)</t>
        </is>
      </c>
      <c r="AE47" s="6" t="inlineStr">
        <is>
          <t>2026-10-20</t>
        </is>
      </c>
      <c r="AF47" s="6" t="inlineStr">
        <is>
          <t>v3-01 section 5: 'the model, pricing and candidate-list construction are not in the stored text'; sources.json s4b-wd-toollery</t>
        </is>
      </c>
      <c r="AG47" s="6" t="inlineStr"/>
      <c r="AH47" s="6" t="inlineStr">
        <is>
          <t>No (AUTH-016 covers web fetches for this item)</t>
        </is>
      </c>
      <c r="AI47" s="6" t="inlineStr"/>
      <c r="AJ47" s="6" t="inlineStr">
        <is>
          <t>SRC-11 section D1</t>
        </is>
      </c>
      <c r="AK47" s="6" t="inlineStr">
        <is>
          <t>SRC-06 E02</t>
        </is>
      </c>
      <c r="AL47" s="6" t="inlineStr">
        <is>
          <t>S11</t>
        </is>
      </c>
    </row>
    <row r="48" ht="53" customHeight="1">
      <c r="A48" s="5" t="inlineStr">
        <is>
          <t>C-E01/E05</t>
        </is>
      </c>
      <c r="B48" s="6" t="inlineStr">
        <is>
          <t>Did the earlier body use the MCP-Bench distractor-server result?</t>
        </is>
      </c>
      <c r="C48" s="6" t="inlineStr">
        <is>
          <t>OPEN</t>
        </is>
      </c>
      <c r="D48" s="6">
        <f>IFERROR(INDEX(Lists!$B$2:$B$14,MATCH(C48,Lists!$A$2:$A$14,0)),"?")</f>
        <v/>
      </c>
      <c r="E48" s="6">
        <f>IF(COUNTIFS(Links!$B$2:$B$600,A48,Links!$E$2:$E$600,"Yes")&gt;0,"REVISE","")</f>
        <v/>
      </c>
      <c r="F48" s="6">
        <f>COUNTIFS(Links!$B$2:$B$600,A48,Links!$D$2:$D$600,"No",Links!$C$2:$C$600,"&lt;&gt;INFORMS")</f>
        <v/>
      </c>
      <c r="G48" s="8" t="inlineStr">
        <is>
          <t>RECORDS-AT-HAND</t>
        </is>
      </c>
      <c r="H48" s="6" t="inlineStr">
        <is>
          <t>K14 Source &amp; vendor verification</t>
        </is>
      </c>
      <c r="I48" s="6" t="inlineStr">
        <is>
          <t>G4 Before claims</t>
        </is>
      </c>
      <c r="J48" s="6" t="inlineStr">
        <is>
          <t>Normal</t>
        </is>
      </c>
      <c r="K48" s="6" t="n">
        <v>84</v>
      </c>
      <c r="L48" s="6" t="inlineStr">
        <is>
          <t>W2 Desk work (no model runs)</t>
        </is>
      </c>
      <c r="M48" s="6" t="inlineStr">
        <is>
          <t>S11</t>
        </is>
      </c>
      <c r="N48" s="6" t="inlineStr">
        <is>
          <t>You (Phase 1 records)</t>
        </is>
      </c>
      <c r="O48" s="6" t="inlineStr">
        <is>
          <t>Lead drafts the fix; you approve</t>
        </is>
      </c>
      <c r="P48" s="6" t="inlineStr">
        <is>
          <t>No</t>
        </is>
      </c>
      <c r="Q48" s="6" t="inlineStr">
        <is>
          <t>Source check</t>
        </is>
      </c>
      <c r="R48" s="6" t="inlineStr">
        <is>
          <t>Sub-item</t>
        </is>
      </c>
      <c r="S48" s="6" t="inlineStr">
        <is>
          <t>C-E01</t>
        </is>
      </c>
      <c r="T48" s="6" t="inlineStr">
        <is>
          <t>SRC-06 E05: unknown whether the earlier body incorporated the MCP-Bench distractor-server result (audit-history question).</t>
        </is>
      </c>
      <c r="U48" s="6" t="inlineStr">
        <is>
          <t>Outside the repo.</t>
        </is>
      </c>
      <c r="V48" s="6" t="inlineStr">
        <is>
          <t>Original record and paper checked; audit-history recorded.</t>
        </is>
      </c>
      <c r="W48" s="6" t="inlineStr"/>
      <c r="X48" s="6" t="inlineStr"/>
      <c r="Y48" s="6" t="inlineStr"/>
      <c r="Z48" s="6" t="inlineStr"/>
      <c r="AA48" s="6" t="inlineStr"/>
      <c r="AB48" s="6" t="inlineStr">
        <is>
          <t>RECORD+SOURCE</t>
        </is>
      </c>
      <c r="AC48" s="6" t="inlineStr">
        <is>
          <t>n/a (sub-item)</t>
        </is>
      </c>
      <c r="AD48" s="6" t="inlineStr">
        <is>
          <t>NEW (SRC-11 sub-row)</t>
        </is>
      </c>
      <c r="AE48" s="6" t="inlineStr">
        <is>
          <t>2026-10-19</t>
        </is>
      </c>
      <c r="AF48" s="6" t="inlineStr">
        <is>
          <t>Concerns the independent Phase 1 body (outside repo); r3-mcpbench is stored</t>
        </is>
      </c>
      <c r="AG48" s="6" t="inlineStr"/>
      <c r="AH48" s="6" t="inlineStr">
        <is>
          <t>No (AUTH-016 covers web fetches for this item)</t>
        </is>
      </c>
      <c r="AI48" s="6" t="inlineStr"/>
      <c r="AJ48" s="6" t="inlineStr">
        <is>
          <t>SRC-11 section D1</t>
        </is>
      </c>
      <c r="AK48" s="6" t="inlineStr">
        <is>
          <t>SRC-06 E05</t>
        </is>
      </c>
      <c r="AL48" s="6" t="inlineStr">
        <is>
          <t>S11</t>
        </is>
      </c>
    </row>
    <row r="49" ht="300" customHeight="1">
      <c r="A49" s="5" t="inlineStr">
        <is>
          <t>C-E01/E08</t>
        </is>
      </c>
      <c r="B49" s="6" t="inlineStr">
        <is>
          <t>CAPC lazy-tools scope, ToolMenuBench sizes, ProMCP figures not fully verified</t>
        </is>
      </c>
      <c r="C49" s="6" t="inlineStr">
        <is>
          <t>DEFERRED</t>
        </is>
      </c>
      <c r="D49" s="6">
        <f>IFERROR(INDEX(Lists!$B$2:$B$14,MATCH(C49,Lists!$A$2:$A$14,0)),"?")</f>
        <v/>
      </c>
      <c r="E49" s="6">
        <f>IF(COUNTIFS(Links!$B$2:$B$600,A49,Links!$E$2:$E$600,"Yes")&gt;0,"REVISE","")</f>
        <v/>
      </c>
      <c r="F49" s="6">
        <f>COUNTIFS(Links!$B$2:$B$600,A49,Links!$D$2:$D$600,"No",Links!$C$2:$C$600,"&lt;&gt;INFORMS")</f>
        <v/>
      </c>
      <c r="G49" s="14" t="inlineStr">
        <is>
          <t>SOURCE-REREAD</t>
        </is>
      </c>
      <c r="H49" s="6" t="inlineStr">
        <is>
          <t>K14 Source &amp; vendor verification</t>
        </is>
      </c>
      <c r="I49" s="6" t="inlineStr">
        <is>
          <t>G4 Before claims</t>
        </is>
      </c>
      <c r="J49" s="6" t="inlineStr">
        <is>
          <t>Normal</t>
        </is>
      </c>
      <c r="K49" s="6" t="n">
        <v>88</v>
      </c>
      <c r="L49" s="6" t="inlineStr">
        <is>
          <t>W2 Desk work (no model runs)</t>
        </is>
      </c>
      <c r="M49" s="6" t="inlineStr">
        <is>
          <t>S11</t>
        </is>
      </c>
      <c r="N49" s="6" t="inlineStr">
        <is>
          <t>Lead + steward</t>
        </is>
      </c>
      <c r="O49" s="6" t="inlineStr">
        <is>
          <t>none until the trigger fires</t>
        </is>
      </c>
      <c r="P49" s="6" t="inlineStr">
        <is>
          <t>Partly</t>
        </is>
      </c>
      <c r="Q49" s="6" t="inlineStr">
        <is>
          <t>Source check</t>
        </is>
      </c>
      <c r="R49" s="6" t="inlineStr">
        <is>
          <t>Sub-item</t>
        </is>
      </c>
      <c r="S49" s="6" t="inlineStr">
        <is>
          <t>C-E01</t>
        </is>
      </c>
      <c r="T49" s="6" t="inlineStr">
        <is>
          <t>SRC-06 E08: CAPC lazy-tools scope, ToolMenuBench sizes and ProMCP figures are not fully verified.</t>
        </is>
      </c>
      <c r="U49"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49" s="6" t="inlineStr">
        <is>
          <t>Each table/setting checked separately.</t>
        </is>
      </c>
      <c r="W49" s="6" t="inlineStr"/>
      <c r="X49" s="6" t="inlineStr"/>
      <c r="Y49" s="6" t="inlineStr"/>
      <c r="Z49" s="6" t="inlineStr"/>
      <c r="AA49" s="6" t="inlineStr"/>
      <c r="AB49" s="6" t="inlineStr">
        <is>
          <t>SOURCE</t>
        </is>
      </c>
      <c r="AC49" s="6" t="inlineStr">
        <is>
          <t>n/a (sub-item)</t>
        </is>
      </c>
      <c r="AD49" s="6" t="inlineStr">
        <is>
          <t>NEW (SRC-11 sub-row)</t>
        </is>
      </c>
      <c r="AE49" s="6" t="inlineStr">
        <is>
          <t>2026-10-20</t>
        </is>
      </c>
      <c r="AF49" s="6" t="inlineStr">
        <is>
          <t>grep of design/package-v3 and design/package-v4 01-05 (lead, 2026-10-20)</t>
        </is>
      </c>
      <c r="AG49" s="6" t="inlineStr">
        <is>
          <t>A document quotes a ProMCP figure</t>
        </is>
      </c>
      <c r="AH49" s="6" t="inlineStr">
        <is>
          <t>No (AUTH-016 covers web fetches for this item)</t>
        </is>
      </c>
      <c r="AI49" s="6" t="inlineStr"/>
      <c r="AJ49" s="6" t="inlineStr">
        <is>
          <t>SRC-11 section D1</t>
        </is>
      </c>
      <c r="AK49" s="6" t="inlineStr">
        <is>
          <t>SRC-06 E08</t>
        </is>
      </c>
      <c r="AL49" s="6" t="inlineStr">
        <is>
          <t>S11</t>
        </is>
      </c>
    </row>
    <row r="50" ht="53" customHeight="1">
      <c r="A50" s="5" t="inlineStr">
        <is>
          <t>C-E01/E09</t>
        </is>
      </c>
      <c r="B50" s="6" t="inlineStr">
        <is>
          <t>Frozen Copilot cache-hit row mixes serving and client telemetry</t>
        </is>
      </c>
      <c r="C50" s="6" t="inlineStr">
        <is>
          <t>OPEN</t>
        </is>
      </c>
      <c r="D50" s="6">
        <f>IFERROR(INDEX(Lists!$B$2:$B$14,MATCH(C50,Lists!$A$2:$A$14,0)),"?")</f>
        <v/>
      </c>
      <c r="E50" s="6">
        <f>IF(COUNTIFS(Links!$B$2:$B$600,A50,Links!$E$2:$E$600,"Yes")&gt;0,"REVISE","")</f>
        <v/>
      </c>
      <c r="F50" s="6">
        <f>COUNTIFS(Links!$B$2:$B$600,A50,Links!$D$2:$D$600,"No",Links!$C$2:$C$600,"&lt;&gt;INFORMS")</f>
        <v/>
      </c>
      <c r="G50" s="8" t="inlineStr">
        <is>
          <t>RECORDS-AT-HAND</t>
        </is>
      </c>
      <c r="H50" s="6" t="inlineStr">
        <is>
          <t>K14 Source &amp; vendor verification</t>
        </is>
      </c>
      <c r="I50" s="6" t="inlineStr">
        <is>
          <t>G4 Before claims</t>
        </is>
      </c>
      <c r="J50" s="6" t="inlineStr">
        <is>
          <t>Normal</t>
        </is>
      </c>
      <c r="K50" s="6" t="n">
        <v>89</v>
      </c>
      <c r="L50" s="6" t="inlineStr">
        <is>
          <t>W2 Desk work (no model runs)</t>
        </is>
      </c>
      <c r="M50" s="6" t="inlineStr">
        <is>
          <t>S11</t>
        </is>
      </c>
      <c r="N50" s="6" t="inlineStr">
        <is>
          <t>You</t>
        </is>
      </c>
      <c r="O50" s="6" t="inlineStr">
        <is>
          <t>Lead drafts the fix; you approve</t>
        </is>
      </c>
      <c r="P50" s="6" t="inlineStr">
        <is>
          <t>No</t>
        </is>
      </c>
      <c r="Q50" s="6" t="inlineStr">
        <is>
          <t>Source check</t>
        </is>
      </c>
      <c r="R50" s="6" t="inlineStr">
        <is>
          <t>Sub-item</t>
        </is>
      </c>
      <c r="S50" s="6" t="inlineStr">
        <is>
          <t>C-E01</t>
        </is>
      </c>
      <c r="T50" s="6" t="inlineStr">
        <is>
          <t>SRC-06 E09: the frozen dossier's Copilot cache-hit row mixes serving and client telemetry; a correction exists elsewhere, not in the frozen record.</t>
        </is>
      </c>
      <c r="U50" s="6" t="inlineStr">
        <is>
          <t>Outside the repo.</t>
        </is>
      </c>
      <c r="V50" s="6" t="inlineStr">
        <is>
          <t>Dated correction issued alongside the frozen artefact.</t>
        </is>
      </c>
      <c r="W50" s="6" t="inlineStr"/>
      <c r="X50" s="6" t="inlineStr"/>
      <c r="Y50" s="6" t="inlineStr"/>
      <c r="Z50" s="6" t="inlineStr"/>
      <c r="AA50" s="6" t="inlineStr"/>
      <c r="AB50" s="6" t="inlineStr">
        <is>
          <t>RECORD+SOURCE</t>
        </is>
      </c>
      <c r="AC50" s="6" t="inlineStr">
        <is>
          <t>n/a (sub-item)</t>
        </is>
      </c>
      <c r="AD50" s="6" t="inlineStr">
        <is>
          <t>NEW (SRC-11 sub-row)</t>
        </is>
      </c>
      <c r="AE50" s="6" t="inlineStr">
        <is>
          <t>2026-10-19</t>
        </is>
      </c>
      <c r="AF50" s="6" t="inlineStr">
        <is>
          <t>Phase 1 dossier outside repo; stored s4-copilottraces-2608-00101 and r4-github-copilot-fewer-tools</t>
        </is>
      </c>
      <c r="AG50" s="6" t="inlineStr"/>
      <c r="AH50" s="6" t="inlineStr">
        <is>
          <t>No (AUTH-016 covers web fetches for this item)</t>
        </is>
      </c>
      <c r="AI50" s="6" t="inlineStr"/>
      <c r="AJ50" s="6" t="inlineStr">
        <is>
          <t>SRC-11 section D1</t>
        </is>
      </c>
      <c r="AK50" s="6" t="inlineStr">
        <is>
          <t>SRC-06 E09</t>
        </is>
      </c>
      <c r="AL50" s="6" t="inlineStr">
        <is>
          <t>S11</t>
        </is>
      </c>
    </row>
    <row r="51" ht="53" customHeight="1">
      <c r="A51" s="5" t="inlineStr">
        <is>
          <t>C-E01/E10</t>
        </is>
      </c>
      <c r="B51" s="6" t="inlineStr">
        <is>
          <t>Phase 1 frozen dossier retains later-contradicted claims</t>
        </is>
      </c>
      <c r="C51" s="6" t="inlineStr">
        <is>
          <t>OPEN</t>
        </is>
      </c>
      <c r="D51" s="6">
        <f>IFERROR(INDEX(Lists!$B$2:$B$14,MATCH(C51,Lists!$A$2:$A$14,0)),"?")</f>
        <v/>
      </c>
      <c r="E51" s="6">
        <f>IF(COUNTIFS(Links!$B$2:$B$600,A51,Links!$E$2:$E$600,"Yes")&gt;0,"REVISE","")</f>
        <v/>
      </c>
      <c r="F51" s="6">
        <f>COUNTIFS(Links!$B$2:$B$600,A51,Links!$D$2:$D$600,"No",Links!$C$2:$C$600,"&lt;&gt;INFORMS")</f>
        <v/>
      </c>
      <c r="G51" s="8" t="inlineStr">
        <is>
          <t>RECORDS-AT-HAND</t>
        </is>
      </c>
      <c r="H51" s="6" t="inlineStr">
        <is>
          <t>K14 Source &amp; vendor verification</t>
        </is>
      </c>
      <c r="I51" s="6" t="inlineStr">
        <is>
          <t>G4 Before claims</t>
        </is>
      </c>
      <c r="J51" s="6" t="inlineStr">
        <is>
          <t>Normal</t>
        </is>
      </c>
      <c r="K51" s="6" t="n">
        <v>90</v>
      </c>
      <c r="L51" s="6" t="inlineStr">
        <is>
          <t>W2 Desk work (no model runs)</t>
        </is>
      </c>
      <c r="M51" s="6" t="inlineStr">
        <is>
          <t>S11</t>
        </is>
      </c>
      <c r="N51" s="6" t="inlineStr">
        <is>
          <t>You</t>
        </is>
      </c>
      <c r="O51" s="6" t="inlineStr">
        <is>
          <t>Lead drafts the fix; you approve</t>
        </is>
      </c>
      <c r="P51" s="6" t="inlineStr">
        <is>
          <t>No</t>
        </is>
      </c>
      <c r="Q51" s="6" t="inlineStr">
        <is>
          <t>Source check</t>
        </is>
      </c>
      <c r="R51" s="6" t="inlineStr">
        <is>
          <t>Sub-item</t>
        </is>
      </c>
      <c r="S51" s="6" t="inlineStr">
        <is>
          <t>C-E01</t>
        </is>
      </c>
      <c r="T51" s="6" t="inlineStr">
        <is>
          <t>SRC-06 E10: the frozen Phase 1 dossier retains claims later contradicted or unsupported (trajectory-only, caching, 56.7%, 85%, paraphrased 'verbatim' quotes, MCPVerse wording, version drift).</t>
        </is>
      </c>
      <c r="U51" s="6" t="inlineStr">
        <is>
          <t>Outside the repo.</t>
        </is>
      </c>
      <c r="V51" s="6" t="inlineStr">
        <is>
          <t>Explicit errata linked to each statement; frozen original preserved.</t>
        </is>
      </c>
      <c r="W51" s="6" t="inlineStr"/>
      <c r="X51" s="6" t="inlineStr"/>
      <c r="Y51" s="6" t="inlineStr"/>
      <c r="Z51" s="6" t="inlineStr"/>
      <c r="AA51" s="6" t="inlineStr"/>
      <c r="AB51" s="6" t="inlineStr">
        <is>
          <t>RECORD+SOURCE</t>
        </is>
      </c>
      <c r="AC51" s="6" t="inlineStr">
        <is>
          <t>n/a (sub-item)</t>
        </is>
      </c>
      <c r="AD51" s="6" t="inlineStr">
        <is>
          <t>NEW (SRC-11 sub-row)</t>
        </is>
      </c>
      <c r="AE51" s="6" t="inlineStr">
        <is>
          <t>2026-10-19</t>
        </is>
      </c>
      <c r="AF51" s="6" t="inlineStr">
        <is>
          <t>Outside repo</t>
        </is>
      </c>
      <c r="AG51" s="6" t="inlineStr"/>
      <c r="AH51" s="6" t="inlineStr">
        <is>
          <t>No (AUTH-016 covers web fetches for this item)</t>
        </is>
      </c>
      <c r="AI51" s="6" t="inlineStr"/>
      <c r="AJ51" s="6" t="inlineStr">
        <is>
          <t>SRC-11 section D1</t>
        </is>
      </c>
      <c r="AK51" s="6" t="inlineStr">
        <is>
          <t>SRC-06 E10</t>
        </is>
      </c>
      <c r="AL51" s="6" t="inlineStr">
        <is>
          <t>S11</t>
        </is>
      </c>
    </row>
    <row r="52" ht="240.5" customHeight="1">
      <c r="A52" s="5" t="inlineStr">
        <is>
          <t>C-E02</t>
        </is>
      </c>
      <c r="B52" s="6" t="inlineStr">
        <is>
          <t>Fifteen groups of unread, partial, snippet-only or unreadable sources; historical 'not found' searches were...</t>
        </is>
      </c>
      <c r="C52" s="6" t="inlineStr">
        <is>
          <t>PARTLY ANSWERED</t>
        </is>
      </c>
      <c r="D52" s="6">
        <f>IFERROR(INDEX(Lists!$B$2:$B$14,MATCH(C52,Lists!$A$2:$A$14,0)),"?")</f>
        <v/>
      </c>
      <c r="E52" s="6">
        <f>IF(COUNTIFS(Links!$B$2:$B$600,A52,Links!$E$2:$E$600,"Yes")&gt;0,"REVISE","")</f>
        <v/>
      </c>
      <c r="F52" s="6">
        <f>COUNTIFS(Links!$B$2:$B$600,A52,Links!$D$2:$D$600,"No",Links!$C$2:$C$600,"&lt;&gt;INFORMS")</f>
        <v/>
      </c>
      <c r="G52" s="14" t="inlineStr">
        <is>
          <t>SOURCE-REREAD</t>
        </is>
      </c>
      <c r="H52" s="6" t="inlineStr">
        <is>
          <t>K14 Source &amp; vendor verification</t>
        </is>
      </c>
      <c r="I52" s="6" t="inlineStr">
        <is>
          <t>G4 Before claims</t>
        </is>
      </c>
      <c r="J52" s="6" t="inlineStr">
        <is>
          <t>Normal</t>
        </is>
      </c>
      <c r="K52" s="6" t="n">
        <v>91</v>
      </c>
      <c r="L52" s="6" t="inlineStr">
        <is>
          <t>W2 Desk work (no model runs)</t>
        </is>
      </c>
      <c r="M52" s="6" t="inlineStr">
        <is>
          <t>S11</t>
        </is>
      </c>
      <c r="N52" s="6" t="inlineStr">
        <is>
          <t>Lead + steward</t>
        </is>
      </c>
      <c r="O52" s="6" t="inlineStr">
        <is>
          <t>E30 needs your list (Q-U23); UNREADLEADS in progress (memory survey read in batch 13); then close this item</t>
        </is>
      </c>
      <c r="P52" s="6" t="inlineStr">
        <is>
          <t>Yes - stored text, unread</t>
        </is>
      </c>
      <c r="Q52" s="6" t="inlineStr">
        <is>
          <t>Source check</t>
        </is>
      </c>
      <c r="R52" s="6" t="inlineStr">
        <is>
          <t>Item</t>
        </is>
      </c>
      <c r="S52" s="6" t="inlineStr"/>
      <c r="T52" s="6" t="inlineStr">
        <is>
          <t>Fifteen groups of unread, partial, snippet-only or unreadable sources; historical 'not found' searches were bounded.</t>
        </is>
      </c>
      <c r="U52"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52" s="6" t="inlineStr">
        <is>
          <t>Pivotal originals read; non-pivotal ones deferred with a reason and trigger.</t>
        </is>
      </c>
      <c r="W52" s="6" t="inlineStr"/>
      <c r="X52" s="6" t="inlineStr">
        <is>
          <t>C-D01, C-D08</t>
        </is>
      </c>
      <c r="Y52" s="6" t="inlineStr"/>
      <c r="Z52" s="6" t="inlineStr">
        <is>
          <t>LITERATURE-DIRECTED, ACCEPT-LIMITATION</t>
        </is>
      </c>
      <c r="AA52" s="6" t="inlineStr"/>
      <c r="AB52" s="6" t="inlineStr">
        <is>
          <t>SOURCE+ACCESS+RECORD</t>
        </is>
      </c>
      <c r="AC52" s="6" t="inlineStr">
        <is>
          <t>OPEN</t>
        </is>
      </c>
      <c r="AD52" s="6" t="inlineStr">
        <is>
          <t>NARROWED</t>
        </is>
      </c>
      <c r="AE52" s="6" t="inlineStr">
        <is>
          <t>2026-10-20</t>
        </is>
      </c>
      <c r="AF52" s="6" t="inlineStr">
        <is>
          <t>see the child rows</t>
        </is>
      </c>
      <c r="AG52" s="6" t="inlineStr">
        <is>
          <t>When a skipped source becomes pivotal or a paper version changes</t>
        </is>
      </c>
      <c r="AH52" s="6" t="inlineStr">
        <is>
          <t>No (AUTH-016 covers web fetches for this item)</t>
        </is>
      </c>
      <c r="AI52" s="6" t="inlineStr"/>
      <c r="AJ52" s="6" t="inlineStr">
        <is>
          <t>SRC-11 canonical</t>
        </is>
      </c>
      <c r="AK52" s="6" t="inlineStr">
        <is>
          <t>SRC-06 E20-E34, SRC-07 28</t>
        </is>
      </c>
      <c r="AL52" s="6" t="inlineStr">
        <is>
          <t>S11</t>
        </is>
      </c>
    </row>
    <row r="53" ht="300" customHeight="1">
      <c r="A53" s="5" t="inlineStr">
        <is>
          <t>C-E02/E21</t>
        </is>
      </c>
      <c r="B53" s="6" t="inlineStr">
        <is>
          <t>Hajdas post, Cursor cap docs, Claude Code changelog not opened; 55K attribution</t>
        </is>
      </c>
      <c r="C53" s="6" t="inlineStr">
        <is>
          <t>DEFERRED</t>
        </is>
      </c>
      <c r="D53" s="6">
        <f>IFERROR(INDEX(Lists!$B$2:$B$14,MATCH(C53,Lists!$A$2:$A$14,0)),"?")</f>
        <v/>
      </c>
      <c r="E53" s="6">
        <f>IF(COUNTIFS(Links!$B$2:$B$600,A53,Links!$E$2:$E$600,"Yes")&gt;0,"REVISE","")</f>
        <v/>
      </c>
      <c r="F53" s="6">
        <f>COUNTIFS(Links!$B$2:$B$600,A53,Links!$D$2:$D$600,"No",Links!$C$2:$C$600,"&lt;&gt;INFORMS")</f>
        <v/>
      </c>
      <c r="G53" s="14" t="inlineStr">
        <is>
          <t>SOURCE-REREAD</t>
        </is>
      </c>
      <c r="H53" s="6" t="inlineStr">
        <is>
          <t>K14 Source &amp; vendor verification</t>
        </is>
      </c>
      <c r="I53" s="6" t="inlineStr">
        <is>
          <t>G4 Before claims</t>
        </is>
      </c>
      <c r="J53" s="6" t="inlineStr">
        <is>
          <t>Normal</t>
        </is>
      </c>
      <c r="K53" s="6" t="n">
        <v>94</v>
      </c>
      <c r="L53" s="6" t="inlineStr">
        <is>
          <t>W2 Desk work (no model runs)</t>
        </is>
      </c>
      <c r="M53" s="6" t="inlineStr">
        <is>
          <t>S11</t>
        </is>
      </c>
      <c r="N53" s="6" t="inlineStr">
        <is>
          <t>Lead + steward</t>
        </is>
      </c>
      <c r="O53" s="6" t="inlineStr">
        <is>
          <t>none until the trigger fires</t>
        </is>
      </c>
      <c r="P53" s="6" t="inlineStr">
        <is>
          <t>Partly</t>
        </is>
      </c>
      <c r="Q53" s="6" t="inlineStr">
        <is>
          <t>Source check</t>
        </is>
      </c>
      <c r="R53" s="6" t="inlineStr">
        <is>
          <t>Sub-item</t>
        </is>
      </c>
      <c r="S53" s="6" t="inlineStr">
        <is>
          <t>C-E02</t>
        </is>
      </c>
      <c r="T53" s="6" t="inlineStr">
        <is>
          <t>SRC-06 E21: the Hajdas post, Cursor cap docs and Claude Code changelog were not opened; the 55K attribution is uncertain.</t>
        </is>
      </c>
      <c r="U53"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53" s="6" t="inlineStr">
        <is>
          <t>Original read; claims it affects revised or marked unverified.</t>
        </is>
      </c>
      <c r="W53" s="6" t="inlineStr"/>
      <c r="X53" s="6" t="inlineStr"/>
      <c r="Y53" s="6" t="inlineStr"/>
      <c r="Z53" s="6" t="inlineStr"/>
      <c r="AA53" s="6" t="inlineStr"/>
      <c r="AB53" s="6" t="inlineStr">
        <is>
          <t>SOURCE+ACCESS</t>
        </is>
      </c>
      <c r="AC53" s="6" t="inlineStr">
        <is>
          <t>n/a (sub-item)</t>
        </is>
      </c>
      <c r="AD53" s="6" t="inlineStr">
        <is>
          <t>NEW (SRC-11 sub-row)</t>
        </is>
      </c>
      <c r="AE53" s="6" t="inlineStr">
        <is>
          <t>2026-10-20</t>
        </is>
      </c>
      <c r="AF53" s="6" t="inlineStr">
        <is>
          <t>grep of design/package-v3 and design/package-v4 01-05 (lead, 2026-10-20); see also this row's earlier basis</t>
        </is>
      </c>
      <c r="AG53" s="6" t="inlineStr">
        <is>
          <t>A document quotes the Cursor tool cap, the 55K attribution or the Hajdas post</t>
        </is>
      </c>
      <c r="AH53" s="6" t="inlineStr">
        <is>
          <t>No (AUTH-016 covers web fetches for this item)</t>
        </is>
      </c>
      <c r="AI53" s="6" t="inlineStr"/>
      <c r="AJ53" s="6" t="inlineStr">
        <is>
          <t>SRC-11 section D2</t>
        </is>
      </c>
      <c r="AK53" s="6" t="inlineStr">
        <is>
          <t>SRC-06 E21</t>
        </is>
      </c>
      <c r="AL53" s="6" t="inlineStr">
        <is>
          <t>S11</t>
        </is>
      </c>
    </row>
    <row r="54" ht="300" customHeight="1">
      <c r="A54" s="5" t="inlineStr">
        <is>
          <t>C-E02/E22</t>
        </is>
      </c>
      <c r="B54" s="6" t="inlineStr">
        <is>
          <t>Anthropic programmatic-tool docs partial; prompt-cache tail, pricing, MCP pages not read in full</t>
        </is>
      </c>
      <c r="C54" s="6" t="inlineStr">
        <is>
          <t>DEFERRED</t>
        </is>
      </c>
      <c r="D54" s="6">
        <f>IFERROR(INDEX(Lists!$B$2:$B$14,MATCH(C54,Lists!$A$2:$A$14,0)),"?")</f>
        <v/>
      </c>
      <c r="E54" s="6">
        <f>IF(COUNTIFS(Links!$B$2:$B$600,A54,Links!$E$2:$E$600,"Yes")&gt;0,"REVISE","")</f>
        <v/>
      </c>
      <c r="F54" s="6">
        <f>COUNTIFS(Links!$B$2:$B$600,A54,Links!$D$2:$D$600,"No",Links!$C$2:$C$600,"&lt;&gt;INFORMS")</f>
        <v/>
      </c>
      <c r="G54" s="14" t="inlineStr">
        <is>
          <t>SOURCE-REREAD</t>
        </is>
      </c>
      <c r="H54" s="6" t="inlineStr">
        <is>
          <t>K14 Source &amp; vendor verification</t>
        </is>
      </c>
      <c r="I54" s="6" t="inlineStr">
        <is>
          <t>G4 Before claims</t>
        </is>
      </c>
      <c r="J54" s="6" t="inlineStr">
        <is>
          <t>Normal</t>
        </is>
      </c>
      <c r="K54" s="6" t="n">
        <v>95</v>
      </c>
      <c r="L54" s="6" t="inlineStr">
        <is>
          <t>W2 Desk work (no model runs)</t>
        </is>
      </c>
      <c r="M54" s="6" t="inlineStr">
        <is>
          <t>S11</t>
        </is>
      </c>
      <c r="N54" s="6" t="inlineStr">
        <is>
          <t>Lead + steward</t>
        </is>
      </c>
      <c r="O54" s="6" t="inlineStr">
        <is>
          <t>none until the trigger fires</t>
        </is>
      </c>
      <c r="P54" s="6" t="inlineStr">
        <is>
          <t>Yes - stored text, unread</t>
        </is>
      </c>
      <c r="Q54" s="6" t="inlineStr">
        <is>
          <t>Source check</t>
        </is>
      </c>
      <c r="R54" s="6" t="inlineStr">
        <is>
          <t>Sub-item</t>
        </is>
      </c>
      <c r="S54" s="6" t="inlineStr">
        <is>
          <t>C-E02</t>
        </is>
      </c>
      <c r="T54" s="6" t="inlineStr">
        <is>
          <t>SRC-06 E22: Anthropic programmatic docs partial; prompt-cache tail, pricing and MCP pages not read in full.</t>
        </is>
      </c>
      <c r="U54"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54" s="6" t="inlineStr">
        <is>
          <t>Original read; claims it affects revised or marked unverified.</t>
        </is>
      </c>
      <c r="W54" s="6" t="inlineStr"/>
      <c r="X54" s="6" t="inlineStr"/>
      <c r="Y54" s="6" t="inlineStr"/>
      <c r="Z54" s="6" t="inlineStr"/>
      <c r="AA54" s="6" t="inlineStr"/>
      <c r="AB54" s="6" t="inlineStr">
        <is>
          <t>SOURCE+ACCESS</t>
        </is>
      </c>
      <c r="AC54" s="6" t="inlineStr">
        <is>
          <t>n/a (sub-item)</t>
        </is>
      </c>
      <c r="AD54" s="6" t="inlineStr">
        <is>
          <t>NEW (SRC-11 sub-row)</t>
        </is>
      </c>
      <c r="AE54" s="6" t="inlineStr">
        <is>
          <t>2026-10-20</t>
        </is>
      </c>
      <c r="AF54" s="6" t="inlineStr">
        <is>
          <t>grep of design/package-v3 and design/package-v4 01-05 (lead, 2026-10-20); see also this row's earlier basis</t>
        </is>
      </c>
      <c r="AG54" s="6" t="inlineStr">
        <is>
          <t>A claim depends on the unread body of the programmatic page or the tail of the prompt-caching page</t>
        </is>
      </c>
      <c r="AH54" s="6" t="inlineStr">
        <is>
          <t>No (AUTH-016 covers web fetches for this item)</t>
        </is>
      </c>
      <c r="AI54" s="6" t="inlineStr"/>
      <c r="AJ54" s="6" t="inlineStr">
        <is>
          <t>SRC-11 section D2</t>
        </is>
      </c>
      <c r="AK54" s="6" t="inlineStr">
        <is>
          <t>SRC-06 E22</t>
        </is>
      </c>
      <c r="AL54" s="6" t="inlineStr">
        <is>
          <t>S11</t>
        </is>
      </c>
    </row>
    <row r="55" ht="300" customHeight="1">
      <c r="A55" s="5" t="inlineStr">
        <is>
          <t>C-E02/E23</t>
        </is>
      </c>
      <c r="B55" s="6" t="inlineStr">
        <is>
          <t>CE-MCP figures, ToolRet Figure 6, ToolShed trade-off not rendered</t>
        </is>
      </c>
      <c r="C55" s="6" t="inlineStr">
        <is>
          <t>DEFERRED</t>
        </is>
      </c>
      <c r="D55" s="6">
        <f>IFERROR(INDEX(Lists!$B$2:$B$14,MATCH(C55,Lists!$A$2:$A$14,0)),"?")</f>
        <v/>
      </c>
      <c r="E55" s="6">
        <f>IF(COUNTIFS(Links!$B$2:$B$600,A55,Links!$E$2:$E$600,"Yes")&gt;0,"REVISE","")</f>
        <v/>
      </c>
      <c r="F55" s="6">
        <f>COUNTIFS(Links!$B$2:$B$600,A55,Links!$D$2:$D$600,"No",Links!$C$2:$C$600,"&lt;&gt;INFORMS")</f>
        <v/>
      </c>
      <c r="G55" s="14" t="inlineStr">
        <is>
          <t>SOURCE-REREAD</t>
        </is>
      </c>
      <c r="H55" s="6" t="inlineStr">
        <is>
          <t>K14 Source &amp; vendor verification</t>
        </is>
      </c>
      <c r="I55" s="6" t="inlineStr">
        <is>
          <t>G4 Before claims</t>
        </is>
      </c>
      <c r="J55" s="6" t="inlineStr">
        <is>
          <t>Normal</t>
        </is>
      </c>
      <c r="K55" s="6" t="n">
        <v>96</v>
      </c>
      <c r="L55" s="6" t="inlineStr">
        <is>
          <t>W2 Desk work (no model runs)</t>
        </is>
      </c>
      <c r="M55" s="6" t="inlineStr">
        <is>
          <t>S11</t>
        </is>
      </c>
      <c r="N55" s="6" t="inlineStr">
        <is>
          <t>Lead + steward</t>
        </is>
      </c>
      <c r="O55" s="6" t="inlineStr">
        <is>
          <t>none until the trigger fires</t>
        </is>
      </c>
      <c r="P55" s="6" t="inlineStr">
        <is>
          <t>Partly</t>
        </is>
      </c>
      <c r="Q55" s="6" t="inlineStr">
        <is>
          <t>Source check</t>
        </is>
      </c>
      <c r="R55" s="6" t="inlineStr">
        <is>
          <t>Sub-item</t>
        </is>
      </c>
      <c r="S55" s="6" t="inlineStr">
        <is>
          <t>C-E02</t>
        </is>
      </c>
      <c r="T55" s="6" t="inlineStr">
        <is>
          <t>SRC-06 E23: CE-MCP figures, ToolRet Figure 6 and the ToolShed trade-off were not rendered.</t>
        </is>
      </c>
      <c r="U55"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55" s="6" t="inlineStr">
        <is>
          <t>Original read; claims it affects revised or marked unverified.</t>
        </is>
      </c>
      <c r="W55" s="6" t="inlineStr"/>
      <c r="X55" s="6" t="inlineStr"/>
      <c r="Y55" s="6" t="inlineStr">
        <is>
          <t>Q-U22</t>
        </is>
      </c>
      <c r="Z55" s="6" t="inlineStr"/>
      <c r="AA55" s="6" t="inlineStr"/>
      <c r="AB55" s="6" t="inlineStr">
        <is>
          <t>SOURCE+ACCESS</t>
        </is>
      </c>
      <c r="AC55" s="6" t="inlineStr">
        <is>
          <t>n/a (sub-item)</t>
        </is>
      </c>
      <c r="AD55" s="6" t="inlineStr">
        <is>
          <t>NEW (SRC-11 sub-row)</t>
        </is>
      </c>
      <c r="AE55" s="6" t="inlineStr">
        <is>
          <t>2026-10-20</t>
        </is>
      </c>
      <c r="AF55" s="6" t="inlineStr">
        <is>
          <t>grep of design/package-v3 and design/package-v4 01-05 (lead, 2026-10-20); see also this row's earlier basis</t>
        </is>
      </c>
      <c r="AG55" s="6" t="inlineStr">
        <is>
          <t>A document quotes a G2 or G3 oracle value, or Figure 6</t>
        </is>
      </c>
      <c r="AH55" s="6" t="inlineStr">
        <is>
          <t>No (AUTH-016 covers web fetches for this item)</t>
        </is>
      </c>
      <c r="AI55" s="6" t="inlineStr"/>
      <c r="AJ55" s="6" t="inlineStr">
        <is>
          <t>SRC-11 section D2</t>
        </is>
      </c>
      <c r="AK55" s="6" t="inlineStr">
        <is>
          <t>SRC-06 E23</t>
        </is>
      </c>
      <c r="AL55" s="6" t="inlineStr">
        <is>
          <t>S11</t>
        </is>
      </c>
    </row>
    <row r="56" ht="115.5" customHeight="1">
      <c r="A56" s="5" t="inlineStr">
        <is>
          <t>C-E02/E24</t>
        </is>
      </c>
      <c r="B56" s="6" t="inlineStr">
        <is>
          <t>Speakeasy tables and Composio/Zapier/Pipedream/Smithery measurements missing</t>
        </is>
      </c>
      <c r="C56" s="6" t="inlineStr">
        <is>
          <t>DEFERRED</t>
        </is>
      </c>
      <c r="D56" s="6">
        <f>IFERROR(INDEX(Lists!$B$2:$B$14,MATCH(C56,Lists!$A$2:$A$14,0)),"?")</f>
        <v/>
      </c>
      <c r="E56" s="6">
        <f>IF(COUNTIFS(Links!$B$2:$B$600,A56,Links!$E$2:$E$600,"Yes")&gt;0,"REVISE","")</f>
        <v/>
      </c>
      <c r="F56" s="6">
        <f>COUNTIFS(Links!$B$2:$B$600,A56,Links!$D$2:$D$600,"No",Links!$C$2:$C$600,"&lt;&gt;INFORMS")</f>
        <v/>
      </c>
      <c r="G56" s="16" t="inlineStr">
        <is>
          <t>AUTHOR-OR-VENDOR</t>
        </is>
      </c>
      <c r="H56" s="6" t="inlineStr">
        <is>
          <t>K14 Source &amp; vendor verification</t>
        </is>
      </c>
      <c r="I56" s="6" t="inlineStr">
        <is>
          <t>G4 Before claims</t>
        </is>
      </c>
      <c r="J56" s="6" t="inlineStr">
        <is>
          <t>Normal</t>
        </is>
      </c>
      <c r="K56" s="6" t="n">
        <v>97</v>
      </c>
      <c r="L56" s="6" t="inlineStr">
        <is>
          <t>W2 Desk work (no model runs)</t>
        </is>
      </c>
      <c r="M56" s="6" t="inlineStr">
        <is>
          <t>S11</t>
        </is>
      </c>
      <c r="N56" s="6" t="inlineStr">
        <is>
          <t>Lead + steward</t>
        </is>
      </c>
      <c r="O56" s="6" t="inlineStr">
        <is>
          <t>none until the trigger fires</t>
        </is>
      </c>
      <c r="P56" s="6" t="inlineStr">
        <is>
          <t>Partly</t>
        </is>
      </c>
      <c r="Q56" s="6" t="inlineStr">
        <is>
          <t>Source check</t>
        </is>
      </c>
      <c r="R56" s="6" t="inlineStr">
        <is>
          <t>Sub-item</t>
        </is>
      </c>
      <c r="S56" s="6" t="inlineStr">
        <is>
          <t>C-E02</t>
        </is>
      </c>
      <c r="T56" s="6" t="inlineStr">
        <is>
          <t>SRC-06 E24: Speakeasy tables and Composio/Zapier/Pipedream/Smithery measurements were missing from fetched pages.</t>
        </is>
      </c>
      <c r="U56"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56" s="6" t="inlineStr">
        <is>
          <t>Original read; claims it affects revised or marked unverified.</t>
        </is>
      </c>
      <c r="W56" s="6" t="inlineStr"/>
      <c r="X56" s="6" t="inlineStr"/>
      <c r="Y56" s="6" t="inlineStr"/>
      <c r="Z56" s="6" t="inlineStr"/>
      <c r="AA56" s="6" t="inlineStr"/>
      <c r="AB56" s="6" t="inlineStr">
        <is>
          <t>SOURCE+ACCESS</t>
        </is>
      </c>
      <c r="AC56" s="6" t="inlineStr">
        <is>
          <t>n/a (sub-item)</t>
        </is>
      </c>
      <c r="AD56" s="6" t="inlineStr">
        <is>
          <t>NEW (SRC-11 sub-row)</t>
        </is>
      </c>
      <c r="AE56" s="6" t="inlineStr">
        <is>
          <t>2026-10-20</t>
        </is>
      </c>
      <c r="AF56" s="6" t="inlineStr">
        <is>
          <t>grep of design/package-v3 and design/package-v4 01-05 (lead, 2026-10-20); see also this row's earlier basis</t>
        </is>
      </c>
      <c r="AG56" s="6" t="inlineStr">
        <is>
          <t>A document quotes a measurement from Composio, Zapier, Pipedream or Smithery</t>
        </is>
      </c>
      <c r="AH56" s="6" t="inlineStr">
        <is>
          <t>No (AUTH-016 covers web fetches for this item)</t>
        </is>
      </c>
      <c r="AI56" s="6" t="inlineStr"/>
      <c r="AJ56" s="6" t="inlineStr">
        <is>
          <t>SRC-11 section D2</t>
        </is>
      </c>
      <c r="AK56" s="6" t="inlineStr">
        <is>
          <t>SRC-06 E24</t>
        </is>
      </c>
      <c r="AL56" s="6" t="inlineStr">
        <is>
          <t>S11</t>
        </is>
      </c>
    </row>
    <row r="57" ht="190.5" customHeight="1">
      <c r="A57" s="5" t="inlineStr">
        <is>
          <t>C-E02/E25</t>
        </is>
      </c>
      <c r="B57" s="6" t="inlineStr">
        <is>
          <t>Claude Code deferral bug reports known by title only</t>
        </is>
      </c>
      <c r="C57" s="6" t="inlineStr">
        <is>
          <t>PARTLY ANSWERED</t>
        </is>
      </c>
      <c r="D57" s="6">
        <f>IFERROR(INDEX(Lists!$B$2:$B$14,MATCH(C57,Lists!$A$2:$A$14,0)),"?")</f>
        <v/>
      </c>
      <c r="E57" s="6">
        <f>IF(COUNTIFS(Links!$B$2:$B$600,A57,Links!$E$2:$E$600,"Yes")&gt;0,"REVISE","")</f>
        <v/>
      </c>
      <c r="F57" s="6">
        <f>COUNTIFS(Links!$B$2:$B$600,A57,Links!$D$2:$D$600,"No",Links!$C$2:$C$600,"&lt;&gt;INFORMS")</f>
        <v/>
      </c>
      <c r="G57" s="16" t="inlineStr">
        <is>
          <t>AUTHOR-OR-VENDOR</t>
        </is>
      </c>
      <c r="H57" s="6" t="inlineStr">
        <is>
          <t>K14 Source &amp; vendor verification</t>
        </is>
      </c>
      <c r="I57" s="6" t="inlineStr">
        <is>
          <t>G4 Before claims</t>
        </is>
      </c>
      <c r="J57" s="6" t="inlineStr">
        <is>
          <t>Normal</t>
        </is>
      </c>
      <c r="K57" s="6" t="n">
        <v>98</v>
      </c>
      <c r="L57" s="6" t="inlineStr">
        <is>
          <t>W2 Desk work (no model runs)</t>
        </is>
      </c>
      <c r="M57" s="6" t="inlineStr">
        <is>
          <t>S11</t>
        </is>
      </c>
      <c r="N57" s="6" t="inlineStr">
        <is>
          <t>Reporters / lead</t>
        </is>
      </c>
      <c r="O57" s="6" t="inlineStr">
        <is>
          <t>Treat as a user report; verify only if the anecdote is used</t>
        </is>
      </c>
      <c r="P57" s="6" t="inlineStr">
        <is>
          <t>No</t>
        </is>
      </c>
      <c r="Q57" s="6" t="inlineStr">
        <is>
          <t>Source check</t>
        </is>
      </c>
      <c r="R57" s="6" t="inlineStr">
        <is>
          <t>Sub-item</t>
        </is>
      </c>
      <c r="S57" s="6" t="inlineStr">
        <is>
          <t>C-E02</t>
        </is>
      </c>
      <c r="T57" s="6" t="inlineStr">
        <is>
          <t>SRC-06 E25: Claude Code deferral bug reports known by titles only; the cache-read inflation anecdote is unverified.</t>
        </is>
      </c>
      <c r="U57"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57" s="6" t="inlineStr">
        <is>
          <t>Original read; claims it affects revised or marked unverified.</t>
        </is>
      </c>
      <c r="W57" s="6" t="inlineStr"/>
      <c r="X57" s="6" t="inlineStr"/>
      <c r="Y57" s="6" t="inlineStr"/>
      <c r="Z57" s="6" t="inlineStr"/>
      <c r="AA57" s="6" t="inlineStr"/>
      <c r="AB57" s="6" t="inlineStr">
        <is>
          <t>SOURCE+ACCESS</t>
        </is>
      </c>
      <c r="AC57" s="6" t="inlineStr">
        <is>
          <t>n/a (sub-item)</t>
        </is>
      </c>
      <c r="AD57" s="6" t="inlineStr">
        <is>
          <t>NEW (SRC-11 sub-row)</t>
        </is>
      </c>
      <c r="AE57" s="6" t="inlineStr">
        <is>
          <t>2026-10-19</t>
        </is>
      </c>
      <c r="AF57" s="6" t="inlineStr">
        <is>
          <t>FND-0019 (findings/SUM-0021); stored texts evidence/literature-20261019/lit-cursor-forum-*.txt (3), lit-ccissue-59650-deferred-cache-reads.txt, lit-ccissue-30920-defer-cachecontrol.txt, lit-toolhop-2501.02506v4.txt</t>
        </is>
      </c>
      <c r="AG57" s="6" t="inlineStr"/>
      <c r="AH57" s="6" t="inlineStr">
        <is>
          <t>No (AUTH-016 covers web fetches for this item)</t>
        </is>
      </c>
      <c r="AI57" s="6" t="inlineStr"/>
      <c r="AJ57" s="6" t="inlineStr">
        <is>
          <t>SRC-11 section D2</t>
        </is>
      </c>
      <c r="AK57" s="6" t="inlineStr">
        <is>
          <t>SRC-06 E25</t>
        </is>
      </c>
      <c r="AL57" s="6" t="inlineStr">
        <is>
          <t>S11</t>
        </is>
      </c>
    </row>
    <row r="58" ht="203" customHeight="1">
      <c r="A58" s="5" t="inlineStr">
        <is>
          <t>C-E02/E26</t>
        </is>
      </c>
      <c r="B58" s="6" t="inlineStr">
        <is>
          <t>ToolHop repo 404, Schlapbach PDF unreadable, other agent docs not fetched</t>
        </is>
      </c>
      <c r="C58" s="6" t="inlineStr">
        <is>
          <t>DEFERRED</t>
        </is>
      </c>
      <c r="D58" s="6">
        <f>IFERROR(INDEX(Lists!$B$2:$B$14,MATCH(C58,Lists!$A$2:$A$14,0)),"?")</f>
        <v/>
      </c>
      <c r="E58" s="6">
        <f>IF(COUNTIFS(Links!$B$2:$B$600,A58,Links!$E$2:$E$600,"Yes")&gt;0,"REVISE","")</f>
        <v/>
      </c>
      <c r="F58" s="6">
        <f>COUNTIFS(Links!$B$2:$B$600,A58,Links!$D$2:$D$600,"No",Links!$C$2:$C$600,"&lt;&gt;INFORMS")</f>
        <v/>
      </c>
      <c r="G58" s="14" t="inlineStr">
        <is>
          <t>SOURCE-REREAD</t>
        </is>
      </c>
      <c r="H58" s="6" t="inlineStr">
        <is>
          <t>K14 Source &amp; vendor verification</t>
        </is>
      </c>
      <c r="I58" s="6" t="inlineStr">
        <is>
          <t>G4 Before claims</t>
        </is>
      </c>
      <c r="J58" s="6" t="inlineStr">
        <is>
          <t>Normal</t>
        </is>
      </c>
      <c r="K58" s="6" t="n">
        <v>99</v>
      </c>
      <c r="L58" s="6" t="inlineStr">
        <is>
          <t>W2 Desk work (no model runs)</t>
        </is>
      </c>
      <c r="M58" s="6" t="inlineStr">
        <is>
          <t>S11</t>
        </is>
      </c>
      <c r="N58" s="6" t="inlineStr">
        <is>
          <t>Lead + steward</t>
        </is>
      </c>
      <c r="O58" s="6" t="inlineStr">
        <is>
          <t>none until the trigger fires</t>
        </is>
      </c>
      <c r="P58" s="6" t="inlineStr">
        <is>
          <t>Partly</t>
        </is>
      </c>
      <c r="Q58" s="6" t="inlineStr">
        <is>
          <t>Source check</t>
        </is>
      </c>
      <c r="R58" s="6" t="inlineStr">
        <is>
          <t>Sub-item</t>
        </is>
      </c>
      <c r="S58" s="6" t="inlineStr">
        <is>
          <t>C-E02</t>
        </is>
      </c>
      <c r="T58" s="6" t="inlineStr">
        <is>
          <t>SRC-06 E26: ToolHop repo 404, Schlapbach PDF unreadable, other agent docs not fetched.</t>
        </is>
      </c>
      <c r="U58"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58" s="6" t="inlineStr">
        <is>
          <t>Original read; claims it affects revised or marked unverified.</t>
        </is>
      </c>
      <c r="W58" s="6" t="inlineStr"/>
      <c r="X58" s="6" t="inlineStr"/>
      <c r="Y58" s="6" t="inlineStr"/>
      <c r="Z58" s="6" t="inlineStr"/>
      <c r="AA58" s="6" t="inlineStr"/>
      <c r="AB58" s="6" t="inlineStr">
        <is>
          <t>SOURCE+ACCESS</t>
        </is>
      </c>
      <c r="AC58" s="6" t="inlineStr">
        <is>
          <t>n/a (sub-item)</t>
        </is>
      </c>
      <c r="AD58" s="6" t="inlineStr">
        <is>
          <t>NEW (SRC-11 sub-row)</t>
        </is>
      </c>
      <c r="AE58" s="6" t="inlineStr">
        <is>
          <t>2026-10-20</t>
        </is>
      </c>
      <c r="AF58" s="6" t="inlineStr">
        <is>
          <t>grep of design/package-v3 and design/package-v4 01-05 (lead, 2026-10-20); see also this row's earlier basis</t>
        </is>
      </c>
      <c r="AG58" s="6" t="inlineStr">
        <is>
          <t>A document quotes the Schlapbach PDF or an agent-framework doc that is not stored</t>
        </is>
      </c>
      <c r="AH58" s="6" t="inlineStr">
        <is>
          <t>No (AUTH-016 covers web fetches for this item)</t>
        </is>
      </c>
      <c r="AI58" s="6" t="inlineStr"/>
      <c r="AJ58" s="6" t="inlineStr">
        <is>
          <t>SRC-11 section D2</t>
        </is>
      </c>
      <c r="AK58" s="6" t="inlineStr">
        <is>
          <t>SRC-06 E26</t>
        </is>
      </c>
      <c r="AL58" s="6" t="inlineStr">
        <is>
          <t>S11</t>
        </is>
      </c>
    </row>
    <row r="59" ht="128" customHeight="1">
      <c r="A59" s="5" t="inlineStr">
        <is>
          <t>C-E02/E29-OTHERS</t>
        </is>
      </c>
      <c r="B59" s="6" t="inlineStr">
        <is>
          <t>Papers in the garbled-table group that no live document quotes: Re-Invoke, Shi, ToolTweak, MCP-SafetyBench, CE-MCP, ToolShed trade-off</t>
        </is>
      </c>
      <c r="C59" s="6" t="inlineStr">
        <is>
          <t>DEFERRED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G5 Housekeeping / no block</t>
        </is>
      </c>
      <c r="J59" s="6" t="inlineStr">
        <is>
          <t>Low</t>
        </is>
      </c>
      <c r="K59" s="6" t="n">
        <v>103</v>
      </c>
      <c r="L59" s="6" t="inlineStr">
        <is>
          <t>W2 Desk work (no model runs)</t>
        </is>
      </c>
      <c r="M59" s="6" t="inlineStr">
        <is>
          <t>S11</t>
        </is>
      </c>
      <c r="N59" s="6" t="inlineStr">
        <is>
          <t>Lead + steward</t>
        </is>
      </c>
      <c r="O59" s="6" t="inlineStr">
        <is>
          <t>Render the table pages only if a claim quotes them</t>
        </is>
      </c>
      <c r="P59" s="6" t="inlineStr">
        <is>
          <t>Partly</t>
        </is>
      </c>
      <c r="Q59" s="6" t="inlineStr">
        <is>
          <t>Source check</t>
        </is>
      </c>
      <c r="R59" s="6" t="inlineStr">
        <is>
          <t>Sub-item</t>
        </is>
      </c>
      <c r="S59" s="6" t="inlineStr">
        <is>
          <t>C-E02</t>
        </is>
      </c>
      <c r="T59"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59" s="6" t="inlineStr">
        <is>
          <t>Deferred 2026-10-19 with reason and trigger, as the C-E02 criterion allows ('non-pivotal ones deferred with a reason and trigger'). The determination 'no live document quotes them' is the lead's grep and may miss a paraphrase.</t>
        </is>
      </c>
      <c r="V59" s="6" t="inlineStr">
        <is>
          <t>Reopened and read on rendered pages if any document quotes a figure from these papers; otherwise stays deferred.</t>
        </is>
      </c>
      <c r="W59" s="6" t="inlineStr"/>
      <c r="X59" s="6" t="inlineStr"/>
      <c r="Y59" s="6" t="inlineStr"/>
      <c r="Z59" s="6" t="inlineStr"/>
      <c r="AA59" s="6" t="inlineStr"/>
      <c r="AB59" s="6" t="inlineStr">
        <is>
          <t>SOURCE</t>
        </is>
      </c>
      <c r="AC59" s="6" t="inlineStr">
        <is>
          <t>n/a (sub-item)</t>
        </is>
      </c>
      <c r="AD59" s="6" t="inlineStr">
        <is>
          <t>NEW (repo sweep)</t>
        </is>
      </c>
      <c r="AE59" s="6" t="inlineStr">
        <is>
          <t>2026-10-19</t>
        </is>
      </c>
      <c r="AF59" s="6" t="inlineStr">
        <is>
          <t>grep of the live documents by the lead (2026-10-19); FND-0024 (findings/SUM-0026); EXT-0211; evidence/literature-20261019/pages/INDEX.md (page images with SHA-256; raw PDF hashes match the manifest)</t>
        </is>
      </c>
      <c r="AG59" s="6" t="inlineStr">
        <is>
          <t>Any live document, brief or thesis text quotes a figure, table or trade-off from Re-Invoke, Shi, ToolTweak, MCP-SafetyBench, CE-MCP or ToolShed</t>
        </is>
      </c>
      <c r="AH59" s="6" t="inlineStr">
        <is>
          <t>No (AUTH-016 covers web fetches for this item)</t>
        </is>
      </c>
      <c r="AI59" s="6" t="inlineStr"/>
      <c r="AJ59" s="6" t="inlineStr">
        <is>
          <t>Batch 8 split of C-E02/E23 and C-E02/E29</t>
        </is>
      </c>
      <c r="AK59" s="6" t="inlineStr"/>
      <c r="AL59" s="6" t="inlineStr">
        <is>
          <t>S11</t>
        </is>
      </c>
    </row>
    <row r="60" ht="53" customHeight="1">
      <c r="A60" s="5" t="inlineStr">
        <is>
          <t>C-E02/E30</t>
        </is>
      </c>
      <c r="B60" s="6" t="inlineStr">
        <is>
          <t>Eight listed prior-art leads never fetched</t>
        </is>
      </c>
      <c r="C60" s="6" t="inlineStr">
        <is>
          <t>OPEN</t>
        </is>
      </c>
      <c r="D60" s="6">
        <f>IFERROR(INDEX(Lists!$B$2:$B$14,MATCH(C60,Lists!$A$2:$A$14,0)),"?")</f>
        <v/>
      </c>
      <c r="E60" s="6">
        <f>IF(COUNTIFS(Links!$B$2:$B$600,A60,Links!$E$2:$E$600,"Yes")&gt;0,"REVISE","")</f>
        <v/>
      </c>
      <c r="F60" s="6">
        <f>COUNTIFS(Links!$B$2:$B$600,A60,Links!$D$2:$D$600,"No",Links!$C$2:$C$600,"&lt;&gt;INFORMS")</f>
        <v/>
      </c>
      <c r="G60" s="11" t="inlineStr">
        <is>
          <t>LITERATURE-DIRECTED</t>
        </is>
      </c>
      <c r="H60" s="6" t="inlineStr">
        <is>
          <t>K14 Source &amp; vendor verification</t>
        </is>
      </c>
      <c r="I60" s="6" t="inlineStr">
        <is>
          <t>G4 Before claims</t>
        </is>
      </c>
      <c r="J60" s="6" t="inlineStr">
        <is>
          <t>Normal</t>
        </is>
      </c>
      <c r="K60" s="6" t="n">
        <v>104</v>
      </c>
      <c r="L60" s="6" t="inlineStr">
        <is>
          <t>W2 Desk work (no model runs)</t>
        </is>
      </c>
      <c r="M60" s="6" t="inlineStr">
        <is>
          <t>S11</t>
        </is>
      </c>
      <c r="N60" s="6" t="inlineStr">
        <is>
          <t>You (supply the list) then lead</t>
        </is>
      </c>
      <c r="O60" s="6" t="inlineStr">
        <is>
          <t>Directed search (needs scope)</t>
        </is>
      </c>
      <c r="P60" s="6" t="inlineStr">
        <is>
          <t>No</t>
        </is>
      </c>
      <c r="Q60" s="6" t="inlineStr">
        <is>
          <t>Source check</t>
        </is>
      </c>
      <c r="R60" s="6" t="inlineStr">
        <is>
          <t>Sub-item</t>
        </is>
      </c>
      <c r="S60" s="6" t="inlineStr">
        <is>
          <t>C-E02</t>
        </is>
      </c>
      <c r="T60" s="6" t="inlineStr">
        <is>
          <t>SRC-06 E30: eight listed prior-art leads were never fetched by the earlier body.</t>
        </is>
      </c>
      <c r="U60" s="6" t="inlineStr">
        <is>
          <t>Names not available from SRC-11; cannot check against the repo.</t>
        </is>
      </c>
      <c r="V60" s="6" t="inlineStr">
        <is>
          <t>Original read; claims it affects revised or marked unverified.</t>
        </is>
      </c>
      <c r="W60" s="6" t="inlineStr"/>
      <c r="X60" s="6" t="inlineStr"/>
      <c r="Y60" s="6" t="inlineStr">
        <is>
          <t>Q-U23</t>
        </is>
      </c>
      <c r="Z60" s="6" t="inlineStr"/>
      <c r="AA60" s="6" t="inlineStr"/>
      <c r="AB60" s="6" t="inlineStr">
        <is>
          <t>SOURCE+ACCESS</t>
        </is>
      </c>
      <c r="AC60" s="6" t="inlineStr">
        <is>
          <t>n/a (sub-item)</t>
        </is>
      </c>
      <c r="AD60" s="6" t="inlineStr">
        <is>
          <t>NEW (SRC-11 sub-row)</t>
        </is>
      </c>
      <c r="AE60" s="6" t="inlineStr">
        <is>
          <t>2026-10-19</t>
        </is>
      </c>
      <c r="AF60" s="6" t="inlineStr">
        <is>
          <t>the list is in SRC-08 (not in .workspace)</t>
        </is>
      </c>
      <c r="AG60" s="6" t="inlineStr"/>
      <c r="AH60" s="6" t="inlineStr">
        <is>
          <t>No (AUTH-016 covers web fetches for this item)</t>
        </is>
      </c>
      <c r="AI60" s="6" t="inlineStr"/>
      <c r="AJ60" s="6" t="inlineStr">
        <is>
          <t>SRC-11 section D2</t>
        </is>
      </c>
      <c r="AK60" s="6" t="inlineStr">
        <is>
          <t>SRC-06 E30</t>
        </is>
      </c>
      <c r="AL60" s="6" t="inlineStr">
        <is>
          <t>S11</t>
        </is>
      </c>
    </row>
    <row r="61" ht="153" customHeight="1">
      <c r="A61" s="5" t="inlineStr">
        <is>
          <t>C-E02/E31</t>
        </is>
      </c>
      <c r="B61" s="6" t="inlineStr">
        <is>
          <t>ScaleMCP/MemTool/Toolshed/Manus/HAL/tau-bench and Spring AI/langgraph-bigtool: follow-up status unclear</t>
        </is>
      </c>
      <c r="C61" s="6" t="inlineStr">
        <is>
          <t>DEFERRED</t>
        </is>
      </c>
      <c r="D61" s="6">
        <f>IFERROR(INDEX(Lists!$B$2:$B$14,MATCH(C61,Lists!$A$2:$A$14,0)),"?")</f>
        <v/>
      </c>
      <c r="E61" s="6">
        <f>IF(COUNTIFS(Links!$B$2:$B$600,A61,Links!$E$2:$E$600,"Yes")&gt;0,"REVISE","")</f>
        <v/>
      </c>
      <c r="F61" s="6">
        <f>COUNTIFS(Links!$B$2:$B$600,A61,Links!$D$2:$D$600,"No",Links!$C$2:$C$600,"&lt;&gt;INFORMS")</f>
        <v/>
      </c>
      <c r="G61" s="14" t="inlineStr">
        <is>
          <t>SOURCE-REREAD</t>
        </is>
      </c>
      <c r="H61" s="6" t="inlineStr">
        <is>
          <t>K14 Source &amp; vendor verification</t>
        </is>
      </c>
      <c r="I61" s="6" t="inlineStr">
        <is>
          <t>G4 Before claims</t>
        </is>
      </c>
      <c r="J61" s="6" t="inlineStr">
        <is>
          <t>Normal</t>
        </is>
      </c>
      <c r="K61" s="6" t="n">
        <v>105</v>
      </c>
      <c r="L61" s="6" t="inlineStr">
        <is>
          <t>W2 Desk work (no model runs)</t>
        </is>
      </c>
      <c r="M61" s="6" t="inlineStr">
        <is>
          <t>S11</t>
        </is>
      </c>
      <c r="N61" s="6" t="inlineStr">
        <is>
          <t>Lead + steward</t>
        </is>
      </c>
      <c r="O61" s="6" t="inlineStr">
        <is>
          <t>none until the trigger fires</t>
        </is>
      </c>
      <c r="P61" s="6" t="inlineStr">
        <is>
          <t>Partly</t>
        </is>
      </c>
      <c r="Q61" s="6" t="inlineStr">
        <is>
          <t>Source check</t>
        </is>
      </c>
      <c r="R61" s="6" t="inlineStr">
        <is>
          <t>Sub-item</t>
        </is>
      </c>
      <c r="S61" s="6" t="inlineStr">
        <is>
          <t>C-E02</t>
        </is>
      </c>
      <c r="T61" s="6" t="inlineStr">
        <is>
          <t>SRC-06 E31: ScaleMCP, MemTool, Toolshed, Manus, HAL and tau-bench groups and Spring AI / langgraph-bigtool code; follow-up status is unclear.</t>
        </is>
      </c>
      <c r="U61"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t>
        </is>
      </c>
      <c r="V61" s="6" t="inlineStr">
        <is>
          <t>Original read; claims it affects revised or marked unverified.</t>
        </is>
      </c>
      <c r="W61" s="6" t="inlineStr"/>
      <c r="X61" s="6" t="inlineStr"/>
      <c r="Y61" s="6" t="inlineStr"/>
      <c r="Z61" s="6" t="inlineStr"/>
      <c r="AA61" s="6" t="inlineStr"/>
      <c r="AB61" s="6" t="inlineStr">
        <is>
          <t>SOURCE+ACCESS</t>
        </is>
      </c>
      <c r="AC61" s="6" t="inlineStr">
        <is>
          <t>n/a (sub-item)</t>
        </is>
      </c>
      <c r="AD61" s="6" t="inlineStr">
        <is>
          <t>NEW (SRC-11 sub-row)</t>
        </is>
      </c>
      <c r="AE61" s="6" t="inlineStr">
        <is>
          <t>2026-10-20</t>
        </is>
      </c>
      <c r="AF61" s="6" t="inlineStr">
        <is>
          <t>grep of design/package-v3 and design/package-v4 01-05 (lead, 2026-10-20); see also this row's earlier basis</t>
        </is>
      </c>
      <c r="AG61" s="6" t="inlineStr">
        <is>
          <t>A document quotes Manus, HAL, tau-bench, Spring AI, langgraph-bigtool or Toolshed</t>
        </is>
      </c>
      <c r="AH61" s="6" t="inlineStr">
        <is>
          <t>No (AUTH-016 covers web fetches for this item)</t>
        </is>
      </c>
      <c r="AI61" s="6" t="inlineStr"/>
      <c r="AJ61" s="6" t="inlineStr">
        <is>
          <t>SRC-11 section D2</t>
        </is>
      </c>
      <c r="AK61" s="6" t="inlineStr">
        <is>
          <t>SRC-06 E31</t>
        </is>
      </c>
      <c r="AL61" s="6" t="inlineStr">
        <is>
          <t>S11</t>
        </is>
      </c>
    </row>
    <row r="62" ht="115.5" customHeight="1">
      <c r="A62" s="5" t="inlineStr">
        <is>
          <t>C-E02/E32</t>
        </is>
      </c>
      <c r="B62" s="6" t="inlineStr">
        <is>
          <t>95 near-miss stored texts: abstracts read, ~12 read deeper</t>
        </is>
      </c>
      <c r="C62" s="6" t="inlineStr">
        <is>
          <t>DEFERRED</t>
        </is>
      </c>
      <c r="D62" s="6">
        <f>IFERROR(INDEX(Lists!$B$2:$B$14,MATCH(C62,Lists!$A$2:$A$14,0)),"?")</f>
        <v/>
      </c>
      <c r="E62" s="6">
        <f>IF(COUNTIFS(Links!$B$2:$B$600,A62,Links!$E$2:$E$600,"Yes")&gt;0,"REVISE","")</f>
        <v/>
      </c>
      <c r="F62" s="6">
        <f>COUNTIFS(Links!$B$2:$B$600,A62,Links!$D$2:$D$600,"No",Links!$C$2:$C$600,"&lt;&gt;INFORMS")</f>
        <v/>
      </c>
      <c r="G62" s="14" t="inlineStr">
        <is>
          <t>SOURCE-REREAD</t>
        </is>
      </c>
      <c r="H62" s="6" t="inlineStr">
        <is>
          <t>K14 Source &amp; vendor verification</t>
        </is>
      </c>
      <c r="I62" s="6" t="inlineStr">
        <is>
          <t>G4 Before claims</t>
        </is>
      </c>
      <c r="J62" s="6" t="inlineStr">
        <is>
          <t>Normal</t>
        </is>
      </c>
      <c r="K62" s="6" t="n">
        <v>106</v>
      </c>
      <c r="L62" s="6" t="inlineStr">
        <is>
          <t>W2 Desk work (no model runs)</t>
        </is>
      </c>
      <c r="M62" s="6" t="inlineStr">
        <is>
          <t>S11</t>
        </is>
      </c>
      <c r="N62" s="6" t="inlineStr">
        <is>
          <t>Lead + steward</t>
        </is>
      </c>
      <c r="O62" s="6" t="inlineStr">
        <is>
          <t>none until the trigger fires</t>
        </is>
      </c>
      <c r="P62" s="6" t="inlineStr">
        <is>
          <t>Partly</t>
        </is>
      </c>
      <c r="Q62" s="6" t="inlineStr">
        <is>
          <t>Source check</t>
        </is>
      </c>
      <c r="R62" s="6" t="inlineStr">
        <is>
          <t>Sub-item</t>
        </is>
      </c>
      <c r="S62" s="6" t="inlineStr">
        <is>
          <t>C-E02</t>
        </is>
      </c>
      <c r="T62" s="6" t="inlineStr">
        <is>
          <t>SRC-06 E32: 95 near-miss stored texts had abstracts read; only about 12 were read deeper.</t>
        </is>
      </c>
      <c r="U62"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62" s="6" t="inlineStr">
        <is>
          <t>Decisive ones prioritised; broad absence claims not made.</t>
        </is>
      </c>
      <c r="W62" s="6" t="inlineStr"/>
      <c r="X62" s="6" t="inlineStr"/>
      <c r="Y62" s="6" t="inlineStr"/>
      <c r="Z62" s="6" t="inlineStr"/>
      <c r="AA62" s="6" t="inlineStr"/>
      <c r="AB62" s="6" t="inlineStr">
        <is>
          <t>SOURCE+ACCESS</t>
        </is>
      </c>
      <c r="AC62" s="6" t="inlineStr">
        <is>
          <t>n/a (sub-item)</t>
        </is>
      </c>
      <c r="AD62" s="6" t="inlineStr">
        <is>
          <t>NEW (SRC-11 sub-row)</t>
        </is>
      </c>
      <c r="AE62" s="6" t="inlineStr">
        <is>
          <t>2026-10-20</t>
        </is>
      </c>
      <c r="AF62" s="6" t="inlineStr">
        <is>
          <t>grep of design/package-v3 and design/package-v4 01-05 (lead, 2026-10-20); see also this row's earlier basis</t>
        </is>
      </c>
      <c r="AG62" s="6" t="inlineStr">
        <is>
          <t>A broad absence claim is about to be made, or a decisive near-miss text is identified</t>
        </is>
      </c>
      <c r="AH62" s="6" t="inlineStr">
        <is>
          <t>No (AUTH-016 covers web fetches for this item)</t>
        </is>
      </c>
      <c r="AI62" s="6" t="inlineStr"/>
      <c r="AJ62" s="6" t="inlineStr">
        <is>
          <t>SRC-11 section D2</t>
        </is>
      </c>
      <c r="AK62" s="6" t="inlineStr">
        <is>
          <t>SRC-06 E32</t>
        </is>
      </c>
      <c r="AL62" s="6" t="inlineStr">
        <is>
          <t>S11</t>
        </is>
      </c>
    </row>
    <row r="63" ht="140.5" customHeight="1">
      <c r="A63" s="5" t="inlineStr">
        <is>
          <t>C-E02/E33</t>
        </is>
      </c>
      <c r="B63" s="6" t="inlineStr">
        <is>
          <t>Historical web fetches were model-generated extracts; 'verbatim' may be paraphrase</t>
        </is>
      </c>
      <c r="C63" s="6" t="inlineStr">
        <is>
          <t>DEFERRED</t>
        </is>
      </c>
      <c r="D63" s="6">
        <f>IFERROR(INDEX(Lists!$B$2:$B$14,MATCH(C63,Lists!$A$2:$A$14,0)),"?")</f>
        <v/>
      </c>
      <c r="E63" s="6">
        <f>IF(COUNTIFS(Links!$B$2:$B$600,A63,Links!$E$2:$E$600,"Yes")&gt;0,"REVISE","")</f>
        <v/>
      </c>
      <c r="F63" s="6">
        <f>COUNTIFS(Links!$B$2:$B$600,A63,Links!$D$2:$D$600,"No",Links!$C$2:$C$600,"&lt;&gt;INFORMS")</f>
        <v/>
      </c>
      <c r="G63" s="14" t="inlineStr">
        <is>
          <t>SOURCE-REREAD</t>
        </is>
      </c>
      <c r="H63" s="6" t="inlineStr">
        <is>
          <t>K14 Source &amp; vendor verification</t>
        </is>
      </c>
      <c r="I63" s="6" t="inlineStr">
        <is>
          <t>G4 Before claims</t>
        </is>
      </c>
      <c r="J63" s="6" t="inlineStr">
        <is>
          <t>Normal</t>
        </is>
      </c>
      <c r="K63" s="6" t="n">
        <v>107</v>
      </c>
      <c r="L63" s="6" t="inlineStr">
        <is>
          <t>W2 Desk work (no model runs)</t>
        </is>
      </c>
      <c r="M63" s="6" t="inlineStr">
        <is>
          <t>S11</t>
        </is>
      </c>
      <c r="N63" s="6" t="inlineStr">
        <is>
          <t>Lead + steward</t>
        </is>
      </c>
      <c r="O63" s="6" t="inlineStr">
        <is>
          <t>none until the trigger fires</t>
        </is>
      </c>
      <c r="P63" s="6" t="inlineStr">
        <is>
          <t>Partly</t>
        </is>
      </c>
      <c r="Q63" s="6" t="inlineStr">
        <is>
          <t>Source check</t>
        </is>
      </c>
      <c r="R63" s="6" t="inlineStr">
        <is>
          <t>Sub-item</t>
        </is>
      </c>
      <c r="S63" s="6" t="inlineStr">
        <is>
          <t>C-E02</t>
        </is>
      </c>
      <c r="T63" s="6" t="inlineStr">
        <is>
          <t>SRC-06 E33: historical web fetches were model-generated extracts, so 'verbatim' quotes may be paraphrase.</t>
        </is>
      </c>
      <c r="U63"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63" s="6" t="inlineStr">
        <is>
          <t>Raw original used before any direct quote.</t>
        </is>
      </c>
      <c r="W63" s="6" t="inlineStr"/>
      <c r="X63" s="6" t="inlineStr"/>
      <c r="Y63" s="6" t="inlineStr"/>
      <c r="Z63" s="6" t="inlineStr"/>
      <c r="AA63" s="6" t="inlineStr"/>
      <c r="AB63" s="6" t="inlineStr">
        <is>
          <t>SOURCE+ACCESS</t>
        </is>
      </c>
      <c r="AC63" s="6" t="inlineStr">
        <is>
          <t>n/a (sub-item)</t>
        </is>
      </c>
      <c r="AD63" s="6" t="inlineStr">
        <is>
          <t>NEW (SRC-11 sub-row)</t>
        </is>
      </c>
      <c r="AE63" s="6" t="inlineStr">
        <is>
          <t>2026-10-20</t>
        </is>
      </c>
      <c r="AF63" s="6" t="inlineStr">
        <is>
          <t>grep of design/package-v3 and design/package-v4 01-05 (lead, 2026-10-20); see also this row's earlier basis</t>
        </is>
      </c>
      <c r="AG63" s="6" t="inlineStr">
        <is>
          <t>Before any direct quote from a web page stored in the origin (r4-* pages): compare it with a fresh litfetch copy</t>
        </is>
      </c>
      <c r="AH63" s="6" t="inlineStr">
        <is>
          <t>No (AUTH-016 covers web fetches for this item)</t>
        </is>
      </c>
      <c r="AI63" s="6" t="inlineStr"/>
      <c r="AJ63" s="6" t="inlineStr">
        <is>
          <t>SRC-11 section D2</t>
        </is>
      </c>
      <c r="AK63" s="6" t="inlineStr">
        <is>
          <t>SRC-06 E33</t>
        </is>
      </c>
      <c r="AL63" s="6" t="inlineStr">
        <is>
          <t>S11</t>
        </is>
      </c>
    </row>
    <row r="64" ht="90.5" customHeight="1">
      <c r="A64" s="5" t="inlineStr">
        <is>
          <t>C-E02/E34</t>
        </is>
      </c>
      <c r="B64" s="6" t="inlineStr">
        <is>
          <t>Historical 'not found' claims used only 2-3 queries</t>
        </is>
      </c>
      <c r="C64" s="6" t="inlineStr">
        <is>
          <t>PARTLY ANSWERED</t>
        </is>
      </c>
      <c r="D64" s="6">
        <f>IFERROR(INDEX(Lists!$B$2:$B$14,MATCH(C64,Lists!$A$2:$A$14,0)),"?")</f>
        <v/>
      </c>
      <c r="E64" s="6">
        <f>IF(COUNTIFS(Links!$B$2:$B$600,A64,Links!$E$2:$E$600,"Yes")&gt;0,"REVISE","")</f>
        <v/>
      </c>
      <c r="F64" s="6">
        <f>COUNTIFS(Links!$B$2:$B$600,A64,Links!$D$2:$D$600,"No",Links!$C$2:$C$600,"&lt;&gt;INFORMS")</f>
        <v/>
      </c>
      <c r="G64" s="11" t="inlineStr">
        <is>
          <t>LITERATURE-DIRECTED</t>
        </is>
      </c>
      <c r="H64" s="6" t="inlineStr">
        <is>
          <t>K14 Source &amp; vendor verification</t>
        </is>
      </c>
      <c r="I64" s="6" t="inlineStr">
        <is>
          <t>G4 Before claims</t>
        </is>
      </c>
      <c r="J64" s="6" t="inlineStr">
        <is>
          <t>Normal</t>
        </is>
      </c>
      <c r="K64" s="6" t="n">
        <v>108</v>
      </c>
      <c r="L64" s="6" t="inlineStr">
        <is>
          <t>W2 Desk work (no model runs)</t>
        </is>
      </c>
      <c r="M64" s="6" t="inlineStr">
        <is>
          <t>S11</t>
        </is>
      </c>
      <c r="N64" s="6" t="inlineStr">
        <is>
          <t>Lead + steward</t>
        </is>
      </c>
      <c r="O64" s="6" t="inlineStr">
        <is>
          <t>Directed search (needs scope)</t>
        </is>
      </c>
      <c r="P64" s="6" t="inlineStr">
        <is>
          <t>Partly</t>
        </is>
      </c>
      <c r="Q64" s="6" t="inlineStr">
        <is>
          <t>Source check</t>
        </is>
      </c>
      <c r="R64" s="6" t="inlineStr">
        <is>
          <t>Sub-item</t>
        </is>
      </c>
      <c r="S64" s="6" t="inlineStr">
        <is>
          <t>C-E02</t>
        </is>
      </c>
      <c r="T64" s="6" t="inlineStr">
        <is>
          <t>SRC-06 E34: historical 'not found' claims used only 2-3 queries and missed stored sources.</t>
        </is>
      </c>
      <c r="U64"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64" s="6" t="inlineStr">
        <is>
          <t>Each absence claim carries a bounded search log.</t>
        </is>
      </c>
      <c r="W64" s="6" t="inlineStr"/>
      <c r="X64" s="6" t="inlineStr"/>
      <c r="Y64" s="6" t="inlineStr"/>
      <c r="Z64" s="6" t="inlineStr"/>
      <c r="AA64" s="6" t="inlineStr"/>
      <c r="AB64" s="6" t="inlineStr">
        <is>
          <t>SOURCE+ACCESS</t>
        </is>
      </c>
      <c r="AC64" s="6" t="inlineStr">
        <is>
          <t>n/a (sub-item)</t>
        </is>
      </c>
      <c r="AD64" s="6" t="inlineStr">
        <is>
          <t>NEW (SRC-11 sub-row)</t>
        </is>
      </c>
      <c r="AE64" s="6" t="inlineStr">
        <is>
          <t>2026-10-19</t>
        </is>
      </c>
      <c r="AF64" s="6" t="inlineStr">
        <is>
          <t>ops/threads/T-20261019-102/TASK.md</t>
        </is>
      </c>
      <c r="AG64" s="6" t="inlineStr"/>
      <c r="AH64" s="6" t="inlineStr">
        <is>
          <t>No (AUTH-016 covers web fetches for this item)</t>
        </is>
      </c>
      <c r="AI64" s="6" t="inlineStr"/>
      <c r="AJ64" s="6" t="inlineStr">
        <is>
          <t>SRC-11 section D2</t>
        </is>
      </c>
      <c r="AK64" s="6" t="inlineStr">
        <is>
          <t>SRC-06 E34</t>
        </is>
      </c>
      <c r="AL64" s="6" t="inlineStr">
        <is>
          <t>S11</t>
        </is>
      </c>
    </row>
    <row r="65" ht="300" customHeight="1">
      <c r="A65" s="5" t="inlineStr">
        <is>
          <t>C-E02/STEWARDUNREAD</t>
        </is>
      </c>
      <c r="B65" s="6" t="inlineStr">
        <is>
          <t>Steward did not read appendices of TheMCPCompany, LiveMCPBench, When2Call, SING, the cache study</t>
        </is>
      </c>
      <c r="C65" s="6" t="inlineStr">
        <is>
          <t>DEFERRED</t>
        </is>
      </c>
      <c r="D65" s="6">
        <f>IFERROR(INDEX(Lists!$B$2:$B$14,MATCH(C65,Lists!$A$2:$A$14,0)),"?")</f>
        <v/>
      </c>
      <c r="E65" s="6">
        <f>IF(COUNTIFS(Links!$B$2:$B$600,A65,Links!$E$2:$E$600,"Yes")&gt;0,"REVISE","")</f>
        <v/>
      </c>
      <c r="F65" s="6">
        <f>COUNTIFS(Links!$B$2:$B$600,A65,Links!$D$2:$D$600,"No",Links!$C$2:$C$600,"&lt;&gt;INFORMS")</f>
        <v/>
      </c>
      <c r="G65" s="14" t="inlineStr">
        <is>
          <t>SOURCE-REREAD</t>
        </is>
      </c>
      <c r="H65" s="6" t="inlineStr">
        <is>
          <t>K14 Source &amp; vendor verification</t>
        </is>
      </c>
      <c r="I65" s="6" t="inlineStr">
        <is>
          <t>G4 Before claims</t>
        </is>
      </c>
      <c r="J65" s="6" t="inlineStr">
        <is>
          <t>Normal</t>
        </is>
      </c>
      <c r="K65" s="6" t="n">
        <v>109</v>
      </c>
      <c r="L65" s="6" t="inlineStr">
        <is>
          <t>W2 Desk work (no model runs)</t>
        </is>
      </c>
      <c r="M65" s="6" t="inlineStr">
        <is>
          <t>S11</t>
        </is>
      </c>
      <c r="N65" s="6" t="inlineStr">
        <is>
          <t>Lead + fresh reviewer</t>
        </is>
      </c>
      <c r="O65" s="6" t="inlineStr">
        <is>
          <t>none until the trigger fires</t>
        </is>
      </c>
      <c r="P65" s="6" t="inlineStr">
        <is>
          <t>Yes - stored text, unread</t>
        </is>
      </c>
      <c r="Q65" s="6" t="inlineStr">
        <is>
          <t>Record fix</t>
        </is>
      </c>
      <c r="R65" s="6" t="inlineStr">
        <is>
          <t>Sub-item</t>
        </is>
      </c>
      <c r="S65" s="6" t="inlineStr">
        <is>
          <t>C-E02</t>
        </is>
      </c>
      <c r="T65" s="6" t="inlineStr">
        <is>
          <t>v4-05 section 5: TheMCPCompany trajectories and appendices, LiveMCPBench appendices other than cited, When2Call appendices, SING appendices (prompts) and the cache-study appendices were not read.</t>
        </is>
      </c>
      <c r="U65"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65" s="6" t="inlineStr">
        <is>
          <t>Read if a claim depends on them.</t>
        </is>
      </c>
      <c r="W65" s="6" t="inlineStr"/>
      <c r="X65" s="6" t="inlineStr"/>
      <c r="Y65" s="6" t="inlineStr"/>
      <c r="Z65" s="6" t="inlineStr"/>
      <c r="AA65" s="6" t="inlineStr"/>
      <c r="AB65" s="6" t="inlineStr">
        <is>
          <t>RECORD+SOURCE</t>
        </is>
      </c>
      <c r="AC65" s="6" t="inlineStr">
        <is>
          <t>n/a (sub-item)</t>
        </is>
      </c>
      <c r="AD65" s="6" t="inlineStr">
        <is>
          <t>NEW (repo sweep)</t>
        </is>
      </c>
      <c r="AE65" s="6" t="inlineStr">
        <is>
          <t>2026-10-20</t>
        </is>
      </c>
      <c r="AF65" s="6" t="inlineStr">
        <is>
          <t>grep of design/package-v3 and design/package-v4 01-05 (lead, 2026-10-20); see also this row's earlier basis</t>
        </is>
      </c>
      <c r="AG65" s="6" t="inlineStr">
        <is>
          <t>A claim depends on an unread trajectory or appendix</t>
        </is>
      </c>
      <c r="AH65" s="6" t="inlineStr">
        <is>
          <t>No (AUTH-016 covers web fetches for this item)</t>
        </is>
      </c>
      <c r="AI65" s="6" t="inlineStr"/>
      <c r="AJ65" s="6" t="inlineStr">
        <is>
          <t>repo: v4-03 section 6 / RV-0005 / RV-0007</t>
        </is>
      </c>
      <c r="AK65" s="6" t="inlineStr"/>
      <c r="AL65" s="6" t="inlineStr">
        <is>
          <t>S11</t>
        </is>
      </c>
    </row>
    <row r="66" ht="128" customHeight="1">
      <c r="A66" s="5" t="inlineStr">
        <is>
          <t>C-X09</t>
        </is>
      </c>
      <c r="B66" s="6" t="inlineStr">
        <is>
          <t>Re-read decisive papers/tables or ask authors (the check behind C-E01..E03 and C-S19).</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111</v>
      </c>
      <c r="L66" s="6" t="inlineStr">
        <is>
          <t>W2 Desk work (no model runs)</t>
        </is>
      </c>
      <c r="M66" s="6" t="inlineStr">
        <is>
          <t>S11</t>
        </is>
      </c>
      <c r="N66" s="6" t="inlineStr">
        <is>
          <t>Lead + steward</t>
        </is>
      </c>
      <c r="O66" s="6" t="inlineStr">
        <is>
          <t>You send the author asks; approve 06 row 3.29</t>
        </is>
      </c>
      <c r="P66" s="6" t="inlineStr">
        <is>
          <t>Yes - stored text, unread</t>
        </is>
      </c>
      <c r="Q66" s="6" t="inlineStr">
        <is>
          <t>Test</t>
        </is>
      </c>
      <c r="R66" s="6" t="inlineStr">
        <is>
          <t>Check</t>
        </is>
      </c>
      <c r="S66" s="6" t="inlineStr"/>
      <c r="T66" s="6" t="inlineStr">
        <is>
          <t>Re-read decisive papers/tables or ask authors (the check behind C-E01..E03 and C-S19).</t>
        </is>
      </c>
      <c r="U66"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66" s="6" t="inlineStr">
        <is>
          <t>Pivotal sources read and cited with version; authors asked where needed.</t>
        </is>
      </c>
      <c r="W66" s="6" t="inlineStr"/>
      <c r="X66" s="6" t="inlineStr">
        <is>
          <t>C-D01</t>
        </is>
      </c>
      <c r="Y66" s="6" t="inlineStr"/>
      <c r="Z66" s="6" t="inlineStr">
        <is>
          <t>AUTHOR-OR-VENDOR</t>
        </is>
      </c>
      <c r="AA66" s="6" t="inlineStr"/>
      <c r="AB66" s="6" t="inlineStr">
        <is>
          <t>SOURCE</t>
        </is>
      </c>
      <c r="AC66" s="6" t="inlineStr">
        <is>
          <t>PARTLY DONE - OPEN</t>
        </is>
      </c>
      <c r="AD66" s="6" t="inlineStr">
        <is>
          <t>NARROWED</t>
        </is>
      </c>
      <c r="AE66" s="6" t="inlineStr">
        <is>
          <t>2026-10-20</t>
        </is>
      </c>
      <c r="AF66" s="6" t="inlineStr">
        <is>
          <t>SUM-0005..0009</t>
        </is>
      </c>
      <c r="AG66" s="6" t="inlineStr"/>
      <c r="AH66" s="6" t="inlineStr">
        <is>
          <t>No (AUTH-016 covers web fetches for this item)</t>
        </is>
      </c>
      <c r="AI66" s="6" t="inlineStr"/>
      <c r="AJ66" s="6" t="inlineStr">
        <is>
          <t>SRC-11 canonical</t>
        </is>
      </c>
      <c r="AK66" s="6" t="inlineStr">
        <is>
          <t>SRC-06 X09</t>
        </is>
      </c>
      <c r="AL66" s="6" t="inlineStr">
        <is>
          <t>S11</t>
        </is>
      </c>
    </row>
    <row r="67" ht="65.5" customHeight="1">
      <c r="A67" s="5" t="inlineStr">
        <is>
          <t>C-S05</t>
        </is>
      </c>
      <c r="B67" s="6" t="inlineStr">
        <is>
          <t>Vendor tool-search gain (49% to 74%) has no public method or sample and is unreplicated.</t>
        </is>
      </c>
      <c r="C67" s="6" t="inlineStr">
        <is>
          <t>NOT LOCATED</t>
        </is>
      </c>
      <c r="D67" s="6">
        <f>IFERROR(INDEX(Lists!$B$2:$B$14,MATCH(C67,Lists!$A$2:$A$14,0)),"?")</f>
        <v/>
      </c>
      <c r="E67" s="6">
        <f>IF(COUNTIFS(Links!$B$2:$B$600,A67,Links!$E$2:$E$600,"Yes")&gt;0,"REVISE","")</f>
        <v/>
      </c>
      <c r="F67" s="6">
        <f>COUNTIFS(Links!$B$2:$B$600,A67,Links!$D$2:$D$600,"No",Links!$C$2:$C$600,"&lt;&gt;INFORMS")</f>
        <v/>
      </c>
      <c r="G67" s="16" t="inlineStr">
        <is>
          <t>AUTHOR-OR-VENDOR</t>
        </is>
      </c>
      <c r="H67" s="6" t="inlineStr">
        <is>
          <t>K14 Source &amp; vendor verification</t>
        </is>
      </c>
      <c r="I67" s="6" t="inlineStr">
        <is>
          <t>G4 Before claims</t>
        </is>
      </c>
      <c r="J67" s="6" t="inlineStr">
        <is>
          <t>Normal</t>
        </is>
      </c>
      <c r="K67" s="6" t="n">
        <v>113</v>
      </c>
      <c r="L67" s="6" t="inlineStr">
        <is>
          <t>W2 Desk work (no model runs)</t>
        </is>
      </c>
      <c r="M67" s="6" t="inlineStr">
        <is>
          <t>S12</t>
        </is>
      </c>
      <c r="N67" s="6" t="inlineStr">
        <is>
          <t>Vendor (or an independent benchmark)</t>
        </is>
      </c>
      <c r="O67" s="6" t="inlineStr">
        <is>
          <t>You send the drafted ask (design/ledger/notes/AUTHOR-ASKS-DRAFT-20261020.md, section 3) and record the reply; until then it waits on the authors</t>
        </is>
      </c>
      <c r="P67" s="6" t="inlineStr">
        <is>
          <t>No</t>
        </is>
      </c>
      <c r="Q67" s="6" t="inlineStr">
        <is>
          <t>Source check</t>
        </is>
      </c>
      <c r="R67" s="6" t="inlineStr">
        <is>
          <t>Item</t>
        </is>
      </c>
      <c r="S67" s="6" t="inlineStr"/>
      <c r="T67" s="6" t="inlineStr">
        <is>
          <t>Vendor tool-search gain (49% to 74%) has no public method or sample and is unreplicated.</t>
        </is>
      </c>
      <c r="U67" s="6" t="inlineStr">
        <is>
          <t>Three differently worded searches found no third-party measurement (not located is not 'does not exist').</t>
        </is>
      </c>
      <c r="V67" s="6" t="inlineStr">
        <is>
          <t>Method/data supplied, or recorded as 'not provided' and cited as a vendor claim.</t>
        </is>
      </c>
      <c r="W67" s="6" t="inlineStr"/>
      <c r="X67" s="6" t="inlineStr">
        <is>
          <t>C-S02</t>
        </is>
      </c>
      <c r="Y67" s="6" t="inlineStr"/>
      <c r="Z67" s="6" t="inlineStr">
        <is>
          <t>TEST-PILOT</t>
        </is>
      </c>
      <c r="AA67" s="6" t="inlineStr">
        <is>
          <t>K11 End-to-end comparison</t>
        </is>
      </c>
      <c r="AB67" s="6" t="inlineStr">
        <is>
          <t>SOURCE+DATA</t>
        </is>
      </c>
      <c r="AC67" s="6" t="inlineStr">
        <is>
          <t>OPEN</t>
        </is>
      </c>
      <c r="AD67" s="6" t="inlineStr">
        <is>
          <t>NOT LOCATED</t>
        </is>
      </c>
      <c r="AE67" s="6" t="inlineStr">
        <is>
          <t>2026-10-20</t>
        </is>
      </c>
      <c r="AF67" s="6" t="inlineStr">
        <is>
          <t>v4-05 section 1B and saturation note; EXT-0074</t>
        </is>
      </c>
      <c r="AG67" s="6" t="inlineStr"/>
      <c r="AH67" s="6" t="inlineStr">
        <is>
          <t>No for the ask</t>
        </is>
      </c>
      <c r="AI67" s="6" t="inlineStr"/>
      <c r="AJ67" s="6" t="inlineStr">
        <is>
          <t>SRC-11 canonical</t>
        </is>
      </c>
      <c r="AK67" s="6" t="inlineStr">
        <is>
          <t>SRC-06 S09</t>
        </is>
      </c>
      <c r="AL67" s="6" t="inlineStr">
        <is>
          <t>S12</t>
        </is>
      </c>
    </row>
    <row r="68" ht="103" customHeight="1">
      <c r="A68" s="5" t="inlineStr">
        <is>
          <t>C-S19</t>
        </is>
      </c>
      <c r="B68" s="6" t="inlineStr">
        <is>
          <t>MCPVerse v1/v2 discrepancies (score shift, copied v2 Table 4 cells, denominators, pool, reproduction, nativ...</t>
        </is>
      </c>
      <c r="C68" s="6" t="inlineStr">
        <is>
          <t>PARTLY ANSWERED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G5 Housekeeping / no block</t>
        </is>
      </c>
      <c r="J68" s="6" t="inlineStr">
        <is>
          <t>Low</t>
        </is>
      </c>
      <c r="K68" s="6" t="n">
        <v>114</v>
      </c>
      <c r="L68" s="6" t="inlineStr">
        <is>
          <t>W2 Desk work (no model runs)</t>
        </is>
      </c>
      <c r="M68" s="6" t="inlineStr">
        <is>
          <t>S12</t>
        </is>
      </c>
      <c r="N68" s="6" t="inlineStr">
        <is>
          <t>Authors; or defer</t>
        </is>
      </c>
      <c r="O68" s="6" t="inlineStr">
        <is>
          <t>Author asks (S40, S41, S43 judge identity)</t>
        </is>
      </c>
      <c r="P68" s="6" t="inlineStr">
        <is>
          <t>Yes - stored text, unread</t>
        </is>
      </c>
      <c r="Q68" s="6" t="inlineStr">
        <is>
          <t>Source check</t>
        </is>
      </c>
      <c r="R68" s="6" t="inlineStr">
        <is>
          <t>Item</t>
        </is>
      </c>
      <c r="S68" s="6" t="inlineStr"/>
      <c r="T68" s="6" t="inlineStr">
        <is>
          <t>MCPVerse v1/v2 discrepancies (score shift, copied v2 Table 4 cells, denominators, pool, reproduction, native vs prompt calling).</t>
        </is>
      </c>
      <c r="U68"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68" s="6" t="inlineStr">
        <is>
          <t>Author reply or 'author unavailable' recorded; defer unless it becomes a cited premise.</t>
        </is>
      </c>
      <c r="W68" s="6" t="inlineStr"/>
      <c r="X68" s="6" t="inlineStr"/>
      <c r="Y68" s="6" t="inlineStr"/>
      <c r="Z68" s="6" t="inlineStr">
        <is>
          <t>SOURCE-REREAD, ACCEPT-LIMITATION</t>
        </is>
      </c>
      <c r="AA68" s="6" t="inlineStr"/>
      <c r="AB68" s="6" t="inlineStr">
        <is>
          <t>SOURCE+AUTHOR+DATA</t>
        </is>
      </c>
      <c r="AC68" s="6" t="inlineStr">
        <is>
          <t>PARTLY ANSWERED - OPEN</t>
        </is>
      </c>
      <c r="AD68" s="6" t="inlineStr">
        <is>
          <t>UNCHANGED</t>
        </is>
      </c>
      <c r="AE68" s="6" t="inlineStr">
        <is>
          <t>2026-10-19</t>
        </is>
      </c>
      <c r="AF68" s="6" t="inlineStr">
        <is>
          <t>FND-0026 (findings/SUM-0028); EXT-0203, EXT-0204; evidence/literature-20261019/pages/INDEX.md (MCPVerse v2 pages 5, 7, 9)</t>
        </is>
      </c>
      <c r="AG68" s="6" t="inlineStr">
        <is>
          <t>If MCPVerse becomes a cited premise</t>
        </is>
      </c>
      <c r="AH68" s="6" t="inlineStr">
        <is>
          <t>No</t>
        </is>
      </c>
      <c r="AI68" s="6" t="inlineStr"/>
      <c r="AJ68" s="6" t="inlineStr">
        <is>
          <t>SRC-11 canonical</t>
        </is>
      </c>
      <c r="AK68" s="6" t="inlineStr">
        <is>
          <t>SRC-06 S40-S46, SRC-07 23, SRC-07 24</t>
        </is>
      </c>
      <c r="AL68" s="6" t="inlineStr">
        <is>
          <t>S12</t>
        </is>
      </c>
    </row>
    <row r="69" ht="278" customHeight="1">
      <c r="A69" s="5" t="inlineStr">
        <is>
          <t>C-S19/S40</t>
        </is>
      </c>
      <c r="B69" s="6" t="inlineStr">
        <is>
          <t>Cause of the v1/v2 Claude score shift (judge change insufficient)</t>
        </is>
      </c>
      <c r="C69" s="6" t="inlineStr">
        <is>
          <t>PARTLY ANSWERED</t>
        </is>
      </c>
      <c r="D69" s="6">
        <f>IFERROR(INDEX(Lists!$B$2:$B$14,MATCH(C69,Lists!$A$2:$A$14,0)),"?")</f>
        <v/>
      </c>
      <c r="E69" s="6">
        <f>IF(COUNTIFS(Links!$B$2:$B$600,A69,Links!$E$2:$E$600,"Yes")&gt;0,"REVISE","")</f>
        <v/>
      </c>
      <c r="F69" s="6">
        <f>COUNTIFS(Links!$B$2:$B$600,A69,Links!$D$2:$D$600,"No",Links!$C$2:$C$600,"&lt;&gt;INFORMS")</f>
        <v/>
      </c>
      <c r="G69" s="16" t="inlineStr">
        <is>
          <t>AUTHOR-OR-VENDOR</t>
        </is>
      </c>
      <c r="H69" s="6" t="inlineStr">
        <is>
          <t>K14 Source &amp; vendor verification</t>
        </is>
      </c>
      <c r="I69" s="6" t="inlineStr">
        <is>
          <t>G5 Housekeeping / no block</t>
        </is>
      </c>
      <c r="J69" s="6" t="inlineStr">
        <is>
          <t>Low</t>
        </is>
      </c>
      <c r="K69" s="6" t="n">
        <v>115</v>
      </c>
      <c r="L69" s="6" t="inlineStr">
        <is>
          <t>W2 Desk work (no model runs)</t>
        </is>
      </c>
      <c r="M69" s="6" t="inlineStr">
        <is>
          <t>S12</t>
        </is>
      </c>
      <c r="N69" s="6" t="inlineStr">
        <is>
          <t>Authors / team</t>
        </is>
      </c>
      <c r="O69" s="6" t="inlineStr">
        <is>
          <t>You send the drafted ask (design/ledger/notes/AUTHOR-ASKS-DRAFT-20261020.md, section 1) and record the reply; until then it waits on the authors</t>
        </is>
      </c>
      <c r="P69" s="6" t="inlineStr">
        <is>
          <t>Partly</t>
        </is>
      </c>
      <c r="Q69" s="6" t="inlineStr">
        <is>
          <t>Source check</t>
        </is>
      </c>
      <c r="R69" s="6" t="inlineStr">
        <is>
          <t>Sub-item</t>
        </is>
      </c>
      <c r="S69" s="6" t="inlineStr">
        <is>
          <t>C-S19</t>
        </is>
      </c>
      <c r="T69" s="6" t="inlineStr">
        <is>
          <t>SRC-06 S40 / SRC-07 23: a judge change does not explain the v1/v2 Claude shift; the actual cause (protocol, task/model mix, reruns) is open.</t>
        </is>
      </c>
      <c r="U69"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69" s="6" t="inlineStr">
        <is>
          <t>Authors / raw logs / reproduction.</t>
        </is>
      </c>
      <c r="W69" s="6" t="inlineStr"/>
      <c r="X69" s="6" t="inlineStr"/>
      <c r="Y69" s="6" t="inlineStr"/>
      <c r="Z69" s="6" t="inlineStr"/>
      <c r="AA69" s="6" t="inlineStr"/>
      <c r="AB69" s="6" t="inlineStr">
        <is>
          <t>SOURCE+AUTHOR</t>
        </is>
      </c>
      <c r="AC69" s="6" t="inlineStr">
        <is>
          <t>n/a (sub-item)</t>
        </is>
      </c>
      <c r="AD69" s="6" t="inlineStr">
        <is>
          <t>NEW (SRC-11 sub-row)</t>
        </is>
      </c>
      <c r="AE69" s="6" t="inlineStr">
        <is>
          <t>2026-10-20</t>
        </is>
      </c>
      <c r="AF69" s="6" t="inlineStr">
        <is>
          <t>FND-0026 (findings/SUM-0028); EXT-0203, EXT-0204; evidence/literature-20261019/pages/INDEX.md (MCPVerse v2 pages 5, 7, 9); EXT-0204</t>
        </is>
      </c>
      <c r="AG69" s="6" t="inlineStr"/>
      <c r="AH69" s="6" t="inlineStr">
        <is>
          <t>No</t>
        </is>
      </c>
      <c r="AI69" s="6" t="inlineStr"/>
      <c r="AJ69" s="6" t="inlineStr">
        <is>
          <t>SRC-11 section D3</t>
        </is>
      </c>
      <c r="AK69" s="6" t="inlineStr">
        <is>
          <t>SRC-06 S40</t>
        </is>
      </c>
      <c r="AL69" s="6" t="inlineStr">
        <is>
          <t>S12</t>
        </is>
      </c>
    </row>
    <row r="70" ht="140.5" customHeight="1">
      <c r="A70" s="5" t="inlineStr">
        <is>
          <t>C-S19/S41</t>
        </is>
      </c>
      <c r="B70" s="6" t="inlineStr">
        <is>
          <t>Copied cells in v2 Table 4 (Claude/Gemini)</t>
        </is>
      </c>
      <c r="C70" s="6" t="inlineStr">
        <is>
          <t>PARTLY ANSWERED</t>
        </is>
      </c>
      <c r="D70" s="6">
        <f>IFERROR(INDEX(Lists!$B$2:$B$14,MATCH(C70,Lists!$A$2:$A$14,0)),"?")</f>
        <v/>
      </c>
      <c r="E70" s="6">
        <f>IF(COUNTIFS(Links!$B$2:$B$600,A70,Links!$E$2:$E$600,"Yes")&gt;0,"REVISE","")</f>
        <v/>
      </c>
      <c r="F70" s="6">
        <f>COUNTIFS(Links!$B$2:$B$600,A70,Links!$D$2:$D$600,"No",Links!$C$2:$C$600,"&lt;&gt;INFORMS")</f>
        <v/>
      </c>
      <c r="G70" s="16" t="inlineStr">
        <is>
          <t>AUTHOR-OR-VENDOR</t>
        </is>
      </c>
      <c r="H70" s="6" t="inlineStr">
        <is>
          <t>K14 Source &amp; vendor verification</t>
        </is>
      </c>
      <c r="I70" s="6" t="inlineStr">
        <is>
          <t>G5 Housekeeping / no block</t>
        </is>
      </c>
      <c r="J70" s="6" t="inlineStr">
        <is>
          <t>Low</t>
        </is>
      </c>
      <c r="K70" s="6" t="n">
        <v>116</v>
      </c>
      <c r="L70" s="6" t="inlineStr">
        <is>
          <t>W2 Desk work (no model runs)</t>
        </is>
      </c>
      <c r="M70" s="6" t="inlineStr">
        <is>
          <t>S12</t>
        </is>
      </c>
      <c r="N70" s="6" t="inlineStr">
        <is>
          <t>Authors / team</t>
        </is>
      </c>
      <c r="O70" s="6" t="inlineStr">
        <is>
          <t>You send the drafted ask (design/ledger/notes/AUTHOR-ASKS-DRAFT-20261020.md, section 1) and record the reply; until then it waits on the authors</t>
        </is>
      </c>
      <c r="P70" s="6" t="inlineStr">
        <is>
          <t>Partly</t>
        </is>
      </c>
      <c r="Q70" s="6" t="inlineStr">
        <is>
          <t>Source check</t>
        </is>
      </c>
      <c r="R70" s="6" t="inlineStr">
        <is>
          <t>Sub-item</t>
        </is>
      </c>
      <c r="S70" s="6" t="inlineStr">
        <is>
          <t>C-S19</t>
        </is>
      </c>
      <c r="T70" s="6" t="inlineStr">
        <is>
          <t>SRC-06 S41 / SRC-07 24: apparent copied cells identified; the correct v2 Table 4 Claude/Gemini cells are unknown.</t>
        </is>
      </c>
      <c r="U70"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70" s="6" t="inlineStr">
        <is>
          <t>Authors / raw logs / reproduction.</t>
        </is>
      </c>
      <c r="W70" s="6" t="inlineStr"/>
      <c r="X70" s="6" t="inlineStr"/>
      <c r="Y70" s="6" t="inlineStr"/>
      <c r="Z70" s="6" t="inlineStr"/>
      <c r="AA70" s="6" t="inlineStr"/>
      <c r="AB70" s="6" t="inlineStr">
        <is>
          <t>SOURCE+AUTHOR</t>
        </is>
      </c>
      <c r="AC70" s="6" t="inlineStr">
        <is>
          <t>n/a (sub-item)</t>
        </is>
      </c>
      <c r="AD70" s="6" t="inlineStr">
        <is>
          <t>NEW (SRC-11 sub-row)</t>
        </is>
      </c>
      <c r="AE70" s="6" t="inlineStr">
        <is>
          <t>2026-10-20</t>
        </is>
      </c>
      <c r="AF70" s="6" t="inlineStr">
        <is>
          <t>FND-0026 (findings/SUM-0028); EXT-0203, EXT-0204; evidence/literature-20261019/pages/INDEX.md (MCPVerse v2 pages 5, 7, 9)</t>
        </is>
      </c>
      <c r="AG70" s="6" t="inlineStr"/>
      <c r="AH70" s="6" t="inlineStr">
        <is>
          <t>No</t>
        </is>
      </c>
      <c r="AI70" s="6" t="inlineStr"/>
      <c r="AJ70" s="6" t="inlineStr">
        <is>
          <t>SRC-11 section D3</t>
        </is>
      </c>
      <c r="AK70" s="6" t="inlineStr">
        <is>
          <t>SRC-06 S41</t>
        </is>
      </c>
      <c r="AL70" s="6" t="inlineStr">
        <is>
          <t>S12</t>
        </is>
      </c>
    </row>
    <row r="71" ht="300" customHeight="1">
      <c r="A71" s="5" t="inlineStr">
        <is>
          <t>C-S19/S42</t>
        </is>
      </c>
      <c r="B71" s="6" t="inlineStr">
        <is>
          <t>Printed per-level counts and 250-vs-311 mismatch</t>
        </is>
      </c>
      <c r="C71" s="6" t="inlineStr">
        <is>
          <t>PARTLY ANSWERED</t>
        </is>
      </c>
      <c r="D71" s="6">
        <f>IFERROR(INDEX(Lists!$B$2:$B$14,MATCH(C71,Lists!$A$2:$A$14,0)),"?")</f>
        <v/>
      </c>
      <c r="E71" s="6">
        <f>IF(COUNTIFS(Links!$B$2:$B$600,A71,Links!$E$2:$E$600,"Yes")&gt;0,"REVISE","")</f>
        <v/>
      </c>
      <c r="F71" s="6">
        <f>COUNTIFS(Links!$B$2:$B$600,A71,Links!$D$2:$D$600,"No",Links!$C$2:$C$600,"&lt;&gt;INFORMS")</f>
        <v/>
      </c>
      <c r="G71" s="14" t="inlineStr">
        <is>
          <t>SOURCE-REREAD</t>
        </is>
      </c>
      <c r="H71" s="6" t="inlineStr">
        <is>
          <t>K14 Source &amp; vendor verification</t>
        </is>
      </c>
      <c r="I71" s="6" t="inlineStr">
        <is>
          <t>G5 Housekeeping / no block</t>
        </is>
      </c>
      <c r="J71" s="6" t="inlineStr">
        <is>
          <t>Low</t>
        </is>
      </c>
      <c r="K71" s="6" t="n">
        <v>117</v>
      </c>
      <c r="L71" s="6" t="inlineStr">
        <is>
          <t>W2 Desk work (no model runs)</t>
        </is>
      </c>
      <c r="M71" s="6" t="inlineStr">
        <is>
          <t>S12</t>
        </is>
      </c>
      <c r="N71" s="6" t="inlineStr">
        <is>
          <t>Authors / team</t>
        </is>
      </c>
      <c r="O71" s="6" t="inlineStr">
        <is>
          <t>You send the drafted ask (design/ledger/notes/AUTHOR-ASKS-DRAFT-20261020.md, section 1) and record the reply; until then it waits on the authors</t>
        </is>
      </c>
      <c r="P71" s="6" t="inlineStr">
        <is>
          <t>Partly</t>
        </is>
      </c>
      <c r="Q71" s="6" t="inlineStr">
        <is>
          <t>Source check</t>
        </is>
      </c>
      <c r="R71" s="6" t="inlineStr">
        <is>
          <t>Sub-item</t>
        </is>
      </c>
      <c r="S71" s="6" t="inlineStr">
        <is>
          <t>C-S19</t>
        </is>
      </c>
      <c r="T71" s="6" t="inlineStr">
        <is>
          <t>SRC-06 S42: printed per-level counts and a 250-vs-311 mismatch; denominators unknown.</t>
        </is>
      </c>
      <c r="U71"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71" s="6" t="inlineStr">
        <is>
          <t>Authors / raw logs / reproduction.</t>
        </is>
      </c>
      <c r="W71" s="6" t="inlineStr"/>
      <c r="X71" s="6" t="inlineStr"/>
      <c r="Y71" s="6" t="inlineStr">
        <is>
          <t>Q-U22</t>
        </is>
      </c>
      <c r="Z71" s="6" t="inlineStr"/>
      <c r="AA71" s="6" t="inlineStr"/>
      <c r="AB71" s="6" t="inlineStr">
        <is>
          <t>SOURCE+AUTHOR</t>
        </is>
      </c>
      <c r="AC71" s="6" t="inlineStr">
        <is>
          <t>n/a (sub-item)</t>
        </is>
      </c>
      <c r="AD71" s="6" t="inlineStr">
        <is>
          <t>NEW (SRC-11 sub-row)</t>
        </is>
      </c>
      <c r="AE71" s="6" t="inlineStr">
        <is>
          <t>2026-10-20</t>
        </is>
      </c>
      <c r="AF71" s="6" t="inlineStr">
        <is>
          <t>FND-0026 (findings/SUM-0028); EXT-0203, EXT-0204; evidence/literature-20261019/pages/INDEX.md (MCPVerse v2 pages 5, 7, 9)</t>
        </is>
      </c>
      <c r="AG71" s="6" t="inlineStr"/>
      <c r="AH71" s="6" t="inlineStr">
        <is>
          <t>No</t>
        </is>
      </c>
      <c r="AI71" s="6" t="inlineStr"/>
      <c r="AJ71" s="6" t="inlineStr">
        <is>
          <t>SRC-11 section D3</t>
        </is>
      </c>
      <c r="AK71" s="6" t="inlineStr">
        <is>
          <t>SRC-06 S42</t>
        </is>
      </c>
      <c r="AL71" s="6" t="inlineStr">
        <is>
          <t>S12</t>
        </is>
      </c>
    </row>
    <row r="72" ht="300" customHeight="1">
      <c r="A72" s="5" t="inlineStr">
        <is>
          <t>C-S19/S43</t>
        </is>
      </c>
      <c r="B72" s="6" t="inlineStr">
        <is>
          <t>Retrieve pool (32/65) and retrieve-mode judge behaviour</t>
        </is>
      </c>
      <c r="C72" s="6" t="inlineStr">
        <is>
          <t>PARTLY ANSWERED</t>
        </is>
      </c>
      <c r="D72" s="6">
        <f>IFERROR(INDEX(Lists!$B$2:$B$14,MATCH(C72,Lists!$A$2:$A$14,0)),"?")</f>
        <v/>
      </c>
      <c r="E72" s="6">
        <f>IF(COUNTIFS(Links!$B$2:$B$600,A72,Links!$E$2:$E$600,"Yes")&gt;0,"REVISE","")</f>
        <v/>
      </c>
      <c r="F72" s="6">
        <f>COUNTIFS(Links!$B$2:$B$600,A72,Links!$D$2:$D$600,"No",Links!$C$2:$C$600,"&lt;&gt;INFORMS")</f>
        <v/>
      </c>
      <c r="G72" s="14" t="inlineStr">
        <is>
          <t>SOURCE-REREAD</t>
        </is>
      </c>
      <c r="H72" s="6" t="inlineStr">
        <is>
          <t>K14 Source &amp; vendor verification</t>
        </is>
      </c>
      <c r="I72" s="6" t="inlineStr">
        <is>
          <t>G5 Housekeeping / no block</t>
        </is>
      </c>
      <c r="J72" s="6" t="inlineStr">
        <is>
          <t>Low</t>
        </is>
      </c>
      <c r="K72" s="6" t="n">
        <v>118</v>
      </c>
      <c r="L72" s="6" t="inlineStr">
        <is>
          <t>W2 Desk work (no model runs)</t>
        </is>
      </c>
      <c r="M72" s="6" t="inlineStr">
        <is>
          <t>S12</t>
        </is>
      </c>
      <c r="N72" s="6" t="inlineStr">
        <is>
          <t>Authors / team</t>
        </is>
      </c>
      <c r="O72" s="6" t="inlineStr">
        <is>
          <t>You send the drafted ask (design/ledger/notes/AUTHOR-ASKS-DRAFT-20261020.md, section 1) and record the reply; until then it waits on the authors</t>
        </is>
      </c>
      <c r="P72" s="6" t="inlineStr">
        <is>
          <t>Yes - stored text, unread</t>
        </is>
      </c>
      <c r="Q72" s="6" t="inlineStr">
        <is>
          <t>Source check</t>
        </is>
      </c>
      <c r="R72" s="6" t="inlineStr">
        <is>
          <t>Sub-item</t>
        </is>
      </c>
      <c r="S72" s="6" t="inlineStr">
        <is>
          <t>C-S19</t>
        </is>
      </c>
      <c r="T72" s="6" t="inlineStr">
        <is>
          <t>SRC-06 S43: the retrieve pool (32/65) and retrieve-mode judge behaviour are unknown.</t>
        </is>
      </c>
      <c r="U72"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72" s="6" t="inlineStr">
        <is>
          <t>Authors / raw logs / reproduction.</t>
        </is>
      </c>
      <c r="W72" s="6" t="inlineStr"/>
      <c r="X72" s="6" t="inlineStr"/>
      <c r="Y72" s="6" t="inlineStr"/>
      <c r="Z72" s="6" t="inlineStr"/>
      <c r="AA72" s="6" t="inlineStr"/>
      <c r="AB72" s="6" t="inlineStr">
        <is>
          <t>SOURCE+AUTHOR</t>
        </is>
      </c>
      <c r="AC72" s="6" t="inlineStr">
        <is>
          <t>n/a (sub-item)</t>
        </is>
      </c>
      <c r="AD72" s="6" t="inlineStr">
        <is>
          <t>NEW (SRC-11 sub-row)</t>
        </is>
      </c>
      <c r="AE72" s="6" t="inlineStr">
        <is>
          <t>2026-10-20</t>
        </is>
      </c>
      <c r="AF72" s="6" t="inlineStr">
        <is>
          <t>FND-0026 (findings/SUM-0028); EXT-0203, EXT-0204; evidence/literature-20261019/pages/INDEX.md (MCPVerse v2 pages 5, 7, 9)</t>
        </is>
      </c>
      <c r="AG72" s="6" t="inlineStr"/>
      <c r="AH72" s="6" t="inlineStr">
        <is>
          <t>No</t>
        </is>
      </c>
      <c r="AI72" s="6" t="inlineStr"/>
      <c r="AJ72" s="6" t="inlineStr">
        <is>
          <t>SRC-11 section D3</t>
        </is>
      </c>
      <c r="AK72" s="6" t="inlineStr">
        <is>
          <t>SRC-06 S43</t>
        </is>
      </c>
      <c r="AL72" s="6" t="inlineStr">
        <is>
          <t>S12</t>
        </is>
      </c>
    </row>
    <row r="73" ht="78" customHeight="1">
      <c r="A73" s="5" t="inlineStr">
        <is>
          <t>C-S19/S44</t>
        </is>
      </c>
      <c r="B73" s="6" t="inlineStr">
        <is>
          <t>Does the released repo reproduce the paper numbers?</t>
        </is>
      </c>
      <c r="C73" s="6" t="inlineStr">
        <is>
          <t>DEFERRED</t>
        </is>
      </c>
      <c r="D73" s="6">
        <f>IFERROR(INDEX(Lists!$B$2:$B$14,MATCH(C73,Lists!$A$2:$A$14,0)),"?")</f>
        <v/>
      </c>
      <c r="E73" s="6">
        <f>IF(COUNTIFS(Links!$B$2:$B$600,A73,Links!$E$2:$E$600,"Yes")&gt;0,"REVISE","")</f>
        <v/>
      </c>
      <c r="F73" s="6">
        <f>COUNTIFS(Links!$B$2:$B$600,A73,Links!$D$2:$D$600,"No",Links!$C$2:$C$600,"&lt;&gt;INFORMS")</f>
        <v/>
      </c>
      <c r="G73" s="17" t="inlineStr">
        <is>
          <t>TEST-PILOT</t>
        </is>
      </c>
      <c r="H73" s="6" t="inlineStr">
        <is>
          <t>K14 Source &amp; vendor verification</t>
        </is>
      </c>
      <c r="I73" s="6" t="inlineStr">
        <is>
          <t>G5 Housekeeping / no block</t>
        </is>
      </c>
      <c r="J73" s="6" t="inlineStr">
        <is>
          <t>Low</t>
        </is>
      </c>
      <c r="K73" s="6" t="n">
        <v>119</v>
      </c>
      <c r="L73" s="6" t="inlineStr">
        <is>
          <t>W2 Desk work (no model runs)</t>
        </is>
      </c>
      <c r="M73" s="6" t="inlineStr">
        <is>
          <t>S12</t>
        </is>
      </c>
      <c r="N73" s="6" t="inlineStr">
        <is>
          <t>Authors / team</t>
        </is>
      </c>
      <c r="O73" s="6" t="inlineStr">
        <is>
          <t>none until the trigger fires</t>
        </is>
      </c>
      <c r="P73" s="6" t="inlineStr">
        <is>
          <t>No</t>
        </is>
      </c>
      <c r="Q73" s="6" t="inlineStr">
        <is>
          <t>Source check</t>
        </is>
      </c>
      <c r="R73" s="6" t="inlineStr">
        <is>
          <t>Sub-item</t>
        </is>
      </c>
      <c r="S73" s="6" t="inlineStr">
        <is>
          <t>C-S19</t>
        </is>
      </c>
      <c r="T73" s="6" t="inlineStr">
        <is>
          <t>SRC-06 S44: whether the released repository reproduces the paper's numbers is unknown (no reproduction in reviewed material).</t>
        </is>
      </c>
      <c r="U73" s="6" t="inlineStr">
        <is>
          <t>No reproduction anywhere in the repo. 2026-10-21 (AUTH-019): reproducing the MCPVerse authors' numbers is not needed for the policy: the paper's numbers are cited as the authors' claims only and nothing is built on them (FND-0037 (findings/SUM-0039)).</t>
        </is>
      </c>
      <c r="V73" s="6" t="inlineStr">
        <is>
          <t>Authors / raw logs / reproduction.</t>
        </is>
      </c>
      <c r="W73" s="6" t="inlineStr"/>
      <c r="X73" s="6" t="inlineStr"/>
      <c r="Y73" s="6" t="inlineStr"/>
      <c r="Z73" s="6" t="inlineStr"/>
      <c r="AA73" s="6" t="inlineStr"/>
      <c r="AB73" s="6" t="inlineStr">
        <is>
          <t>DATA</t>
        </is>
      </c>
      <c r="AC73" s="6" t="inlineStr">
        <is>
          <t>n/a (sub-item)</t>
        </is>
      </c>
      <c r="AD73" s="6" t="inlineStr">
        <is>
          <t>NEW (SRC-11 sub-row)</t>
        </is>
      </c>
      <c r="AE73" s="6" t="inlineStr">
        <is>
          <t>2026-10-21</t>
        </is>
      </c>
      <c r="AF73" s="6" t="inlineStr">
        <is>
          <t>FND-0037 (findings/SUM-0039)</t>
        </is>
      </c>
      <c r="AG73" s="6" t="inlineStr">
        <is>
          <t>A design choice is about to rest on MCPVerse numbers</t>
        </is>
      </c>
      <c r="AH73" s="6" t="inlineStr">
        <is>
          <t>No</t>
        </is>
      </c>
      <c r="AI73" s="6" t="inlineStr"/>
      <c r="AJ73" s="6" t="inlineStr">
        <is>
          <t>SRC-11 section D3</t>
        </is>
      </c>
      <c r="AK73" s="6" t="inlineStr">
        <is>
          <t>SRC-06 S44</t>
        </is>
      </c>
      <c r="AL73" s="6" t="inlineStr">
        <is>
          <t>S12</t>
        </is>
      </c>
    </row>
    <row r="74" ht="28" customHeight="1">
      <c r="A74" s="5" t="inlineStr">
        <is>
          <t>C-S19/S46</t>
        </is>
      </c>
      <c r="B74" s="6" t="inlineStr">
        <is>
          <t>Native vs prompt calling: frozen report's 'workaround' wording</t>
        </is>
      </c>
      <c r="C74" s="6" t="inlineStr">
        <is>
          <t>OPEN</t>
        </is>
      </c>
      <c r="D74" s="6">
        <f>IFERROR(INDEX(Lists!$B$2:$B$14,MATCH(C74,Lists!$A$2:$A$14,0)),"?")</f>
        <v/>
      </c>
      <c r="E74" s="6">
        <f>IF(COUNTIFS(Links!$B$2:$B$600,A74,Links!$E$2:$E$600,"Yes")&gt;0,"REVISE","")</f>
        <v/>
      </c>
      <c r="F74" s="6">
        <f>COUNTIFS(Links!$B$2:$B$600,A74,Links!$D$2:$D$600,"No",Links!$C$2:$C$600,"&lt;&gt;INFORMS")</f>
        <v/>
      </c>
      <c r="G74" s="8" t="inlineStr">
        <is>
          <t>RECORDS-AT-HAND</t>
        </is>
      </c>
      <c r="H74" s="6" t="inlineStr">
        <is>
          <t>K14 Source &amp; vendor verification</t>
        </is>
      </c>
      <c r="I74" s="6" t="inlineStr">
        <is>
          <t>G5 Housekeeping / no block</t>
        </is>
      </c>
      <c r="J74" s="6" t="inlineStr">
        <is>
          <t>Low</t>
        </is>
      </c>
      <c r="K74" s="6" t="n">
        <v>121</v>
      </c>
      <c r="L74" s="6" t="inlineStr">
        <is>
          <t>W2 Desk work (no model runs)</t>
        </is>
      </c>
      <c r="M74" s="6" t="inlineStr">
        <is>
          <t>S12</t>
        </is>
      </c>
      <c r="N74" s="6" t="inlineStr">
        <is>
          <t>Authors / team</t>
        </is>
      </c>
      <c r="O74" s="6" t="inlineStr">
        <is>
          <t>Lead drafts the fix; you approve</t>
        </is>
      </c>
      <c r="P74" s="6" t="inlineStr">
        <is>
          <t>No</t>
        </is>
      </c>
      <c r="Q74" s="6" t="inlineStr">
        <is>
          <t>Source check</t>
        </is>
      </c>
      <c r="R74" s="6" t="inlineStr">
        <is>
          <t>Sub-item</t>
        </is>
      </c>
      <c r="S74" s="6" t="inlineStr">
        <is>
          <t>C-S19</t>
        </is>
      </c>
      <c r="T74" s="6" t="inlineStr">
        <is>
          <t>SRC-06 S46: native versus prompt calling is a different treatment; the frozen report's 'workaround' wording needs correcting.</t>
        </is>
      </c>
      <c r="U74" s="6" t="inlineStr">
        <is>
          <t>Outside the repo.</t>
        </is>
      </c>
      <c r="V74" s="6" t="inlineStr">
        <is>
          <t>Authors / raw logs / reproduction.</t>
        </is>
      </c>
      <c r="W74" s="6" t="inlineStr"/>
      <c r="X74" s="6" t="inlineStr"/>
      <c r="Y74" s="6" t="inlineStr"/>
      <c r="Z74" s="6" t="inlineStr"/>
      <c r="AA74" s="6" t="inlineStr"/>
      <c r="AB74" s="6" t="inlineStr">
        <is>
          <t>RECORD</t>
        </is>
      </c>
      <c r="AC74" s="6" t="inlineStr">
        <is>
          <t>n/a (sub-item)</t>
        </is>
      </c>
      <c r="AD74" s="6" t="inlineStr">
        <is>
          <t>NEW (SRC-11 sub-row)</t>
        </is>
      </c>
      <c r="AE74" s="6" t="inlineStr">
        <is>
          <t>2026-10-19</t>
        </is>
      </c>
      <c r="AF74" s="6" t="inlineStr">
        <is>
          <t>Phase 1 report outside repo</t>
        </is>
      </c>
      <c r="AG74" s="6" t="inlineStr"/>
      <c r="AH74" s="6" t="inlineStr">
        <is>
          <t>No</t>
        </is>
      </c>
      <c r="AI74" s="6" t="inlineStr"/>
      <c r="AJ74" s="6" t="inlineStr">
        <is>
          <t>SRC-11 section D3</t>
        </is>
      </c>
      <c r="AK74" s="6" t="inlineStr">
        <is>
          <t>SRC-06 S46</t>
        </is>
      </c>
      <c r="AL74" s="6" t="inlineStr">
        <is>
          <t>S12</t>
        </is>
      </c>
    </row>
    <row r="75" ht="300" customHeight="1">
      <c r="A75" s="5" t="inlineStr">
        <is>
          <t>AS-09</t>
        </is>
      </c>
      <c r="B75" s="6" t="inlineStr">
        <is>
          <t>Supervisor assertion A9: The partial-information idea comes from another party's documentation</t>
        </is>
      </c>
      <c r="C75" s="6" t="inlineStr">
        <is>
          <t>PARTLY ANSWERED</t>
        </is>
      </c>
      <c r="D75" s="6">
        <f>IFERROR(INDEX(Lists!$B$2:$B$14,MATCH(C75,Lists!$A$2:$A$14,0)),"?")</f>
        <v/>
      </c>
      <c r="E75" s="6">
        <f>IF(COUNTIFS(Links!$B$2:$B$600,A75,Links!$E$2:$E$600,"Yes")&gt;0,"REVISE","")</f>
        <v/>
      </c>
      <c r="F75" s="6">
        <f>COUNTIFS(Links!$B$2:$B$600,A75,Links!$D$2:$D$600,"No",Links!$C$2:$C$600,"&lt;&gt;INFORMS")</f>
        <v/>
      </c>
      <c r="G75" s="11" t="inlineStr">
        <is>
          <t>LITERATURE-DIRECTED</t>
        </is>
      </c>
      <c r="H75" s="6" t="inlineStr">
        <is>
          <t>K14 Source &amp; vendor verification</t>
        </is>
      </c>
      <c r="I75" s="6" t="inlineStr">
        <is>
          <t>G5 Housekeeping / no block</t>
        </is>
      </c>
      <c r="J75" s="6" t="inlineStr">
        <is>
          <t>Low</t>
        </is>
      </c>
      <c r="K75" s="6" t="n">
        <v>126</v>
      </c>
      <c r="L75" s="6" t="inlineStr">
        <is>
          <t>W2 Desk work (no model runs)</t>
        </is>
      </c>
      <c r="M75" s="6" t="inlineStr">
        <is>
          <t>S13</t>
        </is>
      </c>
      <c r="N75" s="6" t="inlineStr">
        <is>
          <t>Lead / team</t>
        </is>
      </c>
      <c r="O75" s="6" t="inlineStr">
        <is>
          <t>Q-J28 stays for the name; Executor's documentation is the first candidate</t>
        </is>
      </c>
      <c r="P75" s="6" t="inlineStr">
        <is>
          <t>No</t>
        </is>
      </c>
      <c r="Q75" s="6" t="inlineStr">
        <is>
          <t>Claim to test</t>
        </is>
      </c>
      <c r="R75" s="6" t="inlineStr">
        <is>
          <t>Item</t>
        </is>
      </c>
      <c r="S75" s="6" t="inlineStr"/>
      <c r="T75" s="6" t="inlineStr">
        <is>
          <t>REQ-A1 A9: The partial-information idea comes from another party's documentation. Source unnamed; prior art to locate.</t>
        </is>
      </c>
      <c r="U75"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t>
        </is>
      </c>
      <c r="V75" s="6" t="inlineStr">
        <is>
          <t>Source unnamed; prior art to locate.</t>
        </is>
      </c>
      <c r="W75" s="6" t="inlineStr"/>
      <c r="X75" s="6" t="inlineStr"/>
      <c r="Y75" s="6" t="inlineStr">
        <is>
          <t>Q-J28</t>
        </is>
      </c>
      <c r="Z75" s="6" t="inlineStr"/>
      <c r="AA75" s="6" t="inlineStr"/>
      <c r="AB75" s="6" t="inlineStr">
        <is>
          <t>SOURCE</t>
        </is>
      </c>
      <c r="AC75" s="6" t="inlineStr">
        <is>
          <t>n/a (REGISTER E)</t>
        </is>
      </c>
      <c r="AD75" s="6" t="inlineStr">
        <is>
          <t>NEW (repo sweep)</t>
        </is>
      </c>
      <c r="AE75" s="6" t="inlineStr">
        <is>
          <t>2026-10-21</t>
        </is>
      </c>
      <c r="AF75" s="6" t="inlineStr">
        <is>
          <t>INT-T-004 (requirements/intake/2026-10-21-supervisor-meeting-2026-10-02-excerpts.md); mapping design/ledger/notes/MEETINGS-MAPPING-20261021.md checked line by line by FND-0035 and FND-0036; REGISTER section H</t>
        </is>
      </c>
      <c r="AG75" s="6" t="inlineStr"/>
      <c r="AH75" s="6" t="inlineStr">
        <is>
          <t>No</t>
        </is>
      </c>
      <c r="AI75" s="6" t="inlineStr"/>
      <c r="AJ75" s="6" t="inlineStr">
        <is>
          <t>repo: REGISTER section E / EXT-0004</t>
        </is>
      </c>
      <c r="AK75" s="6" t="inlineStr">
        <is>
          <t>REQ-A1 A9</t>
        </is>
      </c>
      <c r="AL75" s="6" t="inlineStr">
        <is>
          <t>S11</t>
        </is>
      </c>
    </row>
    <row r="76" ht="300" customHeight="1">
      <c r="A76" s="5" t="inlineStr">
        <is>
          <t>C-E02/UNREADLEADS</t>
        </is>
      </c>
      <c r="B76" s="6" t="inlineStr">
        <is>
          <t>Reference lists (KAIST, cache study), agent-memory survey 2602.06052 not read</t>
        </is>
      </c>
      <c r="C76" s="6" t="inlineStr">
        <is>
          <t>DEFERRED</t>
        </is>
      </c>
      <c r="D76" s="6">
        <f>IFERROR(INDEX(Lists!$B$2:$B$14,MATCH(C76,Lists!$A$2:$A$14,0)),"?")</f>
        <v/>
      </c>
      <c r="E76" s="6">
        <f>IF(COUNTIFS(Links!$B$2:$B$600,A76,Links!$E$2:$E$600,"Yes")&gt;0,"REVISE","")</f>
        <v/>
      </c>
      <c r="F76" s="6">
        <f>COUNTIFS(Links!$B$2:$B$600,A76,Links!$D$2:$D$600,"No",Links!$C$2:$C$600,"&lt;&gt;INFORMS")</f>
        <v/>
      </c>
      <c r="G76" s="11" t="inlineStr">
        <is>
          <t>LITERATURE-DIRECTED</t>
        </is>
      </c>
      <c r="H76" s="6" t="inlineStr">
        <is>
          <t>K14 Source &amp; vendor verification</t>
        </is>
      </c>
      <c r="I76" s="6" t="inlineStr">
        <is>
          <t>G4 Before claims</t>
        </is>
      </c>
      <c r="J76" s="6" t="inlineStr">
        <is>
          <t>Normal</t>
        </is>
      </c>
      <c r="K76" s="6" t="n">
        <v>127</v>
      </c>
      <c r="L76" s="6" t="inlineStr">
        <is>
          <t>W2 Desk work (no model runs)</t>
        </is>
      </c>
      <c r="M76" s="6" t="inlineStr">
        <is>
          <t>S13</t>
        </is>
      </c>
      <c r="N76" s="6" t="inlineStr">
        <is>
          <t>Lead + fresh reviewer</t>
        </is>
      </c>
      <c r="O76" s="6" t="inlineStr">
        <is>
          <t>none until the trigger fires</t>
        </is>
      </c>
      <c r="P76" s="6" t="inlineStr">
        <is>
          <t>Partly</t>
        </is>
      </c>
      <c r="Q76" s="6" t="inlineStr">
        <is>
          <t>Record fix</t>
        </is>
      </c>
      <c r="R76" s="6" t="inlineStr">
        <is>
          <t>Sub-item</t>
        </is>
      </c>
      <c r="S76" s="6" t="inlineStr">
        <is>
          <t>C-E02</t>
        </is>
      </c>
      <c r="T76" s="6" t="inlineStr">
        <is>
          <t>v4-05 section 5 'not done': reference lists of KAIST and the cache study and the agent-memory survey (arXiv 2602.06052) were not read.</t>
        </is>
      </c>
      <c r="U76"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76" s="6" t="inlineStr">
        <is>
          <t>Read or marked out of scope.</t>
        </is>
      </c>
      <c r="W76" s="6" t="inlineStr"/>
      <c r="X76" s="6" t="inlineStr"/>
      <c r="Y76" s="6" t="inlineStr">
        <is>
          <t>Q-U21</t>
        </is>
      </c>
      <c r="Z76" s="6" t="inlineStr"/>
      <c r="AA76" s="6" t="inlineStr"/>
      <c r="AB76" s="6" t="inlineStr">
        <is>
          <t>RECORD+SOURCE</t>
        </is>
      </c>
      <c r="AC76" s="6" t="inlineStr">
        <is>
          <t>n/a (sub-item)</t>
        </is>
      </c>
      <c r="AD76" s="6" t="inlineStr">
        <is>
          <t>NEW (repo sweep)</t>
        </is>
      </c>
      <c r="AE76" s="6" t="inlineStr">
        <is>
          <t>2026-10-20</t>
        </is>
      </c>
      <c r="AF76" s="6" t="inlineStr">
        <is>
          <t>FND-0032 (findings/SUM-0034); evidence/literature-20261019/pdf-memory-survey-2602.06052.txt</t>
        </is>
      </c>
      <c r="AG76" s="6" t="inlineStr">
        <is>
          <t>A claim depends on a paper cited in the KAIST or cache-study reference lists, or on a survey section not read (lines 560-1015, 1777-2340, 2500-3005, 3065-3370)</t>
        </is>
      </c>
      <c r="AH76" s="6" t="inlineStr">
        <is>
          <t>No (AUTH-016 covers web fetches for this item)</t>
        </is>
      </c>
      <c r="AI76" s="6" t="inlineStr"/>
      <c r="AJ76" s="6" t="inlineStr">
        <is>
          <t>repo: v4-03 section 6 / RV-0005 / RV-0007</t>
        </is>
      </c>
      <c r="AK76" s="6" t="inlineStr"/>
      <c r="AL76" s="6" t="inlineStr">
        <is>
          <t>S13</t>
        </is>
      </c>
    </row>
    <row r="77" ht="300" customHeight="1">
      <c r="A77" s="5" t="inlineStr">
        <is>
          <t>N-19</t>
        </is>
      </c>
      <c r="B77" s="6" t="inlineStr">
        <is>
          <t>Stale counts and safeguard text in records</t>
        </is>
      </c>
      <c r="C77" s="6" t="inlineStr">
        <is>
          <t>PARTLY ANSWERED</t>
        </is>
      </c>
      <c r="D77" s="6">
        <f>IFERROR(INDEX(Lists!$B$2:$B$14,MATCH(C77,Lists!$A$2:$A$14,0)),"?")</f>
        <v/>
      </c>
      <c r="E77" s="6">
        <f>IF(COUNTIFS(Links!$B$2:$B$600,A77,Links!$E$2:$E$600,"Yes")&gt;0,"REVISE","")</f>
        <v/>
      </c>
      <c r="F77" s="6">
        <f>COUNTIFS(Links!$B$2:$B$600,A77,Links!$D$2:$D$600,"No",Links!$C$2:$C$600,"&lt;&gt;INFORMS")</f>
        <v/>
      </c>
      <c r="G77" s="8" t="inlineStr">
        <is>
          <t>RECORDS-AT-HAND</t>
        </is>
      </c>
      <c r="H77" s="6" t="inlineStr">
        <is>
          <t>K17 Record repair &amp; procedure error</t>
        </is>
      </c>
      <c r="I77" s="6" t="inlineStr">
        <is>
          <t>G5 Housekeeping / no block</t>
        </is>
      </c>
      <c r="J77" s="6" t="inlineStr">
        <is>
          <t>Low</t>
        </is>
      </c>
      <c r="K77" s="6" t="n">
        <v>130</v>
      </c>
      <c r="L77" s="6" t="inlineStr">
        <is>
          <t>W2 Desk work (no model runs)</t>
        </is>
      </c>
      <c r="M77" s="6" t="inlineStr">
        <is>
          <t>S15</t>
        </is>
      </c>
      <c r="N77" s="6" t="inlineStr">
        <is>
          <t>Lead (STATE, v4-05); you (pinned files)</t>
        </is>
      </c>
      <c r="O77" s="6" t="inlineStr">
        <is>
          <t>You decide whether the proposed wording for CLAUDE.md and SAFEGUARDS rows 5 and 17 may be applied</t>
        </is>
      </c>
      <c r="P77" s="6" t="inlineStr">
        <is>
          <t>Answered (see basis)</t>
        </is>
      </c>
      <c r="Q77" s="6" t="inlineStr">
        <is>
          <t>Record fix</t>
        </is>
      </c>
      <c r="R77" s="6" t="inlineStr">
        <is>
          <t>Item</t>
        </is>
      </c>
      <c r="S77" s="6" t="inlineStr"/>
      <c r="T77" s="6" t="inlineStr">
        <is>
          <t>STATE says AUTH-013 had 23 searches / 32 sources; v4-05 section 5 says 18 / 28 while its header says 27 / 37 (manifest has 37 rows); SAFEGUARDS rows 5 and 17 and CLAUDE.md predate AUTH-012/014/015.</t>
        </is>
      </c>
      <c r="U77"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77" s="6" t="inlineStr">
        <is>
          <t>Counts and safeguard text updated.</t>
        </is>
      </c>
      <c r="W77" s="6" t="inlineStr"/>
      <c r="X77" s="6" t="inlineStr"/>
      <c r="Y77" s="6" t="inlineStr">
        <is>
          <t>Q-U11</t>
        </is>
      </c>
      <c r="Z77" s="6" t="inlineStr"/>
      <c r="AA77" s="6" t="inlineStr"/>
      <c r="AB77" s="6" t="inlineStr">
        <is>
          <t>RECORD</t>
        </is>
      </c>
      <c r="AC77" s="6" t="inlineStr">
        <is>
          <t>n/a (new)</t>
        </is>
      </c>
      <c r="AD77" s="6" t="inlineStr">
        <is>
          <t>NEW (repo sweep)</t>
        </is>
      </c>
      <c r="AE77" s="6" t="inlineStr">
        <is>
          <t>2026-10-20</t>
        </is>
      </c>
      <c r="AF77" s="6" t="inlineStr">
        <is>
          <t>reviews/RV-0015.md; evidence/literature-20261019/README.md</t>
        </is>
      </c>
      <c r="AG77" s="6" t="inlineStr"/>
      <c r="AH77" s="6" t="inlineStr">
        <is>
          <t>No</t>
        </is>
      </c>
      <c r="AI77" s="6" t="inlineStr"/>
      <c r="AJ77" s="6" t="inlineStr">
        <is>
          <t>review 19 Oct section 6.6</t>
        </is>
      </c>
      <c r="AK77" s="6" t="inlineStr"/>
      <c r="AL77" s="6" t="inlineStr">
        <is>
          <t>S03</t>
        </is>
      </c>
    </row>
    <row r="78" ht="165.5" customHeight="1">
      <c r="A78" s="5" t="inlineStr">
        <is>
          <t>C-R01/C03</t>
        </is>
      </c>
      <c r="B78" s="6" t="inlineStr">
        <is>
          <t>R6 timing, query source, recovery assumptions</t>
        </is>
      </c>
      <c r="C78" s="6" t="inlineStr">
        <is>
          <t>PARTLY ANSWERED</t>
        </is>
      </c>
      <c r="D78" s="6">
        <f>IFERROR(INDEX(Lists!$B$2:$B$14,MATCH(C78,Lists!$A$2:$A$14,0)),"?")</f>
        <v/>
      </c>
      <c r="E78" s="6">
        <f>IF(COUNTIFS(Links!$B$2:$B$600,A78,Links!$E$2:$E$600,"Yes")&gt;0,"REVISE","")</f>
        <v/>
      </c>
      <c r="F78" s="6">
        <f>COUNTIFS(Links!$B$2:$B$600,A78,Links!$D$2:$D$600,"No",Links!$C$2:$C$600,"&lt;&gt;INFORMS")</f>
        <v/>
      </c>
      <c r="G78" s="8" t="inlineStr">
        <is>
          <t>RECORDS-AT-HAND</t>
        </is>
      </c>
      <c r="H78" s="6" t="inlineStr">
        <is>
          <t>K17 Record repair &amp; procedure error</t>
        </is>
      </c>
      <c r="I78" s="6" t="inlineStr">
        <is>
          <t>G3 Before confirmatory study</t>
        </is>
      </c>
      <c r="J78" s="6" t="inlineStr">
        <is>
          <t>Normal</t>
        </is>
      </c>
      <c r="K78" s="6" t="n">
        <v>133</v>
      </c>
      <c r="L78" s="6" t="inlineStr">
        <is>
          <t>W2 Desk work (no model runs)</t>
        </is>
      </c>
      <c r="M78" s="6" t="inlineStr">
        <is>
          <t>S15</t>
        </is>
      </c>
      <c r="N78" s="6" t="inlineStr">
        <is>
          <t>Lead + fresh reviewer</t>
        </is>
      </c>
      <c r="O78" s="6" t="inlineStr">
        <is>
          <t>You approve RA14 and choose among the R1TRIG options</t>
        </is>
      </c>
      <c r="P78" s="6" t="inlineStr">
        <is>
          <t>Partly</t>
        </is>
      </c>
      <c r="Q78" s="6" t="inlineStr">
        <is>
          <t>Scientific unknown</t>
        </is>
      </c>
      <c r="R78" s="6" t="inlineStr">
        <is>
          <t>Sub-item</t>
        </is>
      </c>
      <c r="S78" s="6" t="inlineStr">
        <is>
          <t>C-R01</t>
        </is>
      </c>
      <c r="T78" s="6" t="inlineStr">
        <is>
          <t>SRC-06 C03: R6 (trigger) timing, scripted-query provenance, recovery assumptions.</t>
        </is>
      </c>
      <c r="U78"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78" s="6" t="inlineStr">
        <is>
          <t>Independent re-check and a dated fix.</t>
        </is>
      </c>
      <c r="W78" s="6" t="inlineStr"/>
      <c r="X78" s="6" t="inlineStr"/>
      <c r="Y78" s="6" t="inlineStr"/>
      <c r="Z78" s="6" t="inlineStr"/>
      <c r="AA78" s="6" t="inlineStr"/>
      <c r="AB78" s="6" t="inlineStr">
        <is>
          <t>RECORD+DATA</t>
        </is>
      </c>
      <c r="AC78" s="6" t="inlineStr">
        <is>
          <t>n/a (sub-item)</t>
        </is>
      </c>
      <c r="AD78" s="6" t="inlineStr">
        <is>
          <t>NEW (SRC-11 sub-row)</t>
        </is>
      </c>
      <c r="AE78" s="6" t="inlineStr">
        <is>
          <t>2026-10-20</t>
        </is>
      </c>
      <c r="AF78" s="6" t="inlineStr">
        <is>
          <t>reviews/RV-0008.md (fresh reviewer, same model family, read the current text); design/package-v4/06-corrections-proposed.md</t>
        </is>
      </c>
      <c r="AG78" s="6" t="inlineStr"/>
      <c r="AH78" s="6" t="inlineStr">
        <is>
          <t>No</t>
        </is>
      </c>
      <c r="AI78" s="6" t="inlineStr"/>
      <c r="AJ78" s="6" t="inlineStr">
        <is>
          <t>SRC-11 section D4</t>
        </is>
      </c>
      <c r="AK78" s="6" t="inlineStr">
        <is>
          <t>SRC-06 C03, CH-0041</t>
        </is>
      </c>
      <c r="AL78" s="6" t="inlineStr">
        <is>
          <t>S09</t>
        </is>
      </c>
    </row>
    <row r="79" ht="103" customHeight="1">
      <c r="A79" s="5" t="inlineStr">
        <is>
          <t>C-R01/C04</t>
        </is>
      </c>
      <c r="B79" s="6" t="inlineStr">
        <is>
          <t>Outcome-split accounting, provider usage, task shedding</t>
        </is>
      </c>
      <c r="C79" s="6" t="inlineStr">
        <is>
          <t>PARTLY ANSWERED</t>
        </is>
      </c>
      <c r="D79" s="6">
        <f>IFERROR(INDEX(Lists!$B$2:$B$14,MATCH(C79,Lists!$A$2:$A$14,0)),"?")</f>
        <v/>
      </c>
      <c r="E79" s="6">
        <f>IF(COUNTIFS(Links!$B$2:$B$600,A79,Links!$E$2:$E$600,"Yes")&gt;0,"REVISE","")</f>
        <v/>
      </c>
      <c r="F79" s="6">
        <f>COUNTIFS(Links!$B$2:$B$600,A79,Links!$D$2:$D$600,"No",Links!$C$2:$C$600,"&lt;&gt;INFORMS")</f>
        <v/>
      </c>
      <c r="G79" s="17" t="inlineStr">
        <is>
          <t>TEST-PILOT</t>
        </is>
      </c>
      <c r="H79" s="6" t="inlineStr">
        <is>
          <t>K17 Record repair &amp; procedure error</t>
        </is>
      </c>
      <c r="I79" s="6" t="inlineStr">
        <is>
          <t>G3 Before confirmatory study</t>
        </is>
      </c>
      <c r="J79" s="6" t="inlineStr">
        <is>
          <t>Normal</t>
        </is>
      </c>
      <c r="K79" s="6" t="n">
        <v>134</v>
      </c>
      <c r="L79" s="6" t="inlineStr">
        <is>
          <t>W2 Desk work (no model runs)</t>
        </is>
      </c>
      <c r="M79" s="6" t="inlineStr">
        <is>
          <t>S15</t>
        </is>
      </c>
      <c r="N79" s="6" t="inlineStr">
        <is>
          <t>Lead + fresh reviewer</t>
        </is>
      </c>
      <c r="O79" s="6" t="inlineStr">
        <is>
          <t>Test only the remainder, in the proof-of-concept loop</t>
        </is>
      </c>
      <c r="P79" s="6" t="inlineStr">
        <is>
          <t>Partly</t>
        </is>
      </c>
      <c r="Q79" s="6" t="inlineStr">
        <is>
          <t>Scientific unknown</t>
        </is>
      </c>
      <c r="R79" s="6" t="inlineStr">
        <is>
          <t>Sub-item</t>
        </is>
      </c>
      <c r="S79" s="6" t="inlineStr">
        <is>
          <t>C-R01</t>
        </is>
      </c>
      <c r="T79" s="6" t="inlineStr">
        <is>
          <t>SRC-06 C04: outcome-split accounting, whether provider usage counts deferred definitions, and expensive-task shedding.</t>
        </is>
      </c>
      <c r="U79" s="6" t="inlineStr">
        <is>
          <t>Stratum guard added; tokens-by-outcome split belongs to E1.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79" s="6" t="inlineStr">
        <is>
          <t>Independent re-check and a dated fix.</t>
        </is>
      </c>
      <c r="W79" s="6" t="inlineStr"/>
      <c r="X79" s="6" t="inlineStr"/>
      <c r="Y79" s="6" t="inlineStr"/>
      <c r="Z79" s="6" t="inlineStr"/>
      <c r="AA79" s="6" t="inlineStr"/>
      <c r="AB79" s="6" t="inlineStr">
        <is>
          <t>RECORD+DATA</t>
        </is>
      </c>
      <c r="AC79" s="6" t="inlineStr">
        <is>
          <t>n/a (sub-item)</t>
        </is>
      </c>
      <c r="AD79" s="6" t="inlineStr">
        <is>
          <t>NEW (SRC-11 sub-row)</t>
        </is>
      </c>
      <c r="AE79" s="6" t="inlineStr">
        <is>
          <t>2026-10-21</t>
        </is>
      </c>
      <c r="AF79" s="6" t="inlineStr">
        <is>
          <t>FND-0037 (findings/SUM-0039)</t>
        </is>
      </c>
      <c r="AG79" s="6" t="inlineStr"/>
      <c r="AH79" s="6" t="inlineStr">
        <is>
          <t>No</t>
        </is>
      </c>
      <c r="AI79" s="6" t="inlineStr"/>
      <c r="AJ79" s="6" t="inlineStr">
        <is>
          <t>SRC-11 section D4</t>
        </is>
      </c>
      <c r="AK79" s="6" t="inlineStr">
        <is>
          <t>SRC-06 C04, CH-0042</t>
        </is>
      </c>
      <c r="AL79" s="6" t="inlineStr">
        <is>
          <t>S09</t>
        </is>
      </c>
    </row>
    <row r="80" ht="103" customHeight="1">
      <c r="A80" s="5" t="inlineStr">
        <is>
          <t>C-R01/C06</t>
        </is>
      </c>
      <c r="B80" s="6" t="inlineStr">
        <is>
          <t>No-miss searches; conditional I_disc / tau</t>
        </is>
      </c>
      <c r="C80" s="6" t="inlineStr">
        <is>
          <t>PARTLY ANSWERED</t>
        </is>
      </c>
      <c r="D80" s="6">
        <f>IFERROR(INDEX(Lists!$B$2:$B$14,MATCH(C80,Lists!$A$2:$A$14,0)),"?")</f>
        <v/>
      </c>
      <c r="E80" s="6">
        <f>IF(COUNTIFS(Links!$B$2:$B$600,A80,Links!$E$2:$E$600,"Yes")&gt;0,"REVISE","")</f>
        <v/>
      </c>
      <c r="F80" s="6">
        <f>COUNTIFS(Links!$B$2:$B$600,A80,Links!$D$2:$D$600,"No",Links!$C$2:$C$600,"&lt;&gt;INFORMS")</f>
        <v/>
      </c>
      <c r="G80" s="8" t="inlineStr">
        <is>
          <t>RECORDS-AT-HAND</t>
        </is>
      </c>
      <c r="H80" s="6" t="inlineStr">
        <is>
          <t>K17 Record repair &amp; procedure error</t>
        </is>
      </c>
      <c r="I80" s="6" t="inlineStr">
        <is>
          <t>G3 Before confirmatory study</t>
        </is>
      </c>
      <c r="J80" s="6" t="inlineStr">
        <is>
          <t>Normal</t>
        </is>
      </c>
      <c r="K80" s="6" t="n">
        <v>136</v>
      </c>
      <c r="L80" s="6" t="inlineStr">
        <is>
          <t>W2 Desk work (no model runs)</t>
        </is>
      </c>
      <c r="M80" s="6" t="inlineStr">
        <is>
          <t>S15</t>
        </is>
      </c>
      <c r="N80" s="6" t="inlineStr">
        <is>
          <t>Lead + fresh reviewer</t>
        </is>
      </c>
      <c r="O80" s="6" t="inlineStr">
        <is>
          <t>Specify with C-S08/EVENTS once the pilot design is chosen</t>
        </is>
      </c>
      <c r="P80" s="6" t="inlineStr">
        <is>
          <t>Partly</t>
        </is>
      </c>
      <c r="Q80" s="6" t="inlineStr">
        <is>
          <t>Scientific unknown</t>
        </is>
      </c>
      <c r="R80" s="6" t="inlineStr">
        <is>
          <t>Sub-item</t>
        </is>
      </c>
      <c r="S80" s="6" t="inlineStr">
        <is>
          <t>C-R01</t>
        </is>
      </c>
      <c r="T80" s="6" t="inlineStr">
        <is>
          <t>SRC-06 C06: searches in trajectories that need no deferred tool; I_disc and tau must be conditional on the needed tool.</t>
        </is>
      </c>
      <c r="U80"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80" s="6" t="inlineStr">
        <is>
          <t>Independent re-check and a dated fix.</t>
        </is>
      </c>
      <c r="W80" s="6" t="inlineStr"/>
      <c r="X80" s="6" t="inlineStr"/>
      <c r="Y80" s="6" t="inlineStr"/>
      <c r="Z80" s="6" t="inlineStr"/>
      <c r="AA80" s="6" t="inlineStr"/>
      <c r="AB80" s="6" t="inlineStr">
        <is>
          <t>RECORD+DATA</t>
        </is>
      </c>
      <c r="AC80" s="6" t="inlineStr">
        <is>
          <t>n/a (sub-item)</t>
        </is>
      </c>
      <c r="AD80" s="6" t="inlineStr">
        <is>
          <t>NEW (SRC-11 sub-row)</t>
        </is>
      </c>
      <c r="AE80" s="6" t="inlineStr">
        <is>
          <t>2026-10-20</t>
        </is>
      </c>
      <c r="AF80" s="6" t="inlineStr">
        <is>
          <t>v4 05 line 83; row C-S08/EVENTS</t>
        </is>
      </c>
      <c r="AG80" s="6" t="inlineStr"/>
      <c r="AH80" s="6" t="inlineStr">
        <is>
          <t>No</t>
        </is>
      </c>
      <c r="AI80" s="6" t="inlineStr"/>
      <c r="AJ80" s="6" t="inlineStr">
        <is>
          <t>SRC-11 section D4</t>
        </is>
      </c>
      <c r="AK80" s="6" t="inlineStr">
        <is>
          <t>SRC-06 C06</t>
        </is>
      </c>
      <c r="AL80" s="6" t="inlineStr">
        <is>
          <t>S09</t>
        </is>
      </c>
    </row>
    <row r="81" ht="40.5" customHeight="1">
      <c r="A81" s="5" t="inlineStr">
        <is>
          <t>C-R01</t>
        </is>
      </c>
      <c r="B81" s="6" t="inlineStr">
        <is>
          <t>v3 challenge residuals: D4 arm/multiplicity, substitute reference, trigger timing, outcome-split accounting...</t>
        </is>
      </c>
      <c r="C81" s="6" t="inlineStr">
        <is>
          <t>PARTLY ANSWERED</t>
        </is>
      </c>
      <c r="D81" s="6">
        <f>IFERROR(INDEX(Lists!$B$2:$B$14,MATCH(C81,Lists!$A$2:$A$14,0)),"?")</f>
        <v/>
      </c>
      <c r="E81" s="6">
        <f>IF(COUNTIFS(Links!$B$2:$B$600,A81,Links!$E$2:$E$600,"Yes")&gt;0,"REVISE","")</f>
        <v/>
      </c>
      <c r="F81" s="6">
        <f>COUNTIFS(Links!$B$2:$B$600,A81,Links!$D$2:$D$600,"No",Links!$C$2:$C$600,"&lt;&gt;INFORMS")</f>
        <v/>
      </c>
      <c r="G81" s="8" t="inlineStr">
        <is>
          <t>RECORDS-AT-HAND</t>
        </is>
      </c>
      <c r="H81" s="6" t="inlineStr">
        <is>
          <t>K17 Record repair &amp; procedure error</t>
        </is>
      </c>
      <c r="I81" s="6" t="inlineStr">
        <is>
          <t>G3 Before confirmatory study</t>
        </is>
      </c>
      <c r="J81" s="6" t="inlineStr">
        <is>
          <t>Normal</t>
        </is>
      </c>
      <c r="K81" s="6" t="n">
        <v>137</v>
      </c>
      <c r="L81" s="6" t="inlineStr">
        <is>
          <t>W2 Desk work (no model runs)</t>
        </is>
      </c>
      <c r="M81" s="6" t="inlineStr">
        <is>
          <t>S15</t>
        </is>
      </c>
      <c r="N81" s="6" t="inlineStr">
        <is>
          <t>Lead + fresh reviewer</t>
        </is>
      </c>
      <c r="O81" s="6" t="inlineStr">
        <is>
          <t>Lead drafts the fix; you approve</t>
        </is>
      </c>
      <c r="P81" s="6" t="inlineStr">
        <is>
          <t>Partly</t>
        </is>
      </c>
      <c r="Q81" s="6" t="inlineStr">
        <is>
          <t>Record fix</t>
        </is>
      </c>
      <c r="R81" s="6" t="inlineStr">
        <is>
          <t>Item</t>
        </is>
      </c>
      <c r="S81" s="6" t="inlineStr"/>
      <c r="T81" s="6" t="inlineStr">
        <is>
          <t>v3 challenge residuals: D4 arm/multiplicity, substitute reference, trigger timing, outcome-split accounting, fair baseline, no-miss searches.</t>
        </is>
      </c>
      <c r="U81" s="6" t="inlineStr">
        <is>
          <t>v4 corrected the text; 11 of 13 v4 challenges closed; the last edits were not re-verified by the challenger; figures never rendered.</t>
        </is>
      </c>
      <c r="V81" s="6" t="inlineStr">
        <is>
          <t>Last edits re-checked independently; figures rendered; data residuals tied to their tests.</t>
        </is>
      </c>
      <c r="W81" s="6" t="inlineStr">
        <is>
          <t>C-D08</t>
        </is>
      </c>
      <c r="X81" s="6" t="inlineStr">
        <is>
          <t>C-S14</t>
        </is>
      </c>
      <c r="Y81" s="6" t="inlineStr"/>
      <c r="Z81" s="6" t="inlineStr">
        <is>
          <t>DESK-ANALYSIS, TEST-PILOT</t>
        </is>
      </c>
      <c r="AA81" s="6" t="inlineStr">
        <is>
          <t>K5 Evaluation contract</t>
        </is>
      </c>
      <c r="AB81" s="6" t="inlineStr">
        <is>
          <t>DATA+DEC+RECORD</t>
        </is>
      </c>
      <c r="AC81" s="6" t="inlineStr">
        <is>
          <t>PARTLY ANSWERED - OPEN</t>
        </is>
      </c>
      <c r="AD81" s="6" t="inlineStr">
        <is>
          <t>RE-CHARACTERISED</t>
        </is>
      </c>
      <c r="AE81" s="6" t="inlineStr">
        <is>
          <t>2026-10-19</t>
        </is>
      </c>
      <c r="AF81" s="6" t="inlineStr">
        <is>
          <t>v4-03 sections 5-6; CH-0045..0057; RV-0005</t>
        </is>
      </c>
      <c r="AG81" s="6" t="inlineStr"/>
      <c r="AH81" s="6" t="inlineStr">
        <is>
          <t>No</t>
        </is>
      </c>
      <c r="AI81" s="6" t="inlineStr"/>
      <c r="AJ81" s="6" t="inlineStr">
        <is>
          <t>SRC-11 canonical</t>
        </is>
      </c>
      <c r="AK81" s="6" t="inlineStr">
        <is>
          <t>SRC-06 C01-C06, v4-03 residuals</t>
        </is>
      </c>
      <c r="AL81" s="6" t="inlineStr">
        <is>
          <t>S09</t>
        </is>
      </c>
    </row>
    <row r="82" ht="278" customHeight="1">
      <c r="A82" s="5" t="inlineStr">
        <is>
          <t>C-R01/FIG2</t>
        </is>
      </c>
      <c r="B82" s="6" t="inlineStr">
        <is>
          <t>Figure 2 has no path to the outcome for a Regime B run with no declared margin</t>
        </is>
      </c>
      <c r="C82" s="6" t="inlineStr">
        <is>
          <t>PARTLY ANSWERED</t>
        </is>
      </c>
      <c r="D82" s="6">
        <f>IFERROR(INDEX(Lists!$B$2:$B$14,MATCH(C82,Lists!$A$2:$A$14,0)),"?")</f>
        <v/>
      </c>
      <c r="E82" s="6">
        <f>IF(COUNTIFS(Links!$B$2:$B$600,A82,Links!$E$2:$E$600,"Yes")&gt;0,"REVISE","")</f>
        <v/>
      </c>
      <c r="F82" s="6">
        <f>COUNTIFS(Links!$B$2:$B$600,A82,Links!$D$2:$D$600,"No",Links!$C$2:$C$600,"&lt;&gt;INFORMS")</f>
        <v/>
      </c>
      <c r="G82" s="8" t="inlineStr">
        <is>
          <t>RECORDS-AT-HAND</t>
        </is>
      </c>
      <c r="H82" s="6" t="inlineStr">
        <is>
          <t>K17 Record repair &amp; procedure error</t>
        </is>
      </c>
      <c r="I82" s="6" t="inlineStr">
        <is>
          <t>G1 Before any implementation</t>
        </is>
      </c>
      <c r="J82" s="6" t="inlineStr">
        <is>
          <t>High</t>
        </is>
      </c>
      <c r="K82" s="6" t="n">
        <v>138</v>
      </c>
      <c r="L82" s="6" t="inlineStr">
        <is>
          <t>W2 Desk work (no model runs)</t>
        </is>
      </c>
      <c r="M82" s="6" t="inlineStr">
        <is>
          <t>S15</t>
        </is>
      </c>
      <c r="N82" s="6" t="inlineStr">
        <is>
          <t>Lead drafts, you approve</t>
        </is>
      </c>
      <c r="O82" s="6" t="inlineStr">
        <is>
          <t>You render the block in VS Code and approve or correct it; your approval (in your words) closes this row</t>
        </is>
      </c>
      <c r="P82" s="6" t="inlineStr">
        <is>
          <t>Answered (see basis)</t>
        </is>
      </c>
      <c r="Q82" s="6" t="inlineStr">
        <is>
          <t>Record fix</t>
        </is>
      </c>
      <c r="R82" s="6" t="inlineStr">
        <is>
          <t>Sub-item</t>
        </is>
      </c>
      <c r="S82" s="6" t="inlineStr">
        <is>
          <t>C-R01/V4RES</t>
        </is>
      </c>
      <c r="T82"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82"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82" s="6" t="inlineStr">
        <is>
          <t>Figure 2 (and the brief's copy, if any) has a path to O for every regime and outcome, re-read by a reviewer.</t>
        </is>
      </c>
      <c r="W82" s="6" t="inlineStr"/>
      <c r="X82" s="6" t="inlineStr"/>
      <c r="Y82" s="6" t="inlineStr"/>
      <c r="Z82" s="6" t="inlineStr"/>
      <c r="AA82" s="6" t="inlineStr"/>
      <c r="AB82" s="6" t="inlineStr">
        <is>
          <t>RECORD+DEC</t>
        </is>
      </c>
      <c r="AC82" s="6" t="inlineStr">
        <is>
          <t>n/a (sub-item)</t>
        </is>
      </c>
      <c r="AD82" s="6" t="inlineStr">
        <is>
          <t>NEW (repo sweep)</t>
        </is>
      </c>
      <c r="AE82" s="6" t="inlineStr">
        <is>
          <t>2026-10-20</t>
        </is>
      </c>
      <c r="AF82" s="6" t="inlineStr">
        <is>
          <t>design/package-v4/06-corrections-proposed.md section 1; reviews/RV-0011.md</t>
        </is>
      </c>
      <c r="AG82" s="6" t="inlineStr"/>
      <c r="AH82" s="6" t="inlineStr">
        <is>
          <t>No (editing needs the human's approval)</t>
        </is>
      </c>
      <c r="AI82" s="6" t="inlineStr"/>
      <c r="AJ82" s="6" t="inlineStr">
        <is>
          <t>RV-0009 (Reviewer 6b1), confirmed by the lead</t>
        </is>
      </c>
      <c r="AK82" s="6" t="inlineStr"/>
      <c r="AL82" s="6" t="inlineStr">
        <is>
          <t>S15</t>
        </is>
      </c>
    </row>
    <row r="83" ht="165.5" customHeight="1">
      <c r="A83" s="5" t="inlineStr">
        <is>
          <t>C-R01/FIG2-POINTS</t>
        </is>
      </c>
      <c r="B83" s="6" t="inlineStr">
        <is>
          <t>Four design points the Figure 2 check left unresolved: expose-all in the feasible set, option (b), Regime B decision rule, the regime-size loop</t>
        </is>
      </c>
      <c r="C83" s="6" t="inlineStr">
        <is>
          <t>PARTLY ANSWERED</t>
        </is>
      </c>
      <c r="D83" s="6">
        <f>IFERROR(INDEX(Lists!$B$2:$B$14,MATCH(C83,Lists!$A$2:$A$14,0)),"?")</f>
        <v/>
      </c>
      <c r="E83" s="6">
        <f>IF(COUNTIFS(Links!$B$2:$B$600,A83,Links!$E$2:$E$600,"Yes")&gt;0,"REVISE","")</f>
        <v/>
      </c>
      <c r="F83" s="6">
        <f>COUNTIFS(Links!$B$2:$B$600,A83,Links!$D$2:$D$600,"No",Links!$C$2:$C$600,"&lt;&gt;INFORMS")</f>
        <v/>
      </c>
      <c r="G83" s="9" t="inlineStr">
        <is>
          <t>USER-DECISION</t>
        </is>
      </c>
      <c r="H83" s="6" t="inlineStr">
        <is>
          <t>K17 Record repair &amp; procedure error</t>
        </is>
      </c>
      <c r="I83" s="6" t="inlineStr">
        <is>
          <t>G1 Before any implementation</t>
        </is>
      </c>
      <c r="J83" s="6" t="inlineStr">
        <is>
          <t>Normal</t>
        </is>
      </c>
      <c r="K83" s="6" t="n">
        <v>139</v>
      </c>
      <c r="L83" s="6" t="inlineStr">
        <is>
          <t>W2 Desk work (no model runs)</t>
        </is>
      </c>
      <c r="M83" s="6" t="inlineStr">
        <is>
          <t>S15</t>
        </is>
      </c>
      <c r="N83" s="6" t="inlineStr">
        <is>
          <t>You (or Joaa)</t>
        </is>
      </c>
      <c r="O83" s="6" t="inlineStr">
        <is>
          <t>Settle (a), (b), (d) when the end-to-end study is designed</t>
        </is>
      </c>
      <c r="P83" s="6" t="inlineStr">
        <is>
          <t>Partly</t>
        </is>
      </c>
      <c r="Q83" s="6" t="inlineStr">
        <is>
          <t>Decision</t>
        </is>
      </c>
      <c r="R83" s="6" t="inlineStr">
        <is>
          <t>Sub-item</t>
        </is>
      </c>
      <c r="S83" s="6" t="inlineStr">
        <is>
          <t>C-R01/FIG2</t>
        </is>
      </c>
      <c r="T83"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83" s="6" t="inlineStr">
        <is>
          <t>Found by a fresh reviewer on 2026-10-20; the sources do not settle (a) to (c); (d) is unchanged from the earlier figure. The drafted replacement draws exits the sources support and says in its text that these four points are open. 2026-10-21 (AUTH-019, the human's decisions): point (c) is decided: no margin or budget (line 16), so in Regime B the frontier is reported and a configuration is chosen with stated reasons; points (a), (b) and (d) remain.</t>
        </is>
      </c>
      <c r="V83" s="6" t="inlineStr">
        <is>
          <t>Each point decided in the human's or the supervisor's words, or recorded as open.</t>
        </is>
      </c>
      <c r="W83" s="6" t="inlineStr"/>
      <c r="X83" s="6" t="inlineStr"/>
      <c r="Y83" s="6" t="inlineStr"/>
      <c r="Z83" s="6" t="inlineStr"/>
      <c r="AA83" s="6" t="inlineStr"/>
      <c r="AB83" s="6" t="inlineStr">
        <is>
          <t>RECORD+DEC</t>
        </is>
      </c>
      <c r="AC83" s="6" t="inlineStr">
        <is>
          <t>n/a (sub-item)</t>
        </is>
      </c>
      <c r="AD83" s="6" t="inlineStr">
        <is>
          <t>NEW (repo sweep)</t>
        </is>
      </c>
      <c r="AE83" s="6" t="inlineStr">
        <is>
          <t>2026-10-21</t>
        </is>
      </c>
      <c r="AF83" s="6" t="inlineStr">
        <is>
          <t>INT-T-005 (requirements/intake/2026-10-21-user-decisions-after-meetings.md)</t>
        </is>
      </c>
      <c r="AG83" s="6" t="inlineStr"/>
      <c r="AH83" s="6" t="inlineStr">
        <is>
          <t>No</t>
        </is>
      </c>
      <c r="AI83" s="6" t="inlineStr"/>
      <c r="AJ83" s="6" t="inlineStr">
        <is>
          <t>RV-0011 (batch 11)</t>
        </is>
      </c>
      <c r="AK83" s="6" t="inlineStr"/>
      <c r="AL83" s="6" t="inlineStr">
        <is>
          <t>S15</t>
        </is>
      </c>
    </row>
    <row r="84" ht="203" customHeight="1">
      <c r="A84" s="5" t="inlineStr">
        <is>
          <t>C-R01/R1TRIG</t>
        </is>
      </c>
      <c r="B84" s="6" t="inlineStr">
        <is>
          <t>A trigger can re-fire on every finish proposal when the budget is exhausted</t>
        </is>
      </c>
      <c r="C84" s="6" t="inlineStr">
        <is>
          <t>PARTLY ANSWERED</t>
        </is>
      </c>
      <c r="D84" s="6">
        <f>IFERROR(INDEX(Lists!$B$2:$B$14,MATCH(C84,Lists!$A$2:$A$14,0)),"?")</f>
        <v/>
      </c>
      <c r="E84" s="6">
        <f>IF(COUNTIFS(Links!$B$2:$B$600,A84,Links!$E$2:$E$600,"Yes")&gt;0,"REVISE","")</f>
        <v/>
      </c>
      <c r="F84" s="6">
        <f>COUNTIFS(Links!$B$2:$B$600,A84,Links!$D$2:$D$600,"No",Links!$C$2:$C$600,"&lt;&gt;INFORMS")</f>
        <v/>
      </c>
      <c r="G84" s="8" t="inlineStr">
        <is>
          <t>RECORDS-AT-HAND</t>
        </is>
      </c>
      <c r="H84" s="6" t="inlineStr">
        <is>
          <t>K17 Record repair &amp; procedure error</t>
        </is>
      </c>
      <c r="I84" s="6" t="inlineStr">
        <is>
          <t>G2 Before the affected pilot/arm</t>
        </is>
      </c>
      <c r="J84" s="6" t="inlineStr">
        <is>
          <t>Normal</t>
        </is>
      </c>
      <c r="K84" s="6" t="n">
        <v>140</v>
      </c>
      <c r="L84" s="6" t="inlineStr">
        <is>
          <t>W2 Desk work (no model runs)</t>
        </is>
      </c>
      <c r="M84" s="6" t="inlineStr">
        <is>
          <t>S15</t>
        </is>
      </c>
      <c r="N84" s="6" t="inlineStr">
        <is>
          <t>Lead drafts, you approve</t>
        </is>
      </c>
      <c r="O84" s="6" t="inlineStr">
        <is>
          <t>You or Joaa choose (a), (b) or (c)</t>
        </is>
      </c>
      <c r="P84" s="6" t="inlineStr">
        <is>
          <t>Answered (see basis)</t>
        </is>
      </c>
      <c r="Q84" s="6" t="inlineStr">
        <is>
          <t>Record fix</t>
        </is>
      </c>
      <c r="R84" s="6" t="inlineStr">
        <is>
          <t>Sub-item</t>
        </is>
      </c>
      <c r="S84" s="6" t="inlineStr">
        <is>
          <t>C-R01/V4RES</t>
        </is>
      </c>
      <c r="T84" s="6" t="inlineStr">
        <is>
          <t>RV-0009 R1 residual: P3/P3f 'yes' still goes to B and B 'no' still returns 'unavailable' to A (02 lines 24, 28, 33), so a trigger can fire on every finish proposal until the call limit; neither 02 nor 03 says what happens when the budget is exhausted.</t>
        </is>
      </c>
      <c r="U84"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84" s="6" t="inlineStr">
        <is>
          <t>The protocol states what the trigger does after the call limit is reached.</t>
        </is>
      </c>
      <c r="W84" s="6" t="inlineStr"/>
      <c r="X84" s="6" t="inlineStr"/>
      <c r="Y84" s="6" t="inlineStr"/>
      <c r="Z84" s="6" t="inlineStr"/>
      <c r="AA84" s="6" t="inlineStr"/>
      <c r="AB84" s="6" t="inlineStr">
        <is>
          <t>RECORD+DEC</t>
        </is>
      </c>
      <c r="AC84" s="6" t="inlineStr">
        <is>
          <t>n/a (sub-item)</t>
        </is>
      </c>
      <c r="AD84" s="6" t="inlineStr">
        <is>
          <t>NEW (repo sweep)</t>
        </is>
      </c>
      <c r="AE84" s="6" t="inlineStr">
        <is>
          <t>2026-10-20</t>
        </is>
      </c>
      <c r="AF84" s="6" t="inlineStr">
        <is>
          <t>design/package-v4/06-corrections-proposed.md section 2; reviews/RV-0012.md</t>
        </is>
      </c>
      <c r="AG84" s="6" t="inlineStr"/>
      <c r="AH84" s="6" t="inlineStr">
        <is>
          <t>No (editing needs the human's approval)</t>
        </is>
      </c>
      <c r="AI84" s="6" t="inlineStr"/>
      <c r="AJ84" s="6" t="inlineStr">
        <is>
          <t>RV-0009 (Reviewer 6b1)</t>
        </is>
      </c>
      <c r="AK84" s="6" t="inlineStr"/>
      <c r="AL84" s="6" t="inlineStr">
        <is>
          <t>S15</t>
        </is>
      </c>
    </row>
    <row r="85" ht="300" customHeight="1">
      <c r="A85" s="5" t="inlineStr">
        <is>
          <t>C-R01/RENDER</t>
        </is>
      </c>
      <c r="B85" s="6" t="inlineStr">
        <is>
          <t>Mermaid figures were never rendered</t>
        </is>
      </c>
      <c r="C85" s="6" t="inlineStr">
        <is>
          <t>PARTLY ANSWERED</t>
        </is>
      </c>
      <c r="D85" s="6">
        <f>IFERROR(INDEX(Lists!$B$2:$B$14,MATCH(C85,Lists!$A$2:$A$14,0)),"?")</f>
        <v/>
      </c>
      <c r="E85" s="6">
        <f>IF(COUNTIFS(Links!$B$2:$B$600,A85,Links!$E$2:$E$600,"Yes")&gt;0,"REVISE","")</f>
        <v/>
      </c>
      <c r="F85" s="6">
        <f>COUNTIFS(Links!$B$2:$B$600,A85,Links!$D$2:$D$600,"No",Links!$C$2:$C$600,"&lt;&gt;INFORMS")</f>
        <v/>
      </c>
      <c r="G85" s="8" t="inlineStr">
        <is>
          <t>RECORDS-AT-HAND</t>
        </is>
      </c>
      <c r="H85" s="6" t="inlineStr">
        <is>
          <t>K17 Record repair &amp; procedure error</t>
        </is>
      </c>
      <c r="I85" s="6" t="inlineStr">
        <is>
          <t>G4 Before claims</t>
        </is>
      </c>
      <c r="J85" s="6" t="inlineStr">
        <is>
          <t>Normal</t>
        </is>
      </c>
      <c r="K85" s="6" t="n">
        <v>141</v>
      </c>
      <c r="L85" s="6" t="inlineStr">
        <is>
          <t>W2 Desk work (no model runs)</t>
        </is>
      </c>
      <c r="M85" s="6" t="inlineStr">
        <is>
          <t>S15</t>
        </is>
      </c>
      <c r="N85" s="6" t="inlineStr">
        <is>
          <t>You (render in VS Code); lead (concept check)</t>
        </is>
      </c>
      <c r="O85" s="6" t="inlineStr">
        <is>
          <t>Lead fixes the concept defects in the successor note; you render the figures in VS Code and report anything that looks wrong</t>
        </is>
      </c>
      <c r="P85" s="6" t="inlineStr">
        <is>
          <t>No</t>
        </is>
      </c>
      <c r="Q85" s="6" t="inlineStr">
        <is>
          <t>Record fix</t>
        </is>
      </c>
      <c r="R85" s="6" t="inlineStr">
        <is>
          <t>Sub-item</t>
        </is>
      </c>
      <c r="S85" s="6" t="inlineStr">
        <is>
          <t>C-R01</t>
        </is>
      </c>
      <c r="T85" s="6" t="inlineStr">
        <is>
          <t>No renderer was installed; Figure 1 and 2 syntax is unverified.</t>
        </is>
      </c>
      <c r="U85"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85" s="6" t="inlineStr">
        <is>
          <t>Checked and corrected or labelled unverifiable: labelled unverifiable; your acceptance pending.</t>
        </is>
      </c>
      <c r="W85" s="6" t="inlineStr"/>
      <c r="X85" s="6" t="inlineStr"/>
      <c r="Y85" s="6" t="inlineStr"/>
      <c r="Z85" s="6" t="inlineStr"/>
      <c r="AA85" s="6" t="inlineStr"/>
      <c r="AB85" s="6" t="inlineStr">
        <is>
          <t>RECORD+SOURCE</t>
        </is>
      </c>
      <c r="AC85" s="6" t="inlineStr">
        <is>
          <t>n/a (sub-item)</t>
        </is>
      </c>
      <c r="AD85" s="6" t="inlineStr">
        <is>
          <t>NEW (repo sweep)</t>
        </is>
      </c>
      <c r="AE85" s="6" t="inlineStr">
        <is>
          <t>2026-10-20</t>
        </is>
      </c>
      <c r="AF85" s="6" t="inlineStr">
        <is>
          <t>chat message of 2026-10-20; RV-0009</t>
        </is>
      </c>
      <c r="AG85" s="6" t="inlineStr"/>
      <c r="AH85" s="6" t="inlineStr">
        <is>
          <t>No</t>
        </is>
      </c>
      <c r="AI85" s="6" t="inlineStr">
        <is>
          <t>Rendering unverified; to be accepted as a stated limitation or checked by the human in any Mermaid viewer.</t>
        </is>
      </c>
      <c r="AJ85" s="6" t="inlineStr">
        <is>
          <t>repo: v4-03 section 6 / RV-0005 / RV-0007</t>
        </is>
      </c>
      <c r="AK85" s="6" t="inlineStr"/>
      <c r="AL85" s="6" t="inlineStr">
        <is>
          <t>S15</t>
        </is>
      </c>
    </row>
    <row r="86" ht="165.5" customHeight="1">
      <c r="A86" s="5" t="inlineStr">
        <is>
          <t>C-R01/V4-03-STALE</t>
        </is>
      </c>
      <c r="B86" s="6" t="inlineStr">
        <is>
          <t>Stale wording in v4 03 that conflicts with the corrected stage-inclusion rule</t>
        </is>
      </c>
      <c r="C86" s="6" t="inlineStr">
        <is>
          <t>PARTLY ANSWERED</t>
        </is>
      </c>
      <c r="D86" s="6">
        <f>IFERROR(INDEX(Lists!$B$2:$B$14,MATCH(C86,Lists!$A$2:$A$14,0)),"?")</f>
        <v/>
      </c>
      <c r="E86" s="6">
        <f>IF(COUNTIFS(Links!$B$2:$B$600,A86,Links!$E$2:$E$600,"Yes")&gt;0,"REVISE","")</f>
        <v/>
      </c>
      <c r="F86" s="6">
        <f>COUNTIFS(Links!$B$2:$B$600,A86,Links!$D$2:$D$600,"No",Links!$C$2:$C$600,"&lt;&gt;INFORMS")</f>
        <v/>
      </c>
      <c r="G86" s="8" t="inlineStr">
        <is>
          <t>RECORDS-AT-HAND</t>
        </is>
      </c>
      <c r="H86" s="6" t="inlineStr">
        <is>
          <t>K17 Record repair &amp; procedure error</t>
        </is>
      </c>
      <c r="I86" s="6" t="inlineStr">
        <is>
          <t>G4 Before claims</t>
        </is>
      </c>
      <c r="J86" s="6" t="inlineStr">
        <is>
          <t>Normal</t>
        </is>
      </c>
      <c r="K86" s="6" t="n">
        <v>142</v>
      </c>
      <c r="L86" s="6" t="inlineStr">
        <is>
          <t>W2 Desk work (no model runs)</t>
        </is>
      </c>
      <c r="M86" s="6" t="inlineStr">
        <is>
          <t>S15</t>
        </is>
      </c>
      <c r="N86" s="6" t="inlineStr">
        <is>
          <t>Lead drafts, you approve</t>
        </is>
      </c>
      <c r="O86" s="6" t="inlineStr">
        <is>
          <t>You approve the replacement sentences</t>
        </is>
      </c>
      <c r="P86" s="6" t="inlineStr">
        <is>
          <t>Answered (see basis)</t>
        </is>
      </c>
      <c r="Q86" s="6" t="inlineStr">
        <is>
          <t>Record fix</t>
        </is>
      </c>
      <c r="R86" s="6" t="inlineStr">
        <is>
          <t>Sub-item</t>
        </is>
      </c>
      <c r="S86" s="6" t="inlineStr">
        <is>
          <t>C-R01/V4RES</t>
        </is>
      </c>
      <c r="T86"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86"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86" s="6" t="inlineStr">
        <is>
          <t>03 states the same stage-inclusion rule as 02, or a successor note records the difference.</t>
        </is>
      </c>
      <c r="W86" s="6" t="inlineStr"/>
      <c r="X86" s="6" t="inlineStr"/>
      <c r="Y86" s="6" t="inlineStr"/>
      <c r="Z86" s="6" t="inlineStr"/>
      <c r="AA86" s="6" t="inlineStr"/>
      <c r="AB86" s="6" t="inlineStr">
        <is>
          <t>RECORD+DEC</t>
        </is>
      </c>
      <c r="AC86" s="6" t="inlineStr">
        <is>
          <t>n/a (sub-item)</t>
        </is>
      </c>
      <c r="AD86" s="6" t="inlineStr">
        <is>
          <t>NEW (repo sweep)</t>
        </is>
      </c>
      <c r="AE86" s="6" t="inlineStr">
        <is>
          <t>2026-10-20</t>
        </is>
      </c>
      <c r="AF86" s="6" t="inlineStr">
        <is>
          <t>design/package-v4/06-corrections-proposed.md section 3 rows 3.1-3.4; reviews/RV-0012.md</t>
        </is>
      </c>
      <c r="AG86" s="6" t="inlineStr"/>
      <c r="AH86" s="6" t="inlineStr">
        <is>
          <t>No (editing needs the human's approval)</t>
        </is>
      </c>
      <c r="AI86" s="6" t="inlineStr"/>
      <c r="AJ86" s="6" t="inlineStr">
        <is>
          <t>RV-0009 (Reviewer 6b1)</t>
        </is>
      </c>
      <c r="AK86" s="6" t="inlineStr"/>
      <c r="AL86" s="6" t="inlineStr">
        <is>
          <t>S15</t>
        </is>
      </c>
    </row>
    <row r="87" ht="128" customHeight="1">
      <c r="A87" s="5" t="inlineStr">
        <is>
          <t>C-R03</t>
        </is>
      </c>
      <c r="B87" s="6" t="inlineStr">
        <is>
          <t>v3 artefacts not independently verified: simulation not rerun, single challenger, summaries unverified, par...</t>
        </is>
      </c>
      <c r="C87" s="6" t="inlineStr">
        <is>
          <t>PARTLY ANSWERED</t>
        </is>
      </c>
      <c r="D87" s="6">
        <f>IFERROR(INDEX(Lists!$B$2:$B$14,MATCH(C87,Lists!$A$2:$A$14,0)),"?")</f>
        <v/>
      </c>
      <c r="E87" s="6">
        <f>IF(COUNTIFS(Links!$B$2:$B$600,A87,Links!$E$2:$E$600,"Yes")&gt;0,"REVISE","")</f>
        <v/>
      </c>
      <c r="F87" s="6">
        <f>COUNTIFS(Links!$B$2:$B$600,A87,Links!$D$2:$D$600,"No",Links!$C$2:$C$600,"&lt;&gt;INFORMS")</f>
        <v/>
      </c>
      <c r="G87" s="8" t="inlineStr">
        <is>
          <t>RECORDS-AT-HAND</t>
        </is>
      </c>
      <c r="H87" s="6" t="inlineStr">
        <is>
          <t>K17 Record repair &amp; procedure error</t>
        </is>
      </c>
      <c r="I87" s="6" t="inlineStr">
        <is>
          <t>G4 Before claims</t>
        </is>
      </c>
      <c r="J87" s="6" t="inlineStr">
        <is>
          <t>Normal</t>
        </is>
      </c>
      <c r="K87" s="6" t="n">
        <v>144</v>
      </c>
      <c r="L87" s="6" t="inlineStr">
        <is>
          <t>W2 Desk work (no model runs)</t>
        </is>
      </c>
      <c r="M87" s="6" t="inlineStr">
        <is>
          <t>S15</t>
        </is>
      </c>
      <c r="N87" s="6" t="inlineStr">
        <is>
          <t>Lead + fresh reviewer</t>
        </is>
      </c>
      <c r="O87" s="6" t="inlineStr">
        <is>
          <t>Rerun the simulation if its outputs are quoted (see C-R03/C20)</t>
        </is>
      </c>
      <c r="P87" s="6" t="inlineStr">
        <is>
          <t>Partly</t>
        </is>
      </c>
      <c r="Q87" s="6" t="inlineStr">
        <is>
          <t>Record fix</t>
        </is>
      </c>
      <c r="R87" s="6" t="inlineStr">
        <is>
          <t>Item</t>
        </is>
      </c>
      <c r="S87" s="6" t="inlineStr"/>
      <c r="T87" s="6" t="inlineStr">
        <is>
          <t>v3 artefacts not independently verified: simulation not rerun, single challenger, summaries unverified, partly supported pivotal passages.</t>
        </is>
      </c>
      <c r="U87"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87" s="6" t="inlineStr">
        <is>
          <t>Each artifact verified or labelled; stale counts fixed.</t>
        </is>
      </c>
      <c r="W87" s="6" t="inlineStr"/>
      <c r="X87" s="6" t="inlineStr"/>
      <c r="Y87" s="6" t="inlineStr"/>
      <c r="Z87" s="6" t="inlineStr">
        <is>
          <t>DESK-ANALYSIS, SOURCE-REREAD</t>
        </is>
      </c>
      <c r="AA87" s="6" t="inlineStr">
        <is>
          <t>K14 Source &amp; vendor verification</t>
        </is>
      </c>
      <c r="AB87" s="6" t="inlineStr">
        <is>
          <t>RECORD+SOURCE+DATA</t>
        </is>
      </c>
      <c r="AC87" s="6" t="inlineStr">
        <is>
          <t>OPEN</t>
        </is>
      </c>
      <c r="AD87" s="6" t="inlineStr">
        <is>
          <t>UNCHANGED</t>
        </is>
      </c>
      <c r="AE87" s="6" t="inlineStr">
        <is>
          <t>2026-10-19</t>
        </is>
      </c>
      <c r="AF87" s="6" t="inlineStr">
        <is>
          <t>RV-0008 (reviews/RV-0008.md), thread T-20261019-104; RV-0009 (reviews/RV-0009.md), thread T-20261019-104; RV-0010 (reviews/RV-0010.md), thread T-20261019-104</t>
        </is>
      </c>
      <c r="AG87" s="6" t="inlineStr"/>
      <c r="AH87" s="6" t="inlineStr">
        <is>
          <t>No</t>
        </is>
      </c>
      <c r="AI87" s="6" t="inlineStr"/>
      <c r="AJ87" s="6" t="inlineStr">
        <is>
          <t>SRC-11 canonical</t>
        </is>
      </c>
      <c r="AK87" s="6" t="inlineStr">
        <is>
          <t>SRC-06 C20-C27</t>
        </is>
      </c>
      <c r="AL87" s="6" t="inlineStr">
        <is>
          <t>S15</t>
        </is>
      </c>
    </row>
    <row r="88" ht="128" customHeight="1">
      <c r="A88" s="5" t="inlineStr">
        <is>
          <t>C-R03/C20</t>
        </is>
      </c>
      <c r="B88" s="6" t="inlineStr">
        <is>
          <t>No computational rerun of the simulation/limits</t>
        </is>
      </c>
      <c r="C88" s="6" t="inlineStr">
        <is>
          <t>DEFERRED</t>
        </is>
      </c>
      <c r="D88" s="6">
        <f>IFERROR(INDEX(Lists!$B$2:$B$14,MATCH(C88,Lists!$A$2:$A$14,0)),"?")</f>
        <v/>
      </c>
      <c r="E88" s="6">
        <f>IF(COUNTIFS(Links!$B$2:$B$600,A88,Links!$E$2:$E$600,"Yes")&gt;0,"REVISE","")</f>
        <v/>
      </c>
      <c r="F88" s="6">
        <f>COUNTIFS(Links!$B$2:$B$600,A88,Links!$D$2:$D$600,"No",Links!$C$2:$C$600,"&lt;&gt;INFORMS")</f>
        <v/>
      </c>
      <c r="G88" s="13" t="inlineStr">
        <is>
          <t>DESK-ANALYSIS</t>
        </is>
      </c>
      <c r="H88" s="6" t="inlineStr">
        <is>
          <t>K17 Record repair &amp; procedure error</t>
        </is>
      </c>
      <c r="I88" s="6" t="inlineStr">
        <is>
          <t>G4 Before claims</t>
        </is>
      </c>
      <c r="J88" s="6" t="inlineStr">
        <is>
          <t>Normal</t>
        </is>
      </c>
      <c r="K88" s="6" t="n">
        <v>145</v>
      </c>
      <c r="L88" s="6" t="inlineStr">
        <is>
          <t>W2 Desk work (no model runs)</t>
        </is>
      </c>
      <c r="M88" s="6" t="inlineStr">
        <is>
          <t>S15</t>
        </is>
      </c>
      <c r="N88" s="6" t="inlineStr">
        <is>
          <t>Lead + fresh reviewer</t>
        </is>
      </c>
      <c r="O88" s="6" t="inlineStr">
        <is>
          <t>none until the trigger fires</t>
        </is>
      </c>
      <c r="P88" s="6" t="inlineStr">
        <is>
          <t>No</t>
        </is>
      </c>
      <c r="Q88" s="6" t="inlineStr">
        <is>
          <t>Scientific unknown</t>
        </is>
      </c>
      <c r="R88" s="6" t="inlineStr">
        <is>
          <t>Sub-item</t>
        </is>
      </c>
      <c r="S88" s="6" t="inlineStr">
        <is>
          <t>C-R03</t>
        </is>
      </c>
      <c r="T88" s="6" t="inlineStr">
        <is>
          <t>SRC-06 C20: the v3 greedy-core simulation and limits were not computationally re-run.</t>
        </is>
      </c>
      <c r="U88" s="6" t="inlineStr">
        <is>
          <t>Not rerun in the repo.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88" s="6" t="inlineStr">
        <is>
          <t>Simulation rerun and results compared.</t>
        </is>
      </c>
      <c r="W88" s="6" t="inlineStr"/>
      <c r="X88" s="6" t="inlineStr"/>
      <c r="Y88" s="6" t="inlineStr">
        <is>
          <t>Q-U26</t>
        </is>
      </c>
      <c r="Z88" s="6" t="inlineStr"/>
      <c r="AA88" s="6" t="inlineStr"/>
      <c r="AB88" s="6" t="inlineStr">
        <is>
          <t>RECORD+DATA</t>
        </is>
      </c>
      <c r="AC88" s="6" t="inlineStr">
        <is>
          <t>n/a (sub-item)</t>
        </is>
      </c>
      <c r="AD88" s="6" t="inlineStr">
        <is>
          <t>NEW (SRC-11 sub-row)</t>
        </is>
      </c>
      <c r="AE88" s="6" t="inlineStr">
        <is>
          <t>2026-10-21</t>
        </is>
      </c>
      <c r="AF88" s="6" t="inlineStr">
        <is>
          <t>INT-T-005 (requirements/intake/2026-10-21-user-decisions-after-meetings.md)</t>
        </is>
      </c>
      <c r="AG88" s="6" t="inlineStr">
        <is>
          <t>The end-to-end study is designed</t>
        </is>
      </c>
      <c r="AH88" s="6" t="inlineStr">
        <is>
          <t>No</t>
        </is>
      </c>
      <c r="AI88" s="6" t="inlineStr"/>
      <c r="AJ88" s="6" t="inlineStr">
        <is>
          <t>SRC-11 section D4</t>
        </is>
      </c>
      <c r="AK88" s="6" t="inlineStr">
        <is>
          <t>SRC-06 C20</t>
        </is>
      </c>
      <c r="AL88" s="6" t="inlineStr">
        <is>
          <t>S15</t>
        </is>
      </c>
    </row>
    <row r="89" ht="28" customHeight="1">
      <c r="A89" s="5" t="inlineStr">
        <is>
          <t>C-R03/C21</t>
        </is>
      </c>
      <c r="B89" s="6" t="inlineStr">
        <is>
          <t>Only one challenger</t>
        </is>
      </c>
      <c r="C89" s="6" t="inlineStr">
        <is>
          <t>OPEN</t>
        </is>
      </c>
      <c r="D89" s="6">
        <f>IFERROR(INDEX(Lists!$B$2:$B$14,MATCH(C89,Lists!$A$2:$A$14,0)),"?")</f>
        <v/>
      </c>
      <c r="E89" s="6">
        <f>IF(COUNTIFS(Links!$B$2:$B$600,A89,Links!$E$2:$E$600,"Yes")&gt;0,"REVISE","")</f>
        <v/>
      </c>
      <c r="F89" s="6">
        <f>COUNTIFS(Links!$B$2:$B$600,A89,Links!$D$2:$D$600,"No",Links!$C$2:$C$600,"&lt;&gt;INFORMS")</f>
        <v/>
      </c>
      <c r="G89" s="12" t="inlineStr">
        <is>
          <t>ACCEPT-LIMITATION</t>
        </is>
      </c>
      <c r="H89" s="6" t="inlineStr">
        <is>
          <t>K17 Record repair &amp; procedure error</t>
        </is>
      </c>
      <c r="I89" s="6" t="inlineStr">
        <is>
          <t>G4 Before claims</t>
        </is>
      </c>
      <c r="J89" s="6" t="inlineStr">
        <is>
          <t>Normal</t>
        </is>
      </c>
      <c r="K89" s="6" t="n">
        <v>146</v>
      </c>
      <c r="L89" s="6" t="inlineStr">
        <is>
          <t>W2 Desk work (no model runs)</t>
        </is>
      </c>
      <c r="M89" s="6" t="inlineStr">
        <is>
          <t>S15</t>
        </is>
      </c>
      <c r="N89" s="6" t="inlineStr">
        <is>
          <t>Lead + fresh reviewer</t>
        </is>
      </c>
      <c r="O89" s="6" t="inlineStr">
        <is>
          <t>You accept or reject the limit (Q-U20)</t>
        </is>
      </c>
      <c r="P89" s="6" t="inlineStr">
        <is>
          <t>Partly</t>
        </is>
      </c>
      <c r="Q89" s="6" t="inlineStr">
        <is>
          <t>Limitation</t>
        </is>
      </c>
      <c r="R89" s="6" t="inlineStr">
        <is>
          <t>Sub-item</t>
        </is>
      </c>
      <c r="S89" s="6" t="inlineStr">
        <is>
          <t>C-R03</t>
        </is>
      </c>
      <c r="T89" s="6" t="inlineStr">
        <is>
          <t>SRC-06 C21: only one challenger reviewed v3.</t>
        </is>
      </c>
      <c r="U89" s="6" t="inlineStr">
        <is>
          <t>Same model family on every review.</t>
        </is>
      </c>
      <c r="V89" s="6" t="inlineStr">
        <is>
          <t>Limitation stated, or a different-provider review.</t>
        </is>
      </c>
      <c r="W89" s="6" t="inlineStr"/>
      <c r="X89" s="6" t="inlineStr"/>
      <c r="Y89" s="6" t="inlineStr">
        <is>
          <t>Q-U20</t>
        </is>
      </c>
      <c r="Z89" s="6" t="inlineStr"/>
      <c r="AA89" s="6" t="inlineStr"/>
      <c r="AB89" s="6" t="inlineStr">
        <is>
          <t>RECORD+DATA</t>
        </is>
      </c>
      <c r="AC89" s="6" t="inlineStr">
        <is>
          <t>n/a (sub-item)</t>
        </is>
      </c>
      <c r="AD89" s="6" t="inlineStr">
        <is>
          <t>NEW (SRC-11 sub-row)</t>
        </is>
      </c>
      <c r="AE89" s="6" t="inlineStr">
        <is>
          <t>2026-10-19</t>
        </is>
      </c>
      <c r="AF89" s="6" t="inlineStr">
        <is>
          <t>v3-04 header; SAFEGUARDS row 12 (all Sonnet)</t>
        </is>
      </c>
      <c r="AG89" s="6" t="inlineStr"/>
      <c r="AH89" s="6" t="inlineStr">
        <is>
          <t>No</t>
        </is>
      </c>
      <c r="AI89" s="6" t="inlineStr"/>
      <c r="AJ89" s="6" t="inlineStr">
        <is>
          <t>SRC-11 section D4</t>
        </is>
      </c>
      <c r="AK89" s="6" t="inlineStr">
        <is>
          <t>SRC-06 C21</t>
        </is>
      </c>
      <c r="AL89" s="6" t="inlineStr">
        <is>
          <t>S15</t>
        </is>
      </c>
    </row>
    <row r="90" ht="278" customHeight="1">
      <c r="A90" s="5" t="inlineStr">
        <is>
          <t>C-R03/C22-RESID</t>
        </is>
      </c>
      <c r="B90" s="6" t="inlineStr">
        <is>
          <t>Edits that the AUTH-004 concessions promised but the proposal records still lack</t>
        </is>
      </c>
      <c r="C90" s="6" t="inlineStr">
        <is>
          <t>OPEN</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G5 Housekeeping / no block</t>
        </is>
      </c>
      <c r="J90" s="6" t="inlineStr">
        <is>
          <t>Low</t>
        </is>
      </c>
      <c r="K90" s="6" t="n">
        <v>148</v>
      </c>
      <c r="L90" s="6" t="inlineStr">
        <is>
          <t>W2 Desk work (no model runs)</t>
        </is>
      </c>
      <c r="M90" s="6" t="inlineStr">
        <is>
          <t>S15</t>
        </is>
      </c>
      <c r="N90" s="6" t="inlineStr">
        <is>
          <t>You (approve); the proposals' owner or a successor note</t>
        </is>
      </c>
      <c r="O90" s="6" t="inlineStr">
        <is>
          <t>You decide whether the earlier proposal records (DPR-0001 to DPR-0003, HYP-0002/0004/0005) are edited or a successor note records the residues; the live packages v3 and v4 were built on DPR-0004 and DPR-0005</t>
        </is>
      </c>
      <c r="P90" s="6" t="inlineStr">
        <is>
          <t>Answered (see basis)</t>
        </is>
      </c>
      <c r="Q90" s="6" t="inlineStr">
        <is>
          <t>Record fix</t>
        </is>
      </c>
      <c r="R90" s="6" t="inlineStr">
        <is>
          <t>Sub-item</t>
        </is>
      </c>
      <c r="S90" s="6" t="inlineStr">
        <is>
          <t>C-R03/C22</t>
        </is>
      </c>
      <c r="T90"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90" s="6" t="inlineStr">
        <is>
          <t>The substantive points of all 19 challenges were warranted; these are leftovers in earlier proposal records. FitText section 4.2, which several of them ask for, was read on 2026-10-20 (EXT-0224, EXT-0225, EXT-0226, see C-R03/C23).</t>
        </is>
      </c>
      <c r="V90" s="6" t="inlineStr">
        <is>
          <t>Each leftover edited, or recorded in a successor note, or accepted as superseded by DPR-0004 and DPR-0005 and the v3 and v4 packages.</t>
        </is>
      </c>
      <c r="W90" s="6" t="inlineStr"/>
      <c r="X90" s="6" t="inlineStr"/>
      <c r="Y90" s="6" t="inlineStr"/>
      <c r="Z90" s="6" t="inlineStr"/>
      <c r="AA90" s="6" t="inlineStr"/>
      <c r="AB90" s="6" t="inlineStr">
        <is>
          <t>RECORD</t>
        </is>
      </c>
      <c r="AC90" s="6" t="inlineStr">
        <is>
          <t>n/a (sub-item)</t>
        </is>
      </c>
      <c r="AD90" s="6" t="inlineStr">
        <is>
          <t>NEW (repo sweep)</t>
        </is>
      </c>
      <c r="AE90" s="6" t="inlineStr">
        <is>
          <t>2026-10-20</t>
        </is>
      </c>
      <c r="AF90" s="6" t="inlineStr">
        <is>
          <t>reviews/RV-0017.md, RV-0018.md, RV-0019.md (fresh reviewers, same model family; RV-0018 ended at its turn limit after CH-0016 and CH-0017 to CH-0019 were done in RV-0019; no shell, so no origin extraction runs)</t>
        </is>
      </c>
      <c r="AG90" s="6" t="inlineStr"/>
      <c r="AH90" s="6" t="inlineStr">
        <is>
          <t>No (editing earlier records needs your approval)</t>
        </is>
      </c>
      <c r="AI90" s="6" t="inlineStr"/>
      <c r="AJ90" s="6" t="inlineStr">
        <is>
          <t>RV-0017 to RV-0019 (batch 15b)</t>
        </is>
      </c>
      <c r="AK90" s="6" t="inlineStr"/>
      <c r="AL90" s="6" t="inlineStr">
        <is>
          <t>S15</t>
        </is>
      </c>
    </row>
    <row r="91" ht="300" customHeight="1">
      <c r="A91" s="5" t="inlineStr">
        <is>
          <t>C-R03/C23</t>
        </is>
      </c>
      <c r="B91" s="6" t="inlineStr">
        <is>
          <t>RV-0002 draft residues</t>
        </is>
      </c>
      <c r="C91" s="6" t="inlineStr">
        <is>
          <t>PARTLY ANSWERED</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G4 Before claims</t>
        </is>
      </c>
      <c r="J91" s="6" t="inlineStr">
        <is>
          <t>Normal</t>
        </is>
      </c>
      <c r="K91" s="6" t="n">
        <v>149</v>
      </c>
      <c r="L91" s="6" t="inlineStr">
        <is>
          <t>W2 Desk work (no model runs)</t>
        </is>
      </c>
      <c r="M91" s="6" t="inlineStr">
        <is>
          <t>S15</t>
        </is>
      </c>
      <c r="N91" s="6" t="inlineStr">
        <is>
          <t>Lead + fresh reviewer</t>
        </is>
      </c>
      <c r="O91" s="6" t="inlineStr">
        <is>
          <t>You decide whether the successor wording and the updated FitText sentences are recorded (a record edit)</t>
        </is>
      </c>
      <c r="P91" s="6" t="inlineStr">
        <is>
          <t>Partly</t>
        </is>
      </c>
      <c r="Q91" s="6" t="inlineStr">
        <is>
          <t>Record fix</t>
        </is>
      </c>
      <c r="R91" s="6" t="inlineStr">
        <is>
          <t>Sub-item</t>
        </is>
      </c>
      <c r="S91" s="6" t="inlineStr">
        <is>
          <t>C-R03</t>
        </is>
      </c>
      <c r="T91" s="6" t="inlineStr">
        <is>
          <t>SRC-06 C23: RV-0002 is a draft with residues.</t>
        </is>
      </c>
      <c r="U91"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91" s="6" t="inlineStr">
        <is>
          <t>RV-0002 finalised or marked superseded.</t>
        </is>
      </c>
      <c r="W91" s="6" t="inlineStr"/>
      <c r="X91" s="6" t="inlineStr"/>
      <c r="Y91" s="6" t="inlineStr"/>
      <c r="Z91" s="6" t="inlineStr"/>
      <c r="AA91" s="6" t="inlineStr"/>
      <c r="AB91" s="6" t="inlineStr">
        <is>
          <t>RECORD+DATA</t>
        </is>
      </c>
      <c r="AC91" s="6" t="inlineStr">
        <is>
          <t>n/a (sub-item)</t>
        </is>
      </c>
      <c r="AD91" s="6" t="inlineStr">
        <is>
          <t>NEW (SRC-11 sub-row)</t>
        </is>
      </c>
      <c r="AE91" s="6" t="inlineStr">
        <is>
          <t>2026-10-20</t>
        </is>
      </c>
      <c r="AF91" s="6" t="inlineStr">
        <is>
          <t>EXT-0224, EXT-0225, EXT-0226; reviews/RV-0017.md, RV-0018.md, RV-0019.md (fresh reviewers, same model family; RV-0018 ended at its turn limit after CH-0016 and CH-0017 to CH-0019 were done in RV-0019; no shell, so no origin extraction runs)</t>
        </is>
      </c>
      <c r="AG91" s="6" t="inlineStr"/>
      <c r="AH91" s="6" t="inlineStr">
        <is>
          <t>No</t>
        </is>
      </c>
      <c r="AI91" s="6" t="inlineStr"/>
      <c r="AJ91" s="6" t="inlineStr">
        <is>
          <t>SRC-11 section D4</t>
        </is>
      </c>
      <c r="AK91" s="6" t="inlineStr">
        <is>
          <t>SRC-06 C23</t>
        </is>
      </c>
      <c r="AL91" s="6" t="inlineStr">
        <is>
          <t>S15</t>
        </is>
      </c>
    </row>
    <row r="92" ht="115.5" customHeight="1">
      <c r="A92" s="5" t="inlineStr">
        <is>
          <t>C-R03/C24</t>
        </is>
      </c>
      <c r="B92" s="6" t="inlineStr">
        <is>
          <t>Propagation defects (agreed fixes not carried into operative text)</t>
        </is>
      </c>
      <c r="C92" s="6" t="inlineStr">
        <is>
          <t>PARTLY ANSWERED</t>
        </is>
      </c>
      <c r="D92" s="6">
        <f>IFERROR(INDEX(Lists!$B$2:$B$14,MATCH(C92,Lists!$A$2:$A$14,0)),"?")</f>
        <v/>
      </c>
      <c r="E92" s="6">
        <f>IF(COUNTIFS(Links!$B$2:$B$600,A92,Links!$E$2:$E$600,"Yes")&gt;0,"REVISE","")</f>
        <v/>
      </c>
      <c r="F92" s="6">
        <f>COUNTIFS(Links!$B$2:$B$600,A92,Links!$D$2:$D$600,"No",Links!$C$2:$C$600,"&lt;&gt;INFORMS")</f>
        <v/>
      </c>
      <c r="G92" s="8" t="inlineStr">
        <is>
          <t>RECORDS-AT-HAND</t>
        </is>
      </c>
      <c r="H92" s="6" t="inlineStr">
        <is>
          <t>K17 Record repair &amp; procedure error</t>
        </is>
      </c>
      <c r="I92" s="6" t="inlineStr">
        <is>
          <t>G4 Before claims</t>
        </is>
      </c>
      <c r="J92" s="6" t="inlineStr">
        <is>
          <t>Normal</t>
        </is>
      </c>
      <c r="K92" s="6" t="n">
        <v>150</v>
      </c>
      <c r="L92" s="6" t="inlineStr">
        <is>
          <t>W2 Desk work (no model runs)</t>
        </is>
      </c>
      <c r="M92" s="6" t="inlineStr">
        <is>
          <t>S15</t>
        </is>
      </c>
      <c r="N92" s="6" t="inlineStr">
        <is>
          <t>Lead + fresh reviewer</t>
        </is>
      </c>
      <c r="O92" s="6" t="inlineStr">
        <is>
          <t>Operative wording to be verified per record when the successor notes are drafted</t>
        </is>
      </c>
      <c r="P92" s="6" t="inlineStr">
        <is>
          <t>Partly</t>
        </is>
      </c>
      <c r="Q92" s="6" t="inlineStr">
        <is>
          <t>Record fix</t>
        </is>
      </c>
      <c r="R92" s="6" t="inlineStr">
        <is>
          <t>Sub-item</t>
        </is>
      </c>
      <c r="S92" s="6" t="inlineStr">
        <is>
          <t>C-R03</t>
        </is>
      </c>
      <c r="T92" s="6" t="inlineStr">
        <is>
          <t>SRC-06 C24: agreed fixes were not carried into the operative text of several records.</t>
        </is>
      </c>
      <c r="U92"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92" s="6" t="inlineStr">
        <is>
          <t>Operative wording verified per record.</t>
        </is>
      </c>
      <c r="W92" s="6" t="inlineStr"/>
      <c r="X92" s="6" t="inlineStr"/>
      <c r="Y92" s="6" t="inlineStr"/>
      <c r="Z92" s="6" t="inlineStr"/>
      <c r="AA92" s="6" t="inlineStr"/>
      <c r="AB92" s="6" t="inlineStr">
        <is>
          <t>RECORD+DATA</t>
        </is>
      </c>
      <c r="AC92" s="6" t="inlineStr">
        <is>
          <t>n/a (sub-item)</t>
        </is>
      </c>
      <c r="AD92" s="6" t="inlineStr">
        <is>
          <t>NEW (SRC-11 sub-row)</t>
        </is>
      </c>
      <c r="AE92" s="6" t="inlineStr">
        <is>
          <t>2026-10-19</t>
        </is>
      </c>
      <c r="AF92" s="6" t="inlineStr">
        <is>
          <t>RV-0008 (reviews/RV-0008.md), thread T-20261019-104; RV-0009 (reviews/RV-0009.md), thread T-20261019-104</t>
        </is>
      </c>
      <c r="AG92" s="6" t="inlineStr"/>
      <c r="AH92" s="6" t="inlineStr">
        <is>
          <t>No</t>
        </is>
      </c>
      <c r="AI92" s="6" t="inlineStr"/>
      <c r="AJ92" s="6" t="inlineStr">
        <is>
          <t>SRC-11 section D4</t>
        </is>
      </c>
      <c r="AK92" s="6" t="inlineStr">
        <is>
          <t>SRC-06 C24</t>
        </is>
      </c>
      <c r="AL92" s="6" t="inlineStr">
        <is>
          <t>S15</t>
        </is>
      </c>
    </row>
    <row r="93" ht="28" customHeight="1">
      <c r="A93" s="5" t="inlineStr">
        <is>
          <t>C-R03/C25</t>
        </is>
      </c>
      <c r="B93" s="6" t="inlineStr">
        <is>
          <t>Unverified SUM/FND summaries</t>
        </is>
      </c>
      <c r="C93" s="6" t="inlineStr">
        <is>
          <t>OPEN</t>
        </is>
      </c>
      <c r="D93" s="6">
        <f>IFERROR(INDEX(Lists!$B$2:$B$14,MATCH(C93,Lists!$A$2:$A$14,0)),"?")</f>
        <v/>
      </c>
      <c r="E93" s="6">
        <f>IF(COUNTIFS(Links!$B$2:$B$600,A93,Links!$E$2:$E$600,"Yes")&gt;0,"REVISE","")</f>
        <v/>
      </c>
      <c r="F93" s="6">
        <f>COUNTIFS(Links!$B$2:$B$600,A93,Links!$D$2:$D$600,"No",Links!$C$2:$C$600,"&lt;&gt;INFORMS")</f>
        <v/>
      </c>
      <c r="G93" s="8" t="inlineStr">
        <is>
          <t>RECORDS-AT-HAND</t>
        </is>
      </c>
      <c r="H93" s="6" t="inlineStr">
        <is>
          <t>K17 Record repair &amp; procedure error</t>
        </is>
      </c>
      <c r="I93" s="6" t="inlineStr">
        <is>
          <t>G4 Before claims</t>
        </is>
      </c>
      <c r="J93" s="6" t="inlineStr">
        <is>
          <t>Normal</t>
        </is>
      </c>
      <c r="K93" s="6" t="n">
        <v>151</v>
      </c>
      <c r="L93" s="6" t="inlineStr">
        <is>
          <t>W2 Desk work (no model runs)</t>
        </is>
      </c>
      <c r="M93" s="6" t="inlineStr">
        <is>
          <t>S15</t>
        </is>
      </c>
      <c r="N93" s="6" t="inlineStr">
        <is>
          <t>Lead + fresh reviewer</t>
        </is>
      </c>
      <c r="O93" s="6" t="inlineStr">
        <is>
          <t>Lead drafts the fix; you approve</t>
        </is>
      </c>
      <c r="P93" s="6" t="inlineStr">
        <is>
          <t>Partly</t>
        </is>
      </c>
      <c r="Q93" s="6" t="inlineStr">
        <is>
          <t>Record fix</t>
        </is>
      </c>
      <c r="R93" s="6" t="inlineStr">
        <is>
          <t>Sub-item</t>
        </is>
      </c>
      <c r="S93" s="6" t="inlineStr">
        <is>
          <t>C-R03</t>
        </is>
      </c>
      <c r="T93" s="6" t="inlineStr">
        <is>
          <t>SRC-06 C25: SUM/FND summaries are unverified (front matter says unverified-until-human-checks).</t>
        </is>
      </c>
      <c r="U93" s="6" t="inlineStr">
        <is>
          <t>All steward summaries carry 'unverified'.</t>
        </is>
      </c>
      <c r="V93" s="6" t="inlineStr">
        <is>
          <t>A human or independent check per summary.</t>
        </is>
      </c>
      <c r="W93" s="6" t="inlineStr"/>
      <c r="X93" s="6" t="inlineStr"/>
      <c r="Y93" s="6" t="inlineStr">
        <is>
          <t>Q-U27</t>
        </is>
      </c>
      <c r="Z93" s="6" t="inlineStr"/>
      <c r="AA93" s="6" t="inlineStr"/>
      <c r="AB93" s="6" t="inlineStr">
        <is>
          <t>RECORD+DATA</t>
        </is>
      </c>
      <c r="AC93" s="6" t="inlineStr">
        <is>
          <t>n/a (sub-item)</t>
        </is>
      </c>
      <c r="AD93" s="6" t="inlineStr">
        <is>
          <t>NEW (SRC-11 sub-row)</t>
        </is>
      </c>
      <c r="AE93" s="6" t="inlineStr">
        <is>
          <t>2026-10-19</t>
        </is>
      </c>
      <c r="AF93" s="6" t="inlineStr">
        <is>
          <t>findings/SUM-0003..0009 front matter</t>
        </is>
      </c>
      <c r="AG93" s="6" t="inlineStr"/>
      <c r="AH93" s="6" t="inlineStr">
        <is>
          <t>No</t>
        </is>
      </c>
      <c r="AI93" s="6" t="inlineStr"/>
      <c r="AJ93" s="6" t="inlineStr">
        <is>
          <t>SRC-11 section D4</t>
        </is>
      </c>
      <c r="AK93" s="6" t="inlineStr">
        <is>
          <t>SRC-06 C25</t>
        </is>
      </c>
      <c r="AL93" s="6" t="inlineStr">
        <is>
          <t>S15</t>
        </is>
      </c>
    </row>
    <row r="94" ht="153" customHeight="1">
      <c r="A94" s="5" t="inlineStr">
        <is>
          <t>C-R03/C26</t>
        </is>
      </c>
      <c r="B94" s="6" t="inlineStr">
        <is>
          <t>Cost algebra fit / unreviewed numerical slip</t>
        </is>
      </c>
      <c r="C94" s="6" t="inlineStr">
        <is>
          <t>DEFERRED</t>
        </is>
      </c>
      <c r="D94" s="6">
        <f>IFERROR(INDEX(Lists!$B$2:$B$14,MATCH(C94,Lists!$A$2:$A$14,0)),"?")</f>
        <v/>
      </c>
      <c r="E94" s="6">
        <f>IF(COUNTIFS(Links!$B$2:$B$600,A94,Links!$E$2:$E$600,"Yes")&gt;0,"REVISE","")</f>
        <v/>
      </c>
      <c r="F94" s="6">
        <f>COUNTIFS(Links!$B$2:$B$600,A94,Links!$D$2:$D$600,"No",Links!$C$2:$C$600,"&lt;&gt;INFORMS")</f>
        <v/>
      </c>
      <c r="G94" s="13" t="inlineStr">
        <is>
          <t>DESK-ANALYSIS</t>
        </is>
      </c>
      <c r="H94" s="6" t="inlineStr">
        <is>
          <t>K17 Record repair &amp; procedure error</t>
        </is>
      </c>
      <c r="I94" s="6" t="inlineStr">
        <is>
          <t>G4 Before claims</t>
        </is>
      </c>
      <c r="J94" s="6" t="inlineStr">
        <is>
          <t>Normal</t>
        </is>
      </c>
      <c r="K94" s="6" t="n">
        <v>152</v>
      </c>
      <c r="L94" s="6" t="inlineStr">
        <is>
          <t>W2 Desk work (no model runs)</t>
        </is>
      </c>
      <c r="M94" s="6" t="inlineStr">
        <is>
          <t>S15</t>
        </is>
      </c>
      <c r="N94" s="6" t="inlineStr">
        <is>
          <t>Lead + fresh reviewer</t>
        </is>
      </c>
      <c r="O94" s="6" t="inlineStr">
        <is>
          <t>none until the trigger fires</t>
        </is>
      </c>
      <c r="P94" s="6" t="inlineStr">
        <is>
          <t>Partly</t>
        </is>
      </c>
      <c r="Q94" s="6" t="inlineStr">
        <is>
          <t>Scientific unknown</t>
        </is>
      </c>
      <c r="R94" s="6" t="inlineStr">
        <is>
          <t>Sub-item</t>
        </is>
      </c>
      <c r="S94" s="6" t="inlineStr">
        <is>
          <t>C-R03</t>
        </is>
      </c>
      <c r="T94" s="6" t="inlineStr">
        <is>
          <t>SRC-06 C26: cost-algebra fit and one unreviewed numerical slip (141 vs about 115 turns in v2).</t>
        </is>
      </c>
      <c r="U94" s="6" t="inlineStr">
        <is>
          <t>The v4-04 cost-ratio table was recomputed and matches; the earlier 141-vs-115 slip is not shown corrected.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94" s="6" t="inlineStr">
        <is>
          <t>Closed-form algebra rechecked by a second reader.</t>
        </is>
      </c>
      <c r="W94" s="6" t="inlineStr"/>
      <c r="X94" s="6" t="inlineStr"/>
      <c r="Y94" s="6" t="inlineStr">
        <is>
          <t>Q-U26</t>
        </is>
      </c>
      <c r="Z94" s="6" t="inlineStr"/>
      <c r="AA94" s="6" t="inlineStr"/>
      <c r="AB94" s="6" t="inlineStr">
        <is>
          <t>RECORD+DATA</t>
        </is>
      </c>
      <c r="AC94" s="6" t="inlineStr">
        <is>
          <t>n/a (sub-item)</t>
        </is>
      </c>
      <c r="AD94" s="6" t="inlineStr">
        <is>
          <t>NEW (SRC-11 sub-row)</t>
        </is>
      </c>
      <c r="AE94" s="6" t="inlineStr">
        <is>
          <t>2026-10-21</t>
        </is>
      </c>
      <c r="AF94" s="6" t="inlineStr">
        <is>
          <t>INT-T-005 (requirements/intake/2026-10-21-user-decisions-after-meetings.md)</t>
        </is>
      </c>
      <c r="AG94" s="6" t="inlineStr">
        <is>
          <t>The end-to-end study is designed</t>
        </is>
      </c>
      <c r="AH94" s="6" t="inlineStr">
        <is>
          <t>No</t>
        </is>
      </c>
      <c r="AI94" s="6" t="inlineStr"/>
      <c r="AJ94" s="6" t="inlineStr">
        <is>
          <t>SRC-11 section D4</t>
        </is>
      </c>
      <c r="AK94" s="6" t="inlineStr">
        <is>
          <t>SRC-06 C26</t>
        </is>
      </c>
      <c r="AL94" s="6" t="inlineStr">
        <is>
          <t>S15</t>
        </is>
      </c>
    </row>
    <row r="95" ht="115.5" customHeight="1">
      <c r="A95" s="5" t="inlineStr">
        <is>
          <t>C-R03/C27</t>
        </is>
      </c>
      <c r="B95" s="6" t="inlineStr">
        <is>
          <t>Four partly supported pivotal passages (V2, V3, V6, V8)</t>
        </is>
      </c>
      <c r="C95" s="6" t="inlineStr">
        <is>
          <t>DEFERRED</t>
        </is>
      </c>
      <c r="D95" s="6">
        <f>IFERROR(INDEX(Lists!$B$2:$B$14,MATCH(C95,Lists!$A$2:$A$14,0)),"?")</f>
        <v/>
      </c>
      <c r="E95" s="6">
        <f>IF(COUNTIFS(Links!$B$2:$B$600,A95,Links!$E$2:$E$600,"Yes")&gt;0,"REVISE","")</f>
        <v/>
      </c>
      <c r="F95" s="6">
        <f>COUNTIFS(Links!$B$2:$B$600,A95,Links!$D$2:$D$600,"No",Links!$C$2:$C$600,"&lt;&gt;INFORMS")</f>
        <v/>
      </c>
      <c r="G95" s="14" t="inlineStr">
        <is>
          <t>SOURCE-REREAD</t>
        </is>
      </c>
      <c r="H95" s="6" t="inlineStr">
        <is>
          <t>K17 Record repair &amp; procedure error</t>
        </is>
      </c>
      <c r="I95" s="6" t="inlineStr">
        <is>
          <t>G4 Before claims</t>
        </is>
      </c>
      <c r="J95" s="6" t="inlineStr">
        <is>
          <t>Normal</t>
        </is>
      </c>
      <c r="K95" s="6" t="n">
        <v>153</v>
      </c>
      <c r="L95" s="6" t="inlineStr">
        <is>
          <t>W2 Desk work (no model runs)</t>
        </is>
      </c>
      <c r="M95" s="6" t="inlineStr">
        <is>
          <t>S15</t>
        </is>
      </c>
      <c r="N95" s="6" t="inlineStr">
        <is>
          <t>Lead + fresh reviewer</t>
        </is>
      </c>
      <c r="O95" s="6" t="inlineStr">
        <is>
          <t>none until the trigger fires</t>
        </is>
      </c>
      <c r="P95" s="6" t="inlineStr">
        <is>
          <t>Partly</t>
        </is>
      </c>
      <c r="Q95" s="6" t="inlineStr">
        <is>
          <t>Source check</t>
        </is>
      </c>
      <c r="R95" s="6" t="inlineStr">
        <is>
          <t>Sub-item</t>
        </is>
      </c>
      <c r="S95" s="6" t="inlineStr">
        <is>
          <t>C-R03</t>
        </is>
      </c>
      <c r="T95" s="6" t="inlineStr">
        <is>
          <t>SRC-06 C27: four of the eight pivotal passages checked in v2 were only partly supported (V2 and V3 with a CANNOT DETERMINE component).</t>
        </is>
      </c>
      <c r="U95"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95" s="6" t="inlineStr">
        <is>
          <t>Each undetermined component resolved or labelled.</t>
        </is>
      </c>
      <c r="W95" s="6" t="inlineStr"/>
      <c r="X95" s="6" t="inlineStr"/>
      <c r="Y95" s="6" t="inlineStr"/>
      <c r="Z95" s="6" t="inlineStr"/>
      <c r="AA95" s="6" t="inlineStr"/>
      <c r="AB95" s="6" t="inlineStr">
        <is>
          <t>RECORD+DATA</t>
        </is>
      </c>
      <c r="AC95" s="6" t="inlineStr">
        <is>
          <t>n/a (sub-item)</t>
        </is>
      </c>
      <c r="AD95" s="6" t="inlineStr">
        <is>
          <t>NEW (SRC-11 sub-row)</t>
        </is>
      </c>
      <c r="AE95" s="6" t="inlineStr">
        <is>
          <t>2026-10-20</t>
        </is>
      </c>
      <c r="AF95" s="6" t="inlineStr">
        <is>
          <t>grep of design/package-v3 and design/package-v4 01-05 (lead, 2026-10-20)</t>
        </is>
      </c>
      <c r="AG95" s="6" t="inlineStr">
        <is>
          <t>C-S03/DEFUSAGE is answered, or a claim depends on a V2, V3, V6 or V8 passage</t>
        </is>
      </c>
      <c r="AH95" s="6" t="inlineStr">
        <is>
          <t>No</t>
        </is>
      </c>
      <c r="AI95" s="6" t="inlineStr"/>
      <c r="AJ95" s="6" t="inlineStr">
        <is>
          <t>SRC-11 section D4</t>
        </is>
      </c>
      <c r="AK95" s="6" t="inlineStr">
        <is>
          <t>SRC-06 C27</t>
        </is>
      </c>
      <c r="AL95" s="6" t="inlineStr">
        <is>
          <t>S15</t>
        </is>
      </c>
    </row>
    <row r="96" ht="300" customHeight="1">
      <c r="A96" s="5" t="inlineStr">
        <is>
          <t>C-R03/ROUND45-W</t>
        </is>
      </c>
      <c r="B96" s="6" t="inlineStr">
        <is>
          <t>Three wording problems in 05 rounds 4-5: in-sample AutoTailor, BFCL correlation, 'first measured cost effect of persisted memory'</t>
        </is>
      </c>
      <c r="C96" s="6" t="inlineStr">
        <is>
          <t>PARTLY ANSWERED</t>
        </is>
      </c>
      <c r="D96" s="6">
        <f>IFERROR(INDEX(Lists!$B$2:$B$14,MATCH(C96,Lists!$A$2:$A$14,0)),"?")</f>
        <v/>
      </c>
      <c r="E96" s="6">
        <f>IF(COUNTIFS(Links!$B$2:$B$600,A96,Links!$E$2:$E$600,"Yes")&gt;0,"REVISE","")</f>
        <v/>
      </c>
      <c r="F96" s="6">
        <f>COUNTIFS(Links!$B$2:$B$600,A96,Links!$D$2:$D$600,"No",Links!$C$2:$C$600,"&lt;&gt;INFORMS")</f>
        <v/>
      </c>
      <c r="G96" s="8" t="inlineStr">
        <is>
          <t>RECORDS-AT-HAND</t>
        </is>
      </c>
      <c r="H96" s="6" t="inlineStr">
        <is>
          <t>K17 Record repair &amp; procedure error</t>
        </is>
      </c>
      <c r="I96" s="6" t="inlineStr">
        <is>
          <t>G4 Before claims</t>
        </is>
      </c>
      <c r="J96" s="6" t="inlineStr">
        <is>
          <t>Normal</t>
        </is>
      </c>
      <c r="K96" s="6" t="n">
        <v>157</v>
      </c>
      <c r="L96" s="6" t="inlineStr">
        <is>
          <t>W2 Desk work (no model runs)</t>
        </is>
      </c>
      <c r="M96" s="6" t="inlineStr">
        <is>
          <t>S15</t>
        </is>
      </c>
      <c r="N96" s="6" t="inlineStr">
        <is>
          <t>Lead drafts, you approve</t>
        </is>
      </c>
      <c r="O96" s="6" t="inlineStr">
        <is>
          <t>You approve the replacement wording</t>
        </is>
      </c>
      <c r="P96" s="6" t="inlineStr">
        <is>
          <t>Answered (see basis)</t>
        </is>
      </c>
      <c r="Q96" s="6" t="inlineStr">
        <is>
          <t>Record fix</t>
        </is>
      </c>
      <c r="R96" s="6" t="inlineStr">
        <is>
          <t>Sub-item</t>
        </is>
      </c>
      <c r="S96" s="6" t="inlineStr">
        <is>
          <t>C-R03/ROUND45</t>
        </is>
      </c>
      <c r="T96"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96"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96" s="6" t="inlineStr">
        <is>
          <t>05 states the in-sample calibration, hedges or recomputes the correlation without degenerate rows, and narrows the 'first' claim, or a successor note records it.</t>
        </is>
      </c>
      <c r="W96" s="6" t="inlineStr"/>
      <c r="X96" s="6" t="inlineStr"/>
      <c r="Y96" s="6" t="inlineStr"/>
      <c r="Z96" s="6" t="inlineStr"/>
      <c r="AA96" s="6" t="inlineStr"/>
      <c r="AB96" s="6" t="inlineStr">
        <is>
          <t>RECORD+DEC</t>
        </is>
      </c>
      <c r="AC96" s="6" t="inlineStr">
        <is>
          <t>n/a (sub-item)</t>
        </is>
      </c>
      <c r="AD96" s="6" t="inlineStr">
        <is>
          <t>NEW (repo sweep)</t>
        </is>
      </c>
      <c r="AE96" s="6" t="inlineStr">
        <is>
          <t>2026-10-20</t>
        </is>
      </c>
      <c r="AF96" s="6" t="inlineStr">
        <is>
          <t>design/package-v4/06-corrections-proposed.md section 3b; reviews/RV-0014.md, RV-0015.md, RV-0016.md (fresh reviewers, same model family, each read the source texts; RV-0014 and RV-0016 ended at their turn limit, drafts)</t>
        </is>
      </c>
      <c r="AG96" s="6" t="inlineStr"/>
      <c r="AH96" s="6" t="inlineStr">
        <is>
          <t>No (editing needs the human's approval)</t>
        </is>
      </c>
      <c r="AI96" s="6" t="inlineStr"/>
      <c r="AJ96" s="6" t="inlineStr">
        <is>
          <t>RV-0010 (Reviewer 6b2)</t>
        </is>
      </c>
      <c r="AK96" s="6" t="inlineStr"/>
      <c r="AL96" s="6" t="inlineStr">
        <is>
          <t>S15</t>
        </is>
      </c>
    </row>
    <row r="97" ht="300" customHeight="1">
      <c r="A97" s="5" t="inlineStr">
        <is>
          <t>C-R03/STUB</t>
        </is>
      </c>
      <c r="B97" s="6" t="inlineStr">
        <is>
          <t>Stub-schema effect on the 292K figure and 'Claude Code corpus' wording unverifiable</t>
        </is>
      </c>
      <c r="C97" s="6" t="inlineStr">
        <is>
          <t>DEFERRED</t>
        </is>
      </c>
      <c r="D97" s="6">
        <f>IFERROR(INDEX(Lists!$B$2:$B$14,MATCH(C97,Lists!$A$2:$A$14,0)),"?")</f>
        <v/>
      </c>
      <c r="E97" s="6">
        <f>IF(COUNTIFS(Links!$B$2:$B$600,A97,Links!$E$2:$E$600,"Yes")&gt;0,"REVISE","")</f>
        <v/>
      </c>
      <c r="F97" s="6">
        <f>COUNTIFS(Links!$B$2:$B$600,A97,Links!$D$2:$D$600,"No",Links!$C$2:$C$600,"&lt;&gt;INFORMS")</f>
        <v/>
      </c>
      <c r="G97" s="14" t="inlineStr">
        <is>
          <t>SOURCE-REREAD</t>
        </is>
      </c>
      <c r="H97" s="6" t="inlineStr">
        <is>
          <t>K17 Record repair &amp; procedure error</t>
        </is>
      </c>
      <c r="I97" s="6" t="inlineStr">
        <is>
          <t>G4 Before claims</t>
        </is>
      </c>
      <c r="J97" s="6" t="inlineStr">
        <is>
          <t>Normal</t>
        </is>
      </c>
      <c r="K97" s="6" t="n">
        <v>159</v>
      </c>
      <c r="L97" s="6" t="inlineStr">
        <is>
          <t>W2 Desk work (no model runs)</t>
        </is>
      </c>
      <c r="M97" s="6" t="inlineStr">
        <is>
          <t>S15</t>
        </is>
      </c>
      <c r="N97" s="6" t="inlineStr">
        <is>
          <t>Lead + fresh reviewer</t>
        </is>
      </c>
      <c r="O97" s="6" t="inlineStr">
        <is>
          <t>none until the trigger fires</t>
        </is>
      </c>
      <c r="P97" s="6" t="inlineStr">
        <is>
          <t>Yes - stored text, unread</t>
        </is>
      </c>
      <c r="Q97" s="6" t="inlineStr">
        <is>
          <t>Record fix</t>
        </is>
      </c>
      <c r="R97" s="6" t="inlineStr">
        <is>
          <t>Sub-item</t>
        </is>
      </c>
      <c r="S97" s="6" t="inlineStr">
        <is>
          <t>C-R03</t>
        </is>
      </c>
      <c r="T97"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97"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97" s="6" t="inlineStr">
        <is>
          <t>Each checked in the stored texts (s4c-g2-dynamicmcpbench, r3-promcp, r3-complexmcp).</t>
        </is>
      </c>
      <c r="W97" s="6" t="inlineStr"/>
      <c r="X97" s="6" t="inlineStr"/>
      <c r="Y97" s="6" t="inlineStr"/>
      <c r="Z97" s="6" t="inlineStr"/>
      <c r="AA97" s="6" t="inlineStr"/>
      <c r="AB97" s="6" t="inlineStr">
        <is>
          <t>RECORD+SOURCE</t>
        </is>
      </c>
      <c r="AC97" s="6" t="inlineStr">
        <is>
          <t>n/a (sub-item)</t>
        </is>
      </c>
      <c r="AD97" s="6" t="inlineStr">
        <is>
          <t>NEW (repo sweep)</t>
        </is>
      </c>
      <c r="AE97" s="6" t="inlineStr">
        <is>
          <t>2026-10-20</t>
        </is>
      </c>
      <c r="AF97" s="6" t="inlineStr">
        <is>
          <t>grep of design/package-v3 and design/package-v4 01-05 (lead, 2026-10-20)</t>
        </is>
      </c>
      <c r="AG97" s="6" t="inlineStr">
        <is>
          <t>The stub share or the effect on the 292k figure is to be used, or the phrase 'Claude Code corpus' is quoted</t>
        </is>
      </c>
      <c r="AH97" s="6" t="inlineStr">
        <is>
          <t>No</t>
        </is>
      </c>
      <c r="AI97" s="6" t="inlineStr"/>
      <c r="AJ97" s="6" t="inlineStr">
        <is>
          <t>repo: v4-03 section 6 / RV-0005 / RV-0007</t>
        </is>
      </c>
      <c r="AK97" s="6" t="inlineStr">
        <is>
          <t>SUM-0004</t>
        </is>
      </c>
      <c r="AL97" s="6" t="inlineStr">
        <is>
          <t>S15</t>
        </is>
      </c>
    </row>
    <row r="98" ht="300" customHeight="1">
      <c r="A98" s="5" t="inlineStr">
        <is>
          <t>N-17</t>
        </is>
      </c>
      <c r="B98" s="6" t="inlineStr">
        <is>
          <t>Challenge-record hygiene: 24 CH records still 'open'; fixes reported applied</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160</v>
      </c>
      <c r="L98" s="6" t="inlineStr">
        <is>
          <t>W2 Desk work (no model runs)</t>
        </is>
      </c>
      <c r="M98" s="6" t="inlineStr">
        <is>
          <t>S15</t>
        </is>
      </c>
      <c r="N98" s="6" t="inlineStr">
        <is>
          <t>Lead + fresh reviewer</t>
        </is>
      </c>
      <c r="O98" s="6" t="inlineStr">
        <is>
          <t>Draft the answers to the ten residual records (rows N-17/UNANSWERED, N-17/WORDING) for your approval</t>
        </is>
      </c>
      <c r="P98" s="6" t="inlineStr">
        <is>
          <t>Answered (see basis)</t>
        </is>
      </c>
      <c r="Q98" s="6" t="inlineStr">
        <is>
          <t>Record fix</t>
        </is>
      </c>
      <c r="R98" s="6" t="inlineStr">
        <is>
          <t>Item</t>
        </is>
      </c>
      <c r="S98" s="6" t="inlineStr"/>
      <c r="T98" s="6" t="inlineStr">
        <is>
          <t>24 challenge records have front-matter status 'open' (CH-0038, 0040-0043, 0049, 0055, 0058-0074) although dispositions were reported applied in WD-022/023 and v4-05; the challenger did not re-check rounds 3-5 text; 49 others are 'conceded', 1 'withdrawn'.</t>
        </is>
      </c>
      <c r="U98"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98" s="6" t="inlineStr">
        <is>
          <t>Each record's status matches the text, with an independent re-check of the edits.</t>
        </is>
      </c>
      <c r="W98" s="6" t="inlineStr"/>
      <c r="X98" s="6" t="inlineStr"/>
      <c r="Y98" s="6" t="inlineStr"/>
      <c r="Z98" s="6" t="inlineStr"/>
      <c r="AA98" s="6" t="inlineStr"/>
      <c r="AB98" s="6" t="inlineStr">
        <is>
          <t>RECORD</t>
        </is>
      </c>
      <c r="AC98" s="6" t="inlineStr">
        <is>
          <t>n/a (new)</t>
        </is>
      </c>
      <c r="AD98" s="6" t="inlineStr">
        <is>
          <t>NEW (repo sweep)</t>
        </is>
      </c>
      <c r="AE98" s="6" t="inlineStr">
        <is>
          <t>2026-10-19</t>
        </is>
      </c>
      <c r="AF98" s="6" t="inlineStr">
        <is>
          <t>challenges/CH-0038..0071 (14 files, status and status_note lines); ops/AUTHORIZATIONS.md AUTH-017 (human, 2026-10-19); reviews/RV-0008.md</t>
        </is>
      </c>
      <c r="AG98" s="6" t="inlineStr"/>
      <c r="AH98" s="6" t="inlineStr">
        <is>
          <t>No</t>
        </is>
      </c>
      <c r="AI98" s="6" t="inlineStr"/>
      <c r="AJ98" s="6" t="inlineStr">
        <is>
          <t>repo: challenges/, reviews/RV-0005..0007</t>
        </is>
      </c>
      <c r="AK98" s="6" t="inlineStr">
        <is>
          <t>CH-0058, CH-0064, CH-0068, CH-0071, CH-0074, CH-0049, CH-0055</t>
        </is>
      </c>
      <c r="AL98" s="6" t="inlineStr">
        <is>
          <t>S15</t>
        </is>
      </c>
    </row>
    <row r="99" ht="290.5" customHeight="1">
      <c r="A99" s="5" t="inlineStr">
        <is>
          <t>N-17/UNANSWERED</t>
        </is>
      </c>
      <c r="B99" s="6" t="inlineStr">
        <is>
          <t>Eight objections in the 24 open challenge records are answered nowhere</t>
        </is>
      </c>
      <c r="C99" s="6" t="inlineStr">
        <is>
          <t>PARTLY ANSWERED</t>
        </is>
      </c>
      <c r="D99" s="6">
        <f>IFERROR(INDEX(Lists!$B$2:$B$14,MATCH(C99,Lists!$A$2:$A$14,0)),"?")</f>
        <v/>
      </c>
      <c r="E99" s="6">
        <f>IF(COUNTIFS(Links!$B$2:$B$600,A99,Links!$E$2:$E$600,"Yes")&gt;0,"REVISE","")</f>
        <v/>
      </c>
      <c r="F99" s="6">
        <f>COUNTIFS(Links!$B$2:$B$600,A99,Links!$D$2:$D$600,"No",Links!$C$2:$C$600,"&lt;&gt;INFORMS")</f>
        <v/>
      </c>
      <c r="G99" s="8" t="inlineStr">
        <is>
          <t>RECORDS-AT-HAND</t>
        </is>
      </c>
      <c r="H99" s="6" t="inlineStr">
        <is>
          <t>K17 Record repair &amp; procedure error</t>
        </is>
      </c>
      <c r="I99" s="6" t="inlineStr">
        <is>
          <t>G4 Before claims</t>
        </is>
      </c>
      <c r="J99" s="6" t="inlineStr">
        <is>
          <t>Normal</t>
        </is>
      </c>
      <c r="K99" s="6" t="n">
        <v>162</v>
      </c>
      <c r="L99" s="6" t="inlineStr">
        <is>
          <t>W2 Desk work (no model runs)</t>
        </is>
      </c>
      <c r="M99" s="6" t="inlineStr">
        <is>
          <t>S15</t>
        </is>
      </c>
      <c r="N99" s="6" t="inlineStr">
        <is>
          <t>Lead drafts, you approve</t>
        </is>
      </c>
      <c r="O99" s="6" t="inlineStr">
        <is>
          <t>You approve the drafting items and take or hand on the three decisions</t>
        </is>
      </c>
      <c r="P99" s="6" t="inlineStr">
        <is>
          <t>Answered (see basis)</t>
        </is>
      </c>
      <c r="Q99" s="6" t="inlineStr">
        <is>
          <t>Record fix</t>
        </is>
      </c>
      <c r="R99" s="6" t="inlineStr">
        <is>
          <t>Sub-item</t>
        </is>
      </c>
      <c r="S99" s="6" t="inlineStr">
        <is>
          <t>N-17</t>
        </is>
      </c>
      <c r="T99"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99"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99" s="6" t="inlineStr">
        <is>
          <t>Each objection is answered in the operative text, or recorded as accepted limitation or not applicable.</t>
        </is>
      </c>
      <c r="W99" s="6" t="inlineStr"/>
      <c r="X99" s="6" t="inlineStr"/>
      <c r="Y99" s="6" t="inlineStr"/>
      <c r="Z99" s="6" t="inlineStr"/>
      <c r="AA99" s="6" t="inlineStr"/>
      <c r="AB99" s="6" t="inlineStr">
        <is>
          <t>RECORD+DEC</t>
        </is>
      </c>
      <c r="AC99" s="6" t="inlineStr">
        <is>
          <t>n/a (sub-item)</t>
        </is>
      </c>
      <c r="AD99" s="6" t="inlineStr">
        <is>
          <t>NEW (repo sweep)</t>
        </is>
      </c>
      <c r="AE99" s="6" t="inlineStr">
        <is>
          <t>2026-10-20</t>
        </is>
      </c>
      <c r="AF99" s="6" t="inlineStr">
        <is>
          <t>design/package-v4/06-corrections-proposed.md section 4; reviews/RV-0008.md</t>
        </is>
      </c>
      <c r="AG99" s="6" t="inlineStr"/>
      <c r="AH99" s="6" t="inlineStr">
        <is>
          <t>No (editing needs the human's approval)</t>
        </is>
      </c>
      <c r="AI99" s="6" t="inlineStr"/>
      <c r="AJ99" s="6" t="inlineStr">
        <is>
          <t>RV-0008 (Reviewer 6a)</t>
        </is>
      </c>
      <c r="AK99" s="6" t="inlineStr"/>
      <c r="AL99" s="6" t="inlineStr">
        <is>
          <t>S15</t>
        </is>
      </c>
    </row>
    <row r="100" ht="300" customHeight="1">
      <c r="A100" s="5" t="inlineStr">
        <is>
          <t>N-17/WORDING</t>
        </is>
      </c>
      <c r="B100" s="6" t="inlineStr">
        <is>
          <t>Unhedged 'real gap' wording and three different counts in the literature summary and brief</t>
        </is>
      </c>
      <c r="C100" s="6" t="inlineStr">
        <is>
          <t>PARTLY ANSWERED</t>
        </is>
      </c>
      <c r="D100" s="6">
        <f>IFERROR(INDEX(Lists!$B$2:$B$14,MATCH(C100,Lists!$A$2:$A$14,0)),"?")</f>
        <v/>
      </c>
      <c r="E100" s="6">
        <f>IF(COUNTIFS(Links!$B$2:$B$600,A100,Links!$E$2:$E$600,"Yes")&gt;0,"REVISE","")</f>
        <v/>
      </c>
      <c r="F100" s="6">
        <f>COUNTIFS(Links!$B$2:$B$600,A100,Links!$D$2:$D$600,"No",Links!$C$2:$C$600,"&lt;&gt;INFORMS")</f>
        <v/>
      </c>
      <c r="G100" s="8" t="inlineStr">
        <is>
          <t>RECORDS-AT-HAND</t>
        </is>
      </c>
      <c r="H100" s="6" t="inlineStr">
        <is>
          <t>K17 Record repair &amp; procedure error</t>
        </is>
      </c>
      <c r="I100" s="6" t="inlineStr">
        <is>
          <t>G4 Before claims</t>
        </is>
      </c>
      <c r="J100" s="6" t="inlineStr">
        <is>
          <t>Normal</t>
        </is>
      </c>
      <c r="K100" s="6" t="n">
        <v>163</v>
      </c>
      <c r="L100" s="6" t="inlineStr">
        <is>
          <t>W2 Desk work (no model runs)</t>
        </is>
      </c>
      <c r="M100" s="6" t="inlineStr">
        <is>
          <t>S15</t>
        </is>
      </c>
      <c r="N100" s="6" t="inlineStr">
        <is>
          <t>Lead drafts, you approve</t>
        </is>
      </c>
      <c r="O100" s="6" t="inlineStr">
        <is>
          <t>You approve the replacement wording</t>
        </is>
      </c>
      <c r="P100" s="6" t="inlineStr">
        <is>
          <t>Answered (see basis)</t>
        </is>
      </c>
      <c r="Q100" s="6" t="inlineStr">
        <is>
          <t>Record fix</t>
        </is>
      </c>
      <c r="R100" s="6" t="inlineStr">
        <is>
          <t>Sub-item</t>
        </is>
      </c>
      <c r="S100" s="6" t="inlineStr">
        <is>
          <t>N-17</t>
        </is>
      </c>
      <c r="T100"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00"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100" s="6" t="inlineStr">
        <is>
          <t>The brief and 05 carry hedged wording ('no source found' not 'real gap') and one consistent count, or a successor note records both.</t>
        </is>
      </c>
      <c r="W100" s="6" t="inlineStr"/>
      <c r="X100" s="6" t="inlineStr"/>
      <c r="Y100" s="6" t="inlineStr"/>
      <c r="Z100" s="6" t="inlineStr"/>
      <c r="AA100" s="6" t="inlineStr"/>
      <c r="AB100" s="6" t="inlineStr">
        <is>
          <t>RECORD+DEC</t>
        </is>
      </c>
      <c r="AC100" s="6" t="inlineStr">
        <is>
          <t>n/a (sub-item)</t>
        </is>
      </c>
      <c r="AD100" s="6" t="inlineStr">
        <is>
          <t>NEW (repo sweep)</t>
        </is>
      </c>
      <c r="AE100" s="6" t="inlineStr">
        <is>
          <t>2026-10-20</t>
        </is>
      </c>
      <c r="AF100" s="6" t="inlineStr">
        <is>
          <t>design/package-v4/06-corrections-proposed.md section 3b</t>
        </is>
      </c>
      <c r="AG100" s="6" t="inlineStr"/>
      <c r="AH100" s="6" t="inlineStr">
        <is>
          <t>No (editing needs the human's approval)</t>
        </is>
      </c>
      <c r="AI100" s="6" t="inlineStr"/>
      <c r="AJ100" s="6" t="inlineStr">
        <is>
          <t>RV-0008 (Reviewer 6a) and lead check</t>
        </is>
      </c>
      <c r="AK100" s="6" t="inlineStr"/>
      <c r="AL100" s="6" t="inlineStr">
        <is>
          <t>S15</t>
        </is>
      </c>
    </row>
    <row r="101" ht="103" customHeight="1">
      <c r="A101" s="5" t="inlineStr">
        <is>
          <t>C-D09</t>
        </is>
      </c>
      <c r="B101" s="6" t="inlineStr">
        <is>
          <t>Authorization to run any experiment, smoke run or script (V3 E1-E8).</t>
        </is>
      </c>
      <c r="C101" s="6" t="inlineStr">
        <is>
          <t>OPEN</t>
        </is>
      </c>
      <c r="D101" s="6">
        <f>IFERROR(INDEX(Lists!$B$2:$B$14,MATCH(C101,Lists!$A$2:$A$14,0)),"?")</f>
        <v/>
      </c>
      <c r="E101" s="6">
        <f>IF(COUNTIFS(Links!$B$2:$B$600,A101,Links!$E$2:$E$600,"Yes")&gt;0,"REVISE","")</f>
        <v/>
      </c>
      <c r="F101" s="6">
        <f>COUNTIFS(Links!$B$2:$B$600,A101,Links!$D$2:$D$600,"No",Links!$C$2:$C$600,"&lt;&gt;INFORMS")</f>
        <v/>
      </c>
      <c r="G101" s="9" t="inlineStr">
        <is>
          <t>USER-DECISION</t>
        </is>
      </c>
      <c r="H101" s="6" t="inlineStr">
        <is>
          <t>K6 Deliverable &amp; authorization</t>
        </is>
      </c>
      <c r="I101" s="6" t="inlineStr">
        <is>
          <t>G1 Before any implementation</t>
        </is>
      </c>
      <c r="J101" s="6" t="inlineStr">
        <is>
          <t>High</t>
        </is>
      </c>
      <c r="K101" s="6" t="n">
        <v>165</v>
      </c>
      <c r="L101" s="6" t="inlineStr">
        <is>
          <t>W3 Pilots (AUTH)</t>
        </is>
      </c>
      <c r="M101" s="6" t="inlineStr">
        <is>
          <t>S16</t>
        </is>
      </c>
      <c r="N101" s="6" t="inlineStr">
        <is>
          <t>You (v4 also wants the supervisor's approval and a budget)</t>
        </is>
      </c>
      <c r="O101" s="6" t="inlineStr">
        <is>
          <t>Authorize the first experiment (Q-U14)</t>
        </is>
      </c>
      <c r="P101" s="6" t="inlineStr">
        <is>
          <t>n/a</t>
        </is>
      </c>
      <c r="Q101" s="6" t="inlineStr">
        <is>
          <t>Decision</t>
        </is>
      </c>
      <c r="R101" s="6" t="inlineStr">
        <is>
          <t>Item</t>
        </is>
      </c>
      <c r="S101" s="6" t="inlineStr"/>
      <c r="T101" s="6" t="inlineStr">
        <is>
          <t>Authorization to run any experiment, smoke run or script (V3 E1-E8).</t>
        </is>
      </c>
      <c r="U101"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101" s="6" t="inlineStr">
        <is>
          <t>An AUTH row per pilot with provider, model, budget cap and what is recorded.</t>
        </is>
      </c>
      <c r="W101" s="6" t="inlineStr">
        <is>
          <t>C-D05, C-D08</t>
        </is>
      </c>
      <c r="X101" s="6" t="inlineStr">
        <is>
          <t>C-D13, C-D11</t>
        </is>
      </c>
      <c r="Y101" s="6" t="inlineStr">
        <is>
          <t>Q-J17, Q-U06, Q-U14</t>
        </is>
      </c>
      <c r="Z101" s="6" t="inlineStr">
        <is>
          <t>JOAA-DECISION</t>
        </is>
      </c>
      <c r="AA101" s="6" t="inlineStr">
        <is>
          <t>K11 End-to-end comparison</t>
        </is>
      </c>
      <c r="AB101" s="6" t="inlineStr">
        <is>
          <t>DEC</t>
        </is>
      </c>
      <c r="AC101" s="6" t="inlineStr">
        <is>
          <t>OPEN</t>
        </is>
      </c>
      <c r="AD101" s="6" t="inlineStr">
        <is>
          <t>UNCHANGED</t>
        </is>
      </c>
      <c r="AE101" s="6" t="inlineStr">
        <is>
          <t>2026-10-21</t>
        </is>
      </c>
      <c r="AF101" s="6" t="inlineStr">
        <is>
          <t>INT-T-002 (requirements/intake/2026-10-21-supervisor-meeting-2026-10-21-notes-and-transcript.md); mapping design/ledger/notes/MEETINGS-MAPPING-20261021.md checked line by line by FND-0035 and FND-0036; REGISTER section H</t>
        </is>
      </c>
      <c r="AG101" s="6" t="inlineStr"/>
      <c r="AH101" s="6" t="inlineStr">
        <is>
          <t>This is the AUTH</t>
        </is>
      </c>
      <c r="AI101" s="6" t="inlineStr"/>
      <c r="AJ101" s="6" t="inlineStr">
        <is>
          <t>SRC-11 canonical</t>
        </is>
      </c>
      <c r="AK101" s="6" t="inlineStr">
        <is>
          <t>SRC-06 D12, SRC-07 11</t>
        </is>
      </c>
      <c r="AL101" s="6" t="inlineStr">
        <is>
          <t>S16</t>
        </is>
      </c>
    </row>
    <row r="102" ht="40.5" customHeight="1">
      <c r="A102" s="5" t="inlineStr">
        <is>
          <t>C-S16</t>
        </is>
      </c>
      <c r="B102" s="6" t="inlineStr">
        <is>
          <t>Evaluation-vehicle biases (replay routes, stub distractors, 12-turn cap, reference-consistent subset) have ...</t>
        </is>
      </c>
      <c r="C102" s="6" t="inlineStr">
        <is>
          <t>OPEN</t>
        </is>
      </c>
      <c r="D102" s="6">
        <f>IFERROR(INDEX(Lists!$B$2:$B$14,MATCH(C102,Lists!$A$2:$A$14,0)),"?")</f>
        <v/>
      </c>
      <c r="E102" s="6">
        <f>IF(COUNTIFS(Links!$B$2:$B$600,A102,Links!$E$2:$E$600,"Yes")&gt;0,"REVISE","")</f>
        <v/>
      </c>
      <c r="F102" s="6">
        <f>COUNTIFS(Links!$B$2:$B$600,A102,Links!$D$2:$D$600,"No",Links!$C$2:$C$600,"&lt;&gt;INFORMS")</f>
        <v/>
      </c>
      <c r="G102" s="17" t="inlineStr">
        <is>
          <t>TEST-PILOT</t>
        </is>
      </c>
      <c r="H102" s="6" t="inlineStr">
        <is>
          <t>K13 Vehicle validity</t>
        </is>
      </c>
      <c r="I102" s="6" t="inlineStr">
        <is>
          <t>G2 Before the affected pilot/arm</t>
        </is>
      </c>
      <c r="J102" s="6" t="inlineStr">
        <is>
          <t>High</t>
        </is>
      </c>
      <c r="K102" s="6" t="n">
        <v>166</v>
      </c>
      <c r="L102" s="6" t="inlineStr">
        <is>
          <t>W3 Pilots (AUTH)</t>
        </is>
      </c>
      <c r="M102" s="6" t="inlineStr">
        <is>
          <t>S17</t>
        </is>
      </c>
      <c r="N102" s="6" t="inlineStr">
        <is>
          <t>Team</t>
        </is>
      </c>
      <c r="O102" s="6" t="inlineStr">
        <is>
          <t>Needs an AUTH and a protocol</t>
        </is>
      </c>
      <c r="P102" s="6" t="inlineStr">
        <is>
          <t>Partly</t>
        </is>
      </c>
      <c r="Q102" s="6" t="inlineStr">
        <is>
          <t>Scientific unknown</t>
        </is>
      </c>
      <c r="R102" s="6" t="inlineStr">
        <is>
          <t>Item</t>
        </is>
      </c>
      <c r="S102" s="6" t="inlineStr"/>
      <c r="T102" s="6" t="inlineStr">
        <is>
          <t>Evaluation-vehicle biases (replay routes, stub distractors, 12-turn cap, reference-consistent subset) have no measured effect.</t>
        </is>
      </c>
      <c r="U102" s="6" t="inlineStr">
        <is>
          <t>Documented (CAVEATS 3-4; 1,578 of 1,845 specs reference-consistent) but not run.</t>
        </is>
      </c>
      <c r="V102" s="6" t="inlineStr">
        <is>
          <t>Smoke run if the vehicle will carry a claim; otherwise limitation stated with scope.</t>
        </is>
      </c>
      <c r="W102" s="6" t="inlineStr">
        <is>
          <t>C-D08, C-D09</t>
        </is>
      </c>
      <c r="X102" s="6" t="inlineStr"/>
      <c r="Y102" s="6" t="inlineStr">
        <is>
          <t>Q-U03</t>
        </is>
      </c>
      <c r="Z102" s="6" t="inlineStr">
        <is>
          <t>ACCEPT-LIMITATION</t>
        </is>
      </c>
      <c r="AA102" s="6" t="inlineStr"/>
      <c r="AB102" s="6" t="inlineStr">
        <is>
          <t>DATA+BOUND</t>
        </is>
      </c>
      <c r="AC102" s="6" t="inlineStr">
        <is>
          <t>OPEN</t>
        </is>
      </c>
      <c r="AD102" s="6" t="inlineStr">
        <is>
          <t>UNCHANGED</t>
        </is>
      </c>
      <c r="AE102" s="6" t="inlineStr">
        <is>
          <t>2026-10-19</t>
        </is>
      </c>
      <c r="AF102" s="6" t="inlineStr">
        <is>
          <t>CAVEATS rows 3-4; v4-02 section 7</t>
        </is>
      </c>
      <c r="AG102" s="6" t="inlineStr"/>
      <c r="AH102" s="6" t="inlineStr">
        <is>
          <t>Yes</t>
        </is>
      </c>
      <c r="AI102" s="6" t="inlineStr"/>
      <c r="AJ102" s="6" t="inlineStr">
        <is>
          <t>SRC-11 canonical</t>
        </is>
      </c>
      <c r="AK102" s="6" t="inlineStr">
        <is>
          <t>SRC-06 S34, CAVEATS 3, CAVEATS 4</t>
        </is>
      </c>
      <c r="AL102" s="6" t="inlineStr">
        <is>
          <t>S17</t>
        </is>
      </c>
    </row>
    <row r="103" ht="28" customHeight="1">
      <c r="A103" s="5" t="inlineStr">
        <is>
          <t>C-X08</t>
        </is>
      </c>
      <c r="B103" s="6" t="inlineStr">
        <is>
          <t>Smoke execution of the evaluation vehicle that answers C-S16.</t>
        </is>
      </c>
      <c r="C103" s="6" t="inlineStr">
        <is>
          <t>UNRUN</t>
        </is>
      </c>
      <c r="D103" s="6">
        <f>IFERROR(INDEX(Lists!$B$2:$B$14,MATCH(C103,Lists!$A$2:$A$14,0)),"?")</f>
        <v/>
      </c>
      <c r="E103" s="6">
        <f>IF(COUNTIFS(Links!$B$2:$B$600,A103,Links!$E$2:$E$600,"Yes")&gt;0,"REVISE","")</f>
        <v/>
      </c>
      <c r="F103" s="6">
        <f>COUNTIFS(Links!$B$2:$B$600,A103,Links!$D$2:$D$600,"No",Links!$C$2:$C$600,"&lt;&gt;INFORMS")</f>
        <v/>
      </c>
      <c r="G103" s="17" t="inlineStr">
        <is>
          <t>TEST-PILOT</t>
        </is>
      </c>
      <c r="H103" s="6" t="inlineStr">
        <is>
          <t>K13 Vehicle validity</t>
        </is>
      </c>
      <c r="I103" s="6" t="inlineStr">
        <is>
          <t>G2 Before the affected pilot/arm</t>
        </is>
      </c>
      <c r="J103" s="6" t="inlineStr">
        <is>
          <t>High</t>
        </is>
      </c>
      <c r="K103" s="6" t="n">
        <v>167</v>
      </c>
      <c r="L103" s="6" t="inlineStr">
        <is>
          <t>W3 Pilots (AUTH)</t>
        </is>
      </c>
      <c r="M103" s="6" t="inlineStr">
        <is>
          <t>S17</t>
        </is>
      </c>
      <c r="N103" s="6" t="inlineStr">
        <is>
          <t>Team</t>
        </is>
      </c>
      <c r="O103" s="6" t="inlineStr">
        <is>
          <t>Needs an AUTH and a protocol</t>
        </is>
      </c>
      <c r="P103" s="6" t="inlineStr">
        <is>
          <t>No</t>
        </is>
      </c>
      <c r="Q103" s="6" t="inlineStr">
        <is>
          <t>Test</t>
        </is>
      </c>
      <c r="R103" s="6" t="inlineStr">
        <is>
          <t>Check</t>
        </is>
      </c>
      <c r="S103" s="6" t="inlineStr"/>
      <c r="T103" s="6" t="inlineStr">
        <is>
          <t>Smoke execution of the evaluation vehicle that answers C-S16.</t>
        </is>
      </c>
      <c r="U103" s="6" t="inlineStr">
        <is>
          <t>Not run; do it only if the vehicle will be used and differs from any earlier vehicle.</t>
        </is>
      </c>
      <c r="V103" s="6" t="inlineStr">
        <is>
          <t>Same as C-S16.</t>
        </is>
      </c>
      <c r="W103" s="6" t="inlineStr">
        <is>
          <t>C-D08, C-D09</t>
        </is>
      </c>
      <c r="X103" s="6" t="inlineStr"/>
      <c r="Y103" s="6" t="inlineStr"/>
      <c r="Z103" s="6" t="inlineStr"/>
      <c r="AA103" s="6" t="inlineStr"/>
      <c r="AB103" s="6" t="inlineStr">
        <is>
          <t>DATA</t>
        </is>
      </c>
      <c r="AC103" s="6" t="inlineStr">
        <is>
          <t>NO RESULT - OPEN</t>
        </is>
      </c>
      <c r="AD103" s="6" t="inlineStr">
        <is>
          <t>UNCHANGED</t>
        </is>
      </c>
      <c r="AE103" s="6" t="inlineStr">
        <is>
          <t>2026-10-19</t>
        </is>
      </c>
      <c r="AF103" s="6" t="inlineStr">
        <is>
          <t>CAVEATS rows 3-4</t>
        </is>
      </c>
      <c r="AG103" s="6" t="inlineStr"/>
      <c r="AH103" s="6" t="inlineStr">
        <is>
          <t>Yes</t>
        </is>
      </c>
      <c r="AI103" s="6" t="inlineStr"/>
      <c r="AJ103" s="6" t="inlineStr">
        <is>
          <t>SRC-11 canonical</t>
        </is>
      </c>
      <c r="AK103" s="6" t="inlineStr">
        <is>
          <t>smoke run</t>
        </is>
      </c>
      <c r="AL103" s="6" t="inlineStr">
        <is>
          <t>S17</t>
        </is>
      </c>
    </row>
    <row r="104" ht="290.5" customHeight="1">
      <c r="A104" s="5" t="inlineStr">
        <is>
          <t>C-S03/DEFUSAGE</t>
        </is>
      </c>
      <c r="B104" s="6" t="inlineStr">
        <is>
          <t>Do deferred or withdrawn definitions count in provider usage and the bill?</t>
        </is>
      </c>
      <c r="C104" s="6" t="inlineStr">
        <is>
          <t>PARTLY ANSWERED</t>
        </is>
      </c>
      <c r="D104" s="6">
        <f>IFERROR(INDEX(Lists!$B$2:$B$14,MATCH(C104,Lists!$A$2:$A$14,0)),"?")</f>
        <v/>
      </c>
      <c r="E104" s="6">
        <f>IF(COUNTIFS(Links!$B$2:$B$600,A104,Links!$E$2:$E$600,"Yes")&gt;0,"REVISE","")</f>
        <v/>
      </c>
      <c r="F104" s="6">
        <f>COUNTIFS(Links!$B$2:$B$600,A104,Links!$D$2:$D$600,"No",Links!$C$2:$C$600,"&lt;&gt;INFORMS")</f>
        <v/>
      </c>
      <c r="G104" s="17" t="inlineStr">
        <is>
          <t>TEST-PILOT</t>
        </is>
      </c>
      <c r="H104" s="6" t="inlineStr">
        <is>
          <t>K9 Cache &amp; billing</t>
        </is>
      </c>
      <c r="I104" s="6" t="inlineStr">
        <is>
          <t>G3 Before confirmatory study</t>
        </is>
      </c>
      <c r="J104" s="6" t="inlineStr">
        <is>
          <t>Normal</t>
        </is>
      </c>
      <c r="K104" s="6" t="n">
        <v>168</v>
      </c>
      <c r="L104" s="6" t="inlineStr">
        <is>
          <t>W3 Pilots (AUTH)</t>
        </is>
      </c>
      <c r="M104" s="6" t="inlineStr">
        <is>
          <t>S18</t>
        </is>
      </c>
      <c r="N104" s="6" t="inlineStr">
        <is>
          <t>Team / provider</t>
        </is>
      </c>
      <c r="O104" s="6" t="inlineStr">
        <is>
          <t>Test only the remainder, in the proof-of-concept loop</t>
        </is>
      </c>
      <c r="P104" s="6" t="inlineStr">
        <is>
          <t>Partly</t>
        </is>
      </c>
      <c r="Q104" s="6" t="inlineStr">
        <is>
          <t>Scientific unknown</t>
        </is>
      </c>
      <c r="R104" s="6" t="inlineStr">
        <is>
          <t>Sub-item</t>
        </is>
      </c>
      <c r="S104" s="6" t="inlineStr">
        <is>
          <t>C-S03</t>
        </is>
      </c>
      <c r="T104" s="6" t="inlineStr">
        <is>
          <t>Whether provider-reported usage and billing count deferred or withdrawn definitions is not stated in any stored extract; v2 steward V2 'CANNOT DETERMINE'; EXT-0009 says every definition is still sent in the tools array each request.</t>
        </is>
      </c>
      <c r="U104"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4" s="6" t="inlineStr">
        <is>
          <t>Usage records of a matched pair (with and without a deferred block) on one provider.</t>
        </is>
      </c>
      <c r="W104" s="6" t="inlineStr">
        <is>
          <t>C-D09, C-D08</t>
        </is>
      </c>
      <c r="X104" s="6" t="inlineStr"/>
      <c r="Y104" s="6" t="inlineStr"/>
      <c r="Z104" s="6" t="inlineStr"/>
      <c r="AA104" s="6" t="inlineStr"/>
      <c r="AB104" s="6" t="inlineStr">
        <is>
          <t>DATA+SOURCE</t>
        </is>
      </c>
      <c r="AC104" s="6" t="inlineStr">
        <is>
          <t>n/a (sub-item)</t>
        </is>
      </c>
      <c r="AD104" s="6" t="inlineStr">
        <is>
          <t>NEW (SRC-11 sub-row)</t>
        </is>
      </c>
      <c r="AE104" s="6" t="inlineStr">
        <is>
          <t>2026-10-21</t>
        </is>
      </c>
      <c r="AF104" s="6" t="inlineStr">
        <is>
          <t>FND-0037 (findings/SUM-0039)</t>
        </is>
      </c>
      <c r="AG104" s="6" t="inlineStr"/>
      <c r="AH104" s="6" t="inlineStr">
        <is>
          <t>Yes</t>
        </is>
      </c>
      <c r="AI104" s="6" t="inlineStr"/>
      <c r="AJ104" s="6" t="inlineStr">
        <is>
          <t>repo: v4-05 section 1A / v2-05 / v3-04</t>
        </is>
      </c>
      <c r="AK104" s="6" t="inlineStr">
        <is>
          <t>v2-05 row 3, v3-04 section 5</t>
        </is>
      </c>
      <c r="AL104" s="6" t="inlineStr">
        <is>
          <t>S18</t>
        </is>
      </c>
    </row>
    <row r="105" ht="128" customHeight="1">
      <c r="A105" s="5" t="inlineStr">
        <is>
          <t>C-S06</t>
        </is>
      </c>
      <c r="B105" s="6" t="inlineStr">
        <is>
          <t>Output-side vs definition-side savings, harness variance, model/tokenizer drift: no equal-success controlle...</t>
        </is>
      </c>
      <c r="C105" s="6" t="inlineStr">
        <is>
          <t>PARTLY ANSWERED</t>
        </is>
      </c>
      <c r="D105" s="6">
        <f>IFERROR(INDEX(Lists!$B$2:$B$14,MATCH(C105,Lists!$A$2:$A$14,0)),"?")</f>
        <v/>
      </c>
      <c r="E105" s="6">
        <f>IF(COUNTIFS(Links!$B$2:$B$600,A105,Links!$E$2:$E$600,"Yes")&gt;0,"REVISE","")</f>
        <v/>
      </c>
      <c r="F105" s="6">
        <f>COUNTIFS(Links!$B$2:$B$600,A105,Links!$D$2:$D$600,"No",Links!$C$2:$C$600,"&lt;&gt;INFORMS")</f>
        <v/>
      </c>
      <c r="G105" s="17" t="inlineStr">
        <is>
          <t>TEST-PILOT</t>
        </is>
      </c>
      <c r="H105" s="6" t="inlineStr">
        <is>
          <t>K9 Cache &amp; billing</t>
        </is>
      </c>
      <c r="I105" s="6" t="inlineStr">
        <is>
          <t>G4 Before claims</t>
        </is>
      </c>
      <c r="J105" s="6" t="inlineStr">
        <is>
          <t>Normal</t>
        </is>
      </c>
      <c r="K105" s="6" t="n">
        <v>171</v>
      </c>
      <c r="L105" s="6" t="inlineStr">
        <is>
          <t>W3 Pilots (AUTH)</t>
        </is>
      </c>
      <c r="M105" s="6" t="inlineStr">
        <is>
          <t>S18</t>
        </is>
      </c>
      <c r="N105" s="6" t="inlineStr">
        <is>
          <t>Team</t>
        </is>
      </c>
      <c r="O105" s="6" t="inlineStr">
        <is>
          <t>Test only the remainder, in the proof-of-concept loop</t>
        </is>
      </c>
      <c r="P105" s="6" t="inlineStr">
        <is>
          <t>No</t>
        </is>
      </c>
      <c r="Q105" s="6" t="inlineStr">
        <is>
          <t>Scientific unknown</t>
        </is>
      </c>
      <c r="R105" s="6" t="inlineStr">
        <is>
          <t>Item</t>
        </is>
      </c>
      <c r="S105" s="6" t="inlineStr"/>
      <c r="T105" s="6" t="inlineStr">
        <is>
          <t>Output-side vs definition-side savings, harness variance, model/tokenizer drift: no equal-success controlled comparison.</t>
        </is>
      </c>
      <c r="U105" s="6" t="inlineStr">
        <is>
          <t>Output tokens enter the v4-04 cost model; BFCL cost column varies &gt;10x at similar accuracy (leaderboard snapshot).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5" s="6" t="inlineStr">
        <is>
          <t>Versions fixed; trajectories compared; sensitivity reported (or deferred with trigger).</t>
        </is>
      </c>
      <c r="W105" s="6" t="inlineStr">
        <is>
          <t>C-D09, N-4</t>
        </is>
      </c>
      <c r="X105" s="6" t="inlineStr"/>
      <c r="Y105" s="6" t="inlineStr"/>
      <c r="Z105" s="6" t="inlineStr">
        <is>
          <t>TIME-RECHECK</t>
        </is>
      </c>
      <c r="AA105" s="6" t="inlineStr">
        <is>
          <t>K10 Token composition</t>
        </is>
      </c>
      <c r="AB105" s="6" t="inlineStr">
        <is>
          <t>DATA+TIME</t>
        </is>
      </c>
      <c r="AC105" s="6" t="inlineStr">
        <is>
          <t>OPEN</t>
        </is>
      </c>
      <c r="AD105" s="6" t="inlineStr">
        <is>
          <t>UNCHANGED</t>
        </is>
      </c>
      <c r="AE105" s="6" t="inlineStr">
        <is>
          <t>2026-10-21</t>
        </is>
      </c>
      <c r="AF105" s="6" t="inlineStr">
        <is>
          <t>FND-0037 (findings/SUM-0039)</t>
        </is>
      </c>
      <c r="AG105" s="6" t="inlineStr">
        <is>
          <t>When a provider/model is chosen</t>
        </is>
      </c>
      <c r="AH105" s="6" t="inlineStr">
        <is>
          <t>Yes</t>
        </is>
      </c>
      <c r="AI105" s="6" t="inlineStr"/>
      <c r="AJ105" s="6" t="inlineStr">
        <is>
          <t>SRC-11 canonical</t>
        </is>
      </c>
      <c r="AK105" s="6" t="inlineStr">
        <is>
          <t>SRC-06 S10, SRC-06 S11, SRC-06 S12</t>
        </is>
      </c>
      <c r="AL105" s="6" t="inlineStr">
        <is>
          <t>S18</t>
        </is>
      </c>
    </row>
    <row r="106" ht="115.5" customHeight="1">
      <c r="A106" s="5" t="inlineStr">
        <is>
          <t>N-21</t>
        </is>
      </c>
      <c r="B106" s="6" t="inlineStr">
        <is>
          <t>E1 scope: can E1 end only the token-saving line? (retained disagreement)</t>
        </is>
      </c>
      <c r="C106" s="6" t="inlineStr">
        <is>
          <t>PARTLY ANSWERED</t>
        </is>
      </c>
      <c r="D106" s="6">
        <f>IFERROR(INDEX(Lists!$B$2:$B$14,MATCH(C106,Lists!$A$2:$A$14,0)),"?")</f>
        <v/>
      </c>
      <c r="E106" s="6">
        <f>IF(COUNTIFS(Links!$B$2:$B$600,A106,Links!$E$2:$E$600,"Yes")&gt;0,"REVISE","")</f>
        <v/>
      </c>
      <c r="F106" s="6">
        <f>COUNTIFS(Links!$B$2:$B$600,A106,Links!$D$2:$D$600,"No",Links!$C$2:$C$600,"&lt;&gt;INFORMS")</f>
        <v/>
      </c>
      <c r="G106" s="17" t="inlineStr">
        <is>
          <t>TEST-PILOT</t>
        </is>
      </c>
      <c r="H106" s="6" t="inlineStr">
        <is>
          <t>K10 Token composition</t>
        </is>
      </c>
      <c r="I106" s="6" t="inlineStr">
        <is>
          <t>G3 Before confirmatory study</t>
        </is>
      </c>
      <c r="J106" s="6" t="inlineStr">
        <is>
          <t>Normal</t>
        </is>
      </c>
      <c r="K106" s="6" t="n">
        <v>172</v>
      </c>
      <c r="L106" s="6" t="inlineStr">
        <is>
          <t>W3 Pilots (AUTH)</t>
        </is>
      </c>
      <c r="M106" s="6" t="inlineStr">
        <is>
          <t>S18</t>
        </is>
      </c>
      <c r="N106" s="6" t="inlineStr">
        <is>
          <t>Team + Joaa</t>
        </is>
      </c>
      <c r="O106" s="6" t="inlineStr">
        <is>
          <t>Fold into the first measurement design</t>
        </is>
      </c>
      <c r="P106" s="6" t="inlineStr">
        <is>
          <t>No</t>
        </is>
      </c>
      <c r="Q106" s="6" t="inlineStr">
        <is>
          <t>Disagreement</t>
        </is>
      </c>
      <c r="R106" s="6" t="inlineStr">
        <is>
          <t>Sub-item</t>
        </is>
      </c>
      <c r="S106" s="6" t="inlineStr">
        <is>
          <t>C-S01</t>
        </is>
      </c>
      <c r="T106" s="6" t="inlineStr">
        <is>
          <t>Lead and challenger disagree in part: E1 can end the token-saving question for negligible-share configurations but not the feasibility question; both positions are kept in v4-02 section 8 and v4-03 section 5.</t>
        </is>
      </c>
      <c r="U106" s="6" t="inlineStr">
        <is>
          <t>Retained disagreement; resolved only by the E1 result and a Joaa decision on what 'ends the line' means. 2026-10-21 (AUTH-019): the margin framing behind the disagreement is removed by the human's decision (no margin or budget, INT-T-005 line 16); E1's role is the first measurement of the bill's components as written in DPR-0006, which neither settles nor needs a feasibility margin (FND-0037 (findings/SUM-0039)).</t>
        </is>
      </c>
      <c r="V106" s="6" t="inlineStr">
        <is>
          <t>E1 run; consequence agreed.</t>
        </is>
      </c>
      <c r="W106" s="6" t="inlineStr">
        <is>
          <t>C-D09</t>
        </is>
      </c>
      <c r="X106" s="6" t="inlineStr"/>
      <c r="Y106" s="6" t="inlineStr"/>
      <c r="Z106" s="6" t="inlineStr"/>
      <c r="AA106" s="6" t="inlineStr"/>
      <c r="AB106" s="6" t="inlineStr">
        <is>
          <t>DATA</t>
        </is>
      </c>
      <c r="AC106" s="6" t="inlineStr">
        <is>
          <t>n/a (new)</t>
        </is>
      </c>
      <c r="AD106" s="6" t="inlineStr">
        <is>
          <t>NEW (repo sweep)</t>
        </is>
      </c>
      <c r="AE106" s="6" t="inlineStr">
        <is>
          <t>2026-10-21</t>
        </is>
      </c>
      <c r="AF106" s="6" t="inlineStr">
        <is>
          <t>FND-0037 (findings/SUM-0039); INT-T-005</t>
        </is>
      </c>
      <c r="AG106" s="6" t="inlineStr"/>
      <c r="AH106" s="6" t="inlineStr">
        <is>
          <t>Yes</t>
        </is>
      </c>
      <c r="AI106" s="6" t="inlineStr"/>
      <c r="AJ106" s="6" t="inlineStr">
        <is>
          <t>repo: v4-02 section 8; thread T-20261019-96</t>
        </is>
      </c>
      <c r="AK106" s="6" t="inlineStr"/>
      <c r="AL106" s="6" t="inlineStr">
        <is>
          <t>S18</t>
        </is>
      </c>
    </row>
    <row r="107" ht="190.5" customHeight="1">
      <c r="A107" s="5" t="inlineStr">
        <is>
          <t>C-S01</t>
        </is>
      </c>
      <c r="B107" s="6" t="inlineStr">
        <is>
          <t>What share of tokens in real trajectories is tool definitions vs system prompt, history, tool outputs, by o...</t>
        </is>
      </c>
      <c r="C107" s="6" t="inlineStr">
        <is>
          <t>PARTLY ANSWERED</t>
        </is>
      </c>
      <c r="D107" s="6">
        <f>IFERROR(INDEX(Lists!$B$2:$B$14,MATCH(C107,Lists!$A$2:$A$14,0)),"?")</f>
        <v/>
      </c>
      <c r="E107" s="6">
        <f>IF(COUNTIFS(Links!$B$2:$B$600,A107,Links!$E$2:$E$600,"Yes")&gt;0,"REVISE","")</f>
        <v/>
      </c>
      <c r="F107" s="6">
        <f>COUNTIFS(Links!$B$2:$B$600,A107,Links!$D$2:$D$600,"No",Links!$C$2:$C$600,"&lt;&gt;INFORMS")</f>
        <v/>
      </c>
      <c r="G107" s="17" t="inlineStr">
        <is>
          <t>TEST-PILOT</t>
        </is>
      </c>
      <c r="H107" s="6" t="inlineStr">
        <is>
          <t>K10 Token composition</t>
        </is>
      </c>
      <c r="I107" s="6" t="inlineStr">
        <is>
          <t>G3 Before confirmatory study</t>
        </is>
      </c>
      <c r="J107" s="6" t="inlineStr">
        <is>
          <t>Normal</t>
        </is>
      </c>
      <c r="K107" s="6" t="n">
        <v>173</v>
      </c>
      <c r="L107" s="6" t="inlineStr">
        <is>
          <t>W3 Pilots (AUTH)</t>
        </is>
      </c>
      <c r="M107" s="6" t="inlineStr">
        <is>
          <t>S18</t>
        </is>
      </c>
      <c r="N107" s="6" t="inlineStr">
        <is>
          <t>Team</t>
        </is>
      </c>
      <c r="O107" s="6" t="inlineStr">
        <is>
          <t>Test only the remainder, in the proof-of-concept loop</t>
        </is>
      </c>
      <c r="P107" s="6" t="inlineStr">
        <is>
          <t>No</t>
        </is>
      </c>
      <c r="Q107" s="6" t="inlineStr">
        <is>
          <t>Scientific unknown</t>
        </is>
      </c>
      <c r="R107" s="6" t="inlineStr">
        <is>
          <t>Item</t>
        </is>
      </c>
      <c r="S107" s="6" t="inlineStr"/>
      <c r="T107" s="6" t="inlineStr">
        <is>
          <t>What share of tokens in real trajectories is tool definitions vs system prompt, history, tool outputs, by outcome?</t>
        </is>
      </c>
      <c r="U107"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7" s="6" t="inlineStr">
        <is>
          <t>Per-call provider usage split by category, size and outcome (E1); can end the token-saving line, not the feasibility line.</t>
        </is>
      </c>
      <c r="W107" s="6" t="inlineStr">
        <is>
          <t>C-D09, C-D08, C-S16</t>
        </is>
      </c>
      <c r="X107" s="6" t="inlineStr">
        <is>
          <t>C-D11, C-D02</t>
        </is>
      </c>
      <c r="Y107" s="6" t="inlineStr">
        <is>
          <t>Q-U03</t>
        </is>
      </c>
      <c r="Z107" s="6" t="inlineStr">
        <is>
          <t>DESK-ANALYSIS</t>
        </is>
      </c>
      <c r="AA107" s="6" t="inlineStr">
        <is>
          <t>K9 Cache &amp; billing</t>
        </is>
      </c>
      <c r="AB107" s="6" t="inlineStr">
        <is>
          <t>DATA</t>
        </is>
      </c>
      <c r="AC107" s="6" t="inlineStr">
        <is>
          <t>OPEN</t>
        </is>
      </c>
      <c r="AD107" s="6" t="inlineStr">
        <is>
          <t>UNCHANGED</t>
        </is>
      </c>
      <c r="AE107" s="6" t="inlineStr">
        <is>
          <t>2026-10-21</t>
        </is>
      </c>
      <c r="AF107" s="6" t="inlineStr">
        <is>
          <t>FND-0037 (findings/SUM-0039)</t>
        </is>
      </c>
      <c r="AG107" s="6" t="inlineStr"/>
      <c r="AH107" s="6" t="inlineStr">
        <is>
          <t>Yes</t>
        </is>
      </c>
      <c r="AI107" s="6" t="inlineStr"/>
      <c r="AJ107" s="6" t="inlineStr">
        <is>
          <t>SRC-11 canonical</t>
        </is>
      </c>
      <c r="AK107" s="6" t="inlineStr">
        <is>
          <t>SRC-06 S02, SRC-06 S39, SRC-07 12, v3-04 E1</t>
        </is>
      </c>
      <c r="AL107" s="6" t="inlineStr">
        <is>
          <t>S18</t>
        </is>
      </c>
    </row>
    <row r="108" ht="300" customHeight="1">
      <c r="A108" s="5" t="inlineStr">
        <is>
          <t>C-S03</t>
        </is>
      </c>
      <c r="B108" s="6" t="inlineStr">
        <is>
          <t>Cache and billing behaviour of deferred or appended tool definitions: hit rate, effective multiplier, clien...</t>
        </is>
      </c>
      <c r="C108" s="6" t="inlineStr">
        <is>
          <t>PARTLY ANSWERED</t>
        </is>
      </c>
      <c r="D108" s="6">
        <f>IFERROR(INDEX(Lists!$B$2:$B$14,MATCH(C108,Lists!$A$2:$A$14,0)),"?")</f>
        <v/>
      </c>
      <c r="E108" s="6">
        <f>IF(COUNTIFS(Links!$B$2:$B$600,A108,Links!$E$2:$E$600,"Yes")&gt;0,"REVISE","")</f>
        <v/>
      </c>
      <c r="F108" s="6">
        <f>COUNTIFS(Links!$B$2:$B$600,A108,Links!$D$2:$D$600,"No",Links!$C$2:$C$600,"&lt;&gt;INFORMS")</f>
        <v/>
      </c>
      <c r="G108" s="17" t="inlineStr">
        <is>
          <t>TEST-PILOT</t>
        </is>
      </c>
      <c r="H108" s="6" t="inlineStr">
        <is>
          <t>K9 Cache &amp; billing</t>
        </is>
      </c>
      <c r="I108" s="6" t="inlineStr">
        <is>
          <t>G3 Before confirmatory study</t>
        </is>
      </c>
      <c r="J108" s="6" t="inlineStr">
        <is>
          <t>Normal</t>
        </is>
      </c>
      <c r="K108" s="6" t="n">
        <v>174</v>
      </c>
      <c r="L108" s="6" t="inlineStr">
        <is>
          <t>W3 Pilots (AUTH)</t>
        </is>
      </c>
      <c r="M108" s="6" t="inlineStr">
        <is>
          <t>S18</t>
        </is>
      </c>
      <c r="N108" s="6" t="inlineStr">
        <is>
          <t>Team / provider</t>
        </is>
      </c>
      <c r="O108" s="6" t="inlineStr">
        <is>
          <t>Test only the remainder, in the proof-of-concept loop</t>
        </is>
      </c>
      <c r="P108" s="6" t="inlineStr">
        <is>
          <t>Partly</t>
        </is>
      </c>
      <c r="Q108" s="6" t="inlineStr">
        <is>
          <t>Scientific unknown</t>
        </is>
      </c>
      <c r="R108" s="6" t="inlineStr">
        <is>
          <t>Item</t>
        </is>
      </c>
      <c r="S108" s="6" t="inlineStr"/>
      <c r="T108"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08"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8" s="6" t="inlineStr">
        <is>
          <t>Matched trajectories on one named provider, model, TTL and layout with full usage records; scope of the claim stated.</t>
        </is>
      </c>
      <c r="W108" s="6" t="inlineStr">
        <is>
          <t>C-D09, C-D08, C-E05, C-S16</t>
        </is>
      </c>
      <c r="X108" s="6" t="inlineStr">
        <is>
          <t>C-D11</t>
        </is>
      </c>
      <c r="Y108" s="6" t="inlineStr">
        <is>
          <t>Q-J26</t>
        </is>
      </c>
      <c r="Z108" s="6" t="inlineStr">
        <is>
          <t>SOURCE-REREAD, TIME-RECHECK</t>
        </is>
      </c>
      <c r="AA108" s="6" t="inlineStr">
        <is>
          <t>K15 Expiring provider facts</t>
        </is>
      </c>
      <c r="AB108" s="6" t="inlineStr">
        <is>
          <t>DATA+TIME</t>
        </is>
      </c>
      <c r="AC108" s="6" t="inlineStr">
        <is>
          <t>OPEN</t>
        </is>
      </c>
      <c r="AD108" s="6" t="inlineStr">
        <is>
          <t>NARROWED</t>
        </is>
      </c>
      <c r="AE108" s="6" t="inlineStr">
        <is>
          <t>2026-10-21</t>
        </is>
      </c>
      <c r="AF108" s="6" t="inlineStr">
        <is>
          <t>FND-0037 (findings/SUM-0039)</t>
        </is>
      </c>
      <c r="AG108" s="6" t="inlineStr"/>
      <c r="AH108" s="6" t="inlineStr">
        <is>
          <t>Yes</t>
        </is>
      </c>
      <c r="AI108" s="6" t="inlineStr"/>
      <c r="AJ108" s="6" t="inlineStr">
        <is>
          <t>SRC-11 canonical</t>
        </is>
      </c>
      <c r="AK108" s="6" t="inlineStr">
        <is>
          <t>SRC-06 S03, SRC-06 S04, SRC-06 S08, HYP-0007, HYP-0009, RA12, CH-0065, CH-0066, Joaa 19 Oct 12:25 (explored information kept in cache)</t>
        </is>
      </c>
      <c r="AL108" s="6" t="inlineStr">
        <is>
          <t>S18</t>
        </is>
      </c>
    </row>
    <row r="109" ht="103" customHeight="1">
      <c r="A109" s="5" t="inlineStr">
        <is>
          <t>C-X01</t>
        </is>
      </c>
      <c r="B109" s="6" t="inlineStr">
        <is>
          <t>E1: the token-composition test that answers C-S01.</t>
        </is>
      </c>
      <c r="C109" s="6" t="inlineStr">
        <is>
          <t>PARTLY ANSWERED</t>
        </is>
      </c>
      <c r="D109" s="6">
        <f>IFERROR(INDEX(Lists!$B$2:$B$14,MATCH(C109,Lists!$A$2:$A$14,0)),"?")</f>
        <v/>
      </c>
      <c r="E109" s="6">
        <f>IF(COUNTIFS(Links!$B$2:$B$600,A109,Links!$E$2:$E$600,"Yes")&gt;0,"REVISE","")</f>
        <v/>
      </c>
      <c r="F109" s="6">
        <f>COUNTIFS(Links!$B$2:$B$600,A109,Links!$D$2:$D$600,"No",Links!$C$2:$C$600,"&lt;&gt;INFORMS")</f>
        <v/>
      </c>
      <c r="G109" s="17" t="inlineStr">
        <is>
          <t>TEST-PILOT</t>
        </is>
      </c>
      <c r="H109" s="6" t="inlineStr">
        <is>
          <t>K10 Token composition</t>
        </is>
      </c>
      <c r="I109" s="6" t="inlineStr">
        <is>
          <t>G3 Before confirmatory study</t>
        </is>
      </c>
      <c r="J109" s="6" t="inlineStr">
        <is>
          <t>Normal</t>
        </is>
      </c>
      <c r="K109" s="6" t="n">
        <v>175</v>
      </c>
      <c r="L109" s="6" t="inlineStr">
        <is>
          <t>W3 Pilots (AUTH)</t>
        </is>
      </c>
      <c r="M109" s="6" t="inlineStr">
        <is>
          <t>S18</t>
        </is>
      </c>
      <c r="N109" s="6" t="inlineStr">
        <is>
          <t>Team</t>
        </is>
      </c>
      <c r="O109" s="6" t="inlineStr">
        <is>
          <t>Test only the remainder, in the proof-of-concept loop</t>
        </is>
      </c>
      <c r="P109" s="6" t="inlineStr">
        <is>
          <t>No</t>
        </is>
      </c>
      <c r="Q109" s="6" t="inlineStr">
        <is>
          <t>Test</t>
        </is>
      </c>
      <c r="R109" s="6" t="inlineStr">
        <is>
          <t>Check</t>
        </is>
      </c>
      <c r="S109" s="6" t="inlineStr"/>
      <c r="T109" s="6" t="inlineStr">
        <is>
          <t>E1: the token-composition test that answers C-S01.</t>
        </is>
      </c>
      <c r="U109" s="6" t="inlineStr">
        <is>
          <t>Restated, not run; not authorized.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09" s="6" t="inlineStr">
        <is>
          <t>Same as C-S01.</t>
        </is>
      </c>
      <c r="W109" s="6" t="inlineStr">
        <is>
          <t>C-D09, C-D08, C-S16</t>
        </is>
      </c>
      <c r="X109" s="6" t="inlineStr">
        <is>
          <t>C-D11</t>
        </is>
      </c>
      <c r="Y109" s="6" t="inlineStr"/>
      <c r="Z109" s="6" t="inlineStr"/>
      <c r="AA109" s="6" t="inlineStr">
        <is>
          <t>K9 Cache &amp; billing</t>
        </is>
      </c>
      <c r="AB109" s="6" t="inlineStr">
        <is>
          <t>DATA</t>
        </is>
      </c>
      <c r="AC109" s="6" t="inlineStr">
        <is>
          <t>NO RESULT - OPEN</t>
        </is>
      </c>
      <c r="AD109" s="6" t="inlineStr">
        <is>
          <t>UNCHANGED</t>
        </is>
      </c>
      <c r="AE109" s="6" t="inlineStr">
        <is>
          <t>2026-10-21</t>
        </is>
      </c>
      <c r="AF109" s="6" t="inlineStr">
        <is>
          <t>FND-0037 (findings/SUM-0039)</t>
        </is>
      </c>
      <c r="AG109" s="6" t="inlineStr"/>
      <c r="AH109" s="6" t="inlineStr">
        <is>
          <t>Yes</t>
        </is>
      </c>
      <c r="AI109" s="6" t="inlineStr"/>
      <c r="AJ109" s="6" t="inlineStr">
        <is>
          <t>SRC-11 canonical</t>
        </is>
      </c>
      <c r="AK109" s="6" t="inlineStr">
        <is>
          <t>E1</t>
        </is>
      </c>
      <c r="AL109" s="6" t="inlineStr">
        <is>
          <t>S18</t>
        </is>
      </c>
    </row>
    <row r="110" ht="103" customHeight="1">
      <c r="A110" s="5" t="inlineStr">
        <is>
          <t>C-X07</t>
        </is>
      </c>
      <c r="B110" s="6" t="inlineStr">
        <is>
          <t>E7: billed-cost and cache probe that answers C-S03 (and feeds C-S02/S04).</t>
        </is>
      </c>
      <c r="C110" s="6" t="inlineStr">
        <is>
          <t>PARTLY ANSWERED</t>
        </is>
      </c>
      <c r="D110" s="6">
        <f>IFERROR(INDEX(Lists!$B$2:$B$14,MATCH(C110,Lists!$A$2:$A$14,0)),"?")</f>
        <v/>
      </c>
      <c r="E110" s="6">
        <f>IF(COUNTIFS(Links!$B$2:$B$600,A110,Links!$E$2:$E$600,"Yes")&gt;0,"REVISE","")</f>
        <v/>
      </c>
      <c r="F110" s="6">
        <f>COUNTIFS(Links!$B$2:$B$600,A110,Links!$D$2:$D$600,"No",Links!$C$2:$C$600,"&lt;&gt;INFORMS")</f>
        <v/>
      </c>
      <c r="G110" s="17" t="inlineStr">
        <is>
          <t>TEST-PILOT</t>
        </is>
      </c>
      <c r="H110" s="6" t="inlineStr">
        <is>
          <t>K9 Cache &amp; billing</t>
        </is>
      </c>
      <c r="I110" s="6" t="inlineStr">
        <is>
          <t>G3 Before confirmatory study</t>
        </is>
      </c>
      <c r="J110" s="6" t="inlineStr">
        <is>
          <t>Normal</t>
        </is>
      </c>
      <c r="K110" s="6" t="n">
        <v>176</v>
      </c>
      <c r="L110" s="6" t="inlineStr">
        <is>
          <t>W3 Pilots (AUTH)</t>
        </is>
      </c>
      <c r="M110" s="6" t="inlineStr">
        <is>
          <t>S18</t>
        </is>
      </c>
      <c r="N110" s="6" t="inlineStr">
        <is>
          <t>Team</t>
        </is>
      </c>
      <c r="O110" s="6" t="inlineStr">
        <is>
          <t>Test only the remainder, in the proof-of-concept loop</t>
        </is>
      </c>
      <c r="P110" s="6" t="inlineStr">
        <is>
          <t>No</t>
        </is>
      </c>
      <c r="Q110" s="6" t="inlineStr">
        <is>
          <t>Test</t>
        </is>
      </c>
      <c r="R110" s="6" t="inlineStr">
        <is>
          <t>Check</t>
        </is>
      </c>
      <c r="S110" s="6" t="inlineStr"/>
      <c r="T110" s="6" t="inlineStr">
        <is>
          <t>E7: billed-cost and cache probe that answers C-S03 (and feeds C-S02/S04).</t>
        </is>
      </c>
      <c r="U110" s="6" t="inlineStr">
        <is>
          <t>Pilot 1 reframed in v4-05 section 2;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0" s="6" t="inlineStr">
        <is>
          <t>Same as C-S03.</t>
        </is>
      </c>
      <c r="W110" s="6" t="inlineStr">
        <is>
          <t>C-D09, C-D08, C-E05, C-S16</t>
        </is>
      </c>
      <c r="X110" s="6" t="inlineStr">
        <is>
          <t>C-D11</t>
        </is>
      </c>
      <c r="Y110" s="6" t="inlineStr"/>
      <c r="Z110" s="6" t="inlineStr"/>
      <c r="AA110" s="6" t="inlineStr"/>
      <c r="AB110" s="6" t="inlineStr">
        <is>
          <t>DATA</t>
        </is>
      </c>
      <c r="AC110" s="6" t="inlineStr">
        <is>
          <t>NO RESULT - OPEN</t>
        </is>
      </c>
      <c r="AD110" s="6" t="inlineStr">
        <is>
          <t>UNCHANGED</t>
        </is>
      </c>
      <c r="AE110" s="6" t="inlineStr">
        <is>
          <t>2026-10-21</t>
        </is>
      </c>
      <c r="AF110" s="6" t="inlineStr">
        <is>
          <t>FND-0037 (findings/SUM-0039)</t>
        </is>
      </c>
      <c r="AG110" s="6" t="inlineStr"/>
      <c r="AH110" s="6" t="inlineStr">
        <is>
          <t>Yes</t>
        </is>
      </c>
      <c r="AI110" s="6" t="inlineStr"/>
      <c r="AJ110" s="6" t="inlineStr">
        <is>
          <t>SRC-11 canonical</t>
        </is>
      </c>
      <c r="AK110" s="6" t="inlineStr">
        <is>
          <t>E7</t>
        </is>
      </c>
      <c r="AL110" s="6" t="inlineStr">
        <is>
          <t>S18</t>
        </is>
      </c>
    </row>
    <row r="111" ht="128" customHeight="1">
      <c r="A111" s="5" t="inlineStr">
        <is>
          <t>C-S04</t>
        </is>
      </c>
      <c r="B111" s="6" t="inlineStr">
        <is>
          <t>The warm-hit arithmetic (the '11-16%' figure) omits TTL, concurrency and growing suffix; session gaps unacc...</t>
        </is>
      </c>
      <c r="C111" s="6" t="inlineStr">
        <is>
          <t>PARTLY ANSWERED</t>
        </is>
      </c>
      <c r="D111" s="6">
        <f>IFERROR(INDEX(Lists!$B$2:$B$14,MATCH(C111,Lists!$A$2:$A$14,0)),"?")</f>
        <v/>
      </c>
      <c r="E111" s="6">
        <f>IF(COUNTIFS(Links!$B$2:$B$600,A111,Links!$E$2:$E$600,"Yes")&gt;0,"REVISE","")</f>
        <v/>
      </c>
      <c r="F111" s="6">
        <f>COUNTIFS(Links!$B$2:$B$600,A111,Links!$D$2:$D$600,"No",Links!$C$2:$C$600,"&lt;&gt;INFORMS")</f>
        <v/>
      </c>
      <c r="G111" s="17" t="inlineStr">
        <is>
          <t>TEST-PILOT</t>
        </is>
      </c>
      <c r="H111" s="6" t="inlineStr">
        <is>
          <t>K9 Cache &amp; billing</t>
        </is>
      </c>
      <c r="I111" s="6" t="inlineStr">
        <is>
          <t>G4 Before claims</t>
        </is>
      </c>
      <c r="J111" s="6" t="inlineStr">
        <is>
          <t>Normal</t>
        </is>
      </c>
      <c r="K111" s="6" t="n">
        <v>177</v>
      </c>
      <c r="L111" s="6" t="inlineStr">
        <is>
          <t>W3 Pilots (AUTH)</t>
        </is>
      </c>
      <c r="M111" s="6" t="inlineStr">
        <is>
          <t>S18</t>
        </is>
      </c>
      <c r="N111" s="6" t="inlineStr">
        <is>
          <t>Team</t>
        </is>
      </c>
      <c r="O111" s="6" t="inlineStr">
        <is>
          <t>Test only the remainder, in the proof-of-concept loop</t>
        </is>
      </c>
      <c r="P111" s="6" t="inlineStr">
        <is>
          <t>Partly</t>
        </is>
      </c>
      <c r="Q111" s="6" t="inlineStr">
        <is>
          <t>Scientific unknown</t>
        </is>
      </c>
      <c r="R111" s="6" t="inlineStr">
        <is>
          <t>Item</t>
        </is>
      </c>
      <c r="S111" s="6" t="inlineStr"/>
      <c r="T111" s="6" t="inlineStr">
        <is>
          <t>The warm-hit arithmetic (the '11-16%' figure) omits TTL, concurrency and growing suffix; session gaps unaccounted.</t>
        </is>
      </c>
      <c r="U111" s="6" t="inlineStr">
        <is>
          <t>v4-04 section 3 gives a cost model with cold-start per session (arithmetic verified); the specific 11-16% figure is not in the repo.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1" s="6" t="inlineStr">
        <is>
          <t>Recalculate with measured hit rates and varied session patterns.</t>
        </is>
      </c>
      <c r="W111" s="6" t="inlineStr">
        <is>
          <t>C-S03</t>
        </is>
      </c>
      <c r="X111" s="6" t="inlineStr"/>
      <c r="Y111" s="6" t="inlineStr">
        <is>
          <t>Q-J04</t>
        </is>
      </c>
      <c r="Z111" s="6" t="inlineStr">
        <is>
          <t>DESK-ANALYSIS</t>
        </is>
      </c>
      <c r="AA111" s="6" t="inlineStr">
        <is>
          <t>K4 Memory &amp; sessions</t>
        </is>
      </c>
      <c r="AB111" s="6" t="inlineStr">
        <is>
          <t>DATA+BOUND</t>
        </is>
      </c>
      <c r="AC111" s="6" t="inlineStr">
        <is>
          <t>OPEN</t>
        </is>
      </c>
      <c r="AD111" s="6" t="inlineStr">
        <is>
          <t>RE-CHARACTERISED</t>
        </is>
      </c>
      <c r="AE111" s="6" t="inlineStr">
        <is>
          <t>2026-10-21</t>
        </is>
      </c>
      <c r="AF111" s="6" t="inlineStr">
        <is>
          <t>FND-0037 (findings/SUM-0039)</t>
        </is>
      </c>
      <c r="AG111" s="6" t="inlineStr"/>
      <c r="AH111" s="6" t="inlineStr">
        <is>
          <t>Yes (measured rates)</t>
        </is>
      </c>
      <c r="AI111" s="6" t="inlineStr"/>
      <c r="AJ111" s="6" t="inlineStr">
        <is>
          <t>SRC-11 canonical</t>
        </is>
      </c>
      <c r="AK111" s="6" t="inlineStr">
        <is>
          <t>SRC-06 S07</t>
        </is>
      </c>
      <c r="AL111" s="6" t="inlineStr">
        <is>
          <t>S18</t>
        </is>
      </c>
    </row>
    <row r="112" ht="65.5" customHeight="1">
      <c r="A112" s="5" t="inlineStr">
        <is>
          <t>C-S08/EVENTS</t>
        </is>
      </c>
      <c r="B112" s="6" t="inlineStr">
        <is>
          <t>Counted events and 'absent' constructs for the search pilot</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K8 Search initiation &amp; recovery</t>
        </is>
      </c>
      <c r="I112" s="6" t="inlineStr">
        <is>
          <t>G3 Before confirmatory study</t>
        </is>
      </c>
      <c r="J112" s="6" t="inlineStr">
        <is>
          <t>Normal</t>
        </is>
      </c>
      <c r="K112" s="6" t="n">
        <v>178</v>
      </c>
      <c r="L112" s="6" t="inlineStr">
        <is>
          <t>W3 Pilots (AUTH)</t>
        </is>
      </c>
      <c r="M112" s="6" t="inlineStr">
        <is>
          <t>S19</t>
        </is>
      </c>
      <c r="N112" s="6" t="inlineStr">
        <is>
          <t>Team</t>
        </is>
      </c>
      <c r="O112" s="6" t="inlineStr">
        <is>
          <t>Lead computes or writes it (no model runs)</t>
        </is>
      </c>
      <c r="P112" s="6" t="inlineStr">
        <is>
          <t>Partly</t>
        </is>
      </c>
      <c r="Q112" s="6" t="inlineStr">
        <is>
          <t>Scientific unknown</t>
        </is>
      </c>
      <c r="R112" s="6" t="inlineStr">
        <is>
          <t>Sub-item</t>
        </is>
      </c>
      <c r="S112" s="6" t="inlineStr">
        <is>
          <t>C-S08</t>
        </is>
      </c>
      <c r="T112" s="6" t="inlineStr">
        <is>
          <t>The pilot must count (i) search calls, (ii) domain-tool calls, (iii) direct answers, and separate three 'absent' constructs (hidden-but-present, nonexistent, visible-but-uncalled); a 'spurious call' means the opposite of correct behaviour in our setting.</t>
        </is>
      </c>
      <c r="U112" s="6" t="inlineStr">
        <is>
          <t>Recorded as open in its source; not examined further in this review.</t>
        </is>
      </c>
      <c r="V112" s="6" t="inlineStr">
        <is>
          <t>Definitions written into the pilot protocol.</t>
        </is>
      </c>
      <c r="W112" s="6" t="inlineStr">
        <is>
          <t>C-D09, C-D08</t>
        </is>
      </c>
      <c r="X112" s="6" t="inlineStr"/>
      <c r="Y112" s="6" t="inlineStr"/>
      <c r="Z112" s="6" t="inlineStr"/>
      <c r="AA112" s="6" t="inlineStr"/>
      <c r="AB112" s="6" t="inlineStr">
        <is>
          <t>DATA</t>
        </is>
      </c>
      <c r="AC112" s="6" t="inlineStr">
        <is>
          <t>n/a (sub-item)</t>
        </is>
      </c>
      <c r="AD112" s="6" t="inlineStr">
        <is>
          <t>NEW (SRC-11 sub-row)</t>
        </is>
      </c>
      <c r="AE112" s="6" t="inlineStr">
        <is>
          <t>2026-10-19</t>
        </is>
      </c>
      <c r="AF112" s="6" t="inlineStr">
        <is>
          <t>v4-05 section 1B</t>
        </is>
      </c>
      <c r="AG112" s="6" t="inlineStr"/>
      <c r="AH112" s="6" t="inlineStr">
        <is>
          <t>Yes</t>
        </is>
      </c>
      <c r="AI112" s="6" t="inlineStr"/>
      <c r="AJ112" s="6" t="inlineStr">
        <is>
          <t>repo: v4-05 sections 1B, 3, 4; reviews RV-0006/0007</t>
        </is>
      </c>
      <c r="AK112" s="6" t="inlineStr">
        <is>
          <t>CH-0061, CH-0072</t>
        </is>
      </c>
      <c r="AL112" s="6" t="inlineStr">
        <is>
          <t>S13</t>
        </is>
      </c>
    </row>
    <row r="113" ht="103" customHeight="1">
      <c r="A113" s="5" t="inlineStr">
        <is>
          <t>C-S08/FPCOST</t>
        </is>
      </c>
      <c r="B113" s="6" t="inlineStr">
        <is>
          <t>False-positive / wasted-call cost is priced by no source</t>
        </is>
      </c>
      <c r="C113" s="6" t="inlineStr">
        <is>
          <t>PARTLY ANSWERED</t>
        </is>
      </c>
      <c r="D113" s="6">
        <f>IFERROR(INDEX(Lists!$B$2:$B$14,MATCH(C113,Lists!$A$2:$A$14,0)),"?")</f>
        <v/>
      </c>
      <c r="E113" s="6">
        <f>IF(COUNTIFS(Links!$B$2:$B$600,A113,Links!$E$2:$E$600,"Yes")&gt;0,"REVISE","")</f>
        <v/>
      </c>
      <c r="F113" s="6">
        <f>COUNTIFS(Links!$B$2:$B$600,A113,Links!$D$2:$D$600,"No",Links!$C$2:$C$600,"&lt;&gt;INFORMS")</f>
        <v/>
      </c>
      <c r="G113" s="17" t="inlineStr">
        <is>
          <t>TEST-PILOT</t>
        </is>
      </c>
      <c r="H113" s="6" t="inlineStr">
        <is>
          <t>K8 Search initiation &amp; recovery</t>
        </is>
      </c>
      <c r="I113" s="6" t="inlineStr">
        <is>
          <t>G3 Before confirmatory study</t>
        </is>
      </c>
      <c r="J113" s="6" t="inlineStr">
        <is>
          <t>Normal</t>
        </is>
      </c>
      <c r="K113" s="6" t="n">
        <v>179</v>
      </c>
      <c r="L113" s="6" t="inlineStr">
        <is>
          <t>W3 Pilots (AUTH)</t>
        </is>
      </c>
      <c r="M113" s="6" t="inlineStr">
        <is>
          <t>S19</t>
        </is>
      </c>
      <c r="N113" s="6" t="inlineStr">
        <is>
          <t>Team</t>
        </is>
      </c>
      <c r="O113" s="6" t="inlineStr">
        <is>
          <t>Needs an AUTH and a protocol (pilot B) if the cost of spurious calls is to be priced</t>
        </is>
      </c>
      <c r="P113" s="6" t="inlineStr">
        <is>
          <t>Partly</t>
        </is>
      </c>
      <c r="Q113" s="6" t="inlineStr">
        <is>
          <t>Scientific unknown</t>
        </is>
      </c>
      <c r="R113" s="6" t="inlineStr">
        <is>
          <t>Sub-item</t>
        </is>
      </c>
      <c r="S113" s="6" t="inlineStr">
        <is>
          <t>C-S08</t>
        </is>
      </c>
      <c r="T113" s="6" t="inlineStr">
        <is>
          <t>Rates of hallucinated or spurious tool calls exist under different, non-interchangeable definitions (1-96%, 15-57%, BFCL irrelevance ~13-26% leading models); none prices the wasted rounds; scoring must be rule-based, not by an LLM judge that is also a candidate.</t>
        </is>
      </c>
      <c r="U113"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13" s="6" t="inlineStr">
        <is>
          <t>Cost accounting of false-positive calls in pilot B.</t>
        </is>
      </c>
      <c r="W113" s="6" t="inlineStr">
        <is>
          <t>C-D09, C-D08</t>
        </is>
      </c>
      <c r="X113" s="6" t="inlineStr"/>
      <c r="Y113" s="6" t="inlineStr"/>
      <c r="Z113" s="6" t="inlineStr"/>
      <c r="AA113" s="6" t="inlineStr"/>
      <c r="AB113" s="6" t="inlineStr">
        <is>
          <t>DATA</t>
        </is>
      </c>
      <c r="AC113" s="6" t="inlineStr">
        <is>
          <t>n/a (sub-item)</t>
        </is>
      </c>
      <c r="AD113" s="6" t="inlineStr">
        <is>
          <t>NEW (SRC-11 sub-row)</t>
        </is>
      </c>
      <c r="AE113" s="6" t="inlineStr">
        <is>
          <t>2026-10-19</t>
        </is>
      </c>
      <c r="AF113" s="6" t="inlineStr">
        <is>
          <t>FND-0016 (findings/SUM-0018); stored texts evidence/literature-20261019/lit-when2tool-2605.09252.txt, lit-tulip-2407.21778.txt, lit-closedworld-2609.19425.txt</t>
        </is>
      </c>
      <c r="AG113" s="6" t="inlineStr"/>
      <c r="AH113" s="6" t="inlineStr">
        <is>
          <t>Yes</t>
        </is>
      </c>
      <c r="AI113" s="6" t="inlineStr"/>
      <c r="AJ113" s="6" t="inlineStr">
        <is>
          <t>repo: v4-05 sections 1B, 3, 4; reviews RV-0006/0007</t>
        </is>
      </c>
      <c r="AK113" s="6" t="inlineStr">
        <is>
          <t>CH-0069, CH-0070</t>
        </is>
      </c>
      <c r="AL113" s="6" t="inlineStr">
        <is>
          <t>S13</t>
        </is>
      </c>
    </row>
    <row r="114" ht="28" customHeight="1">
      <c r="A114" s="5" t="inlineStr">
        <is>
          <t>C-S08/RA6</t>
        </is>
      </c>
      <c r="B114" s="6" t="inlineStr">
        <is>
          <t>RA6: scope statement must tell the model enough to search without leaking gold information</t>
        </is>
      </c>
      <c r="C114" s="6" t="inlineStr">
        <is>
          <t>OPEN</t>
        </is>
      </c>
      <c r="D114" s="6">
        <f>IFERROR(INDEX(Lists!$B$2:$B$14,MATCH(C114,Lists!$A$2:$A$14,0)),"?")</f>
        <v/>
      </c>
      <c r="E114" s="6">
        <f>IF(COUNTIFS(Links!$B$2:$B$600,A114,Links!$E$2:$E$600,"Yes")&gt;0,"REVISE","")</f>
        <v/>
      </c>
      <c r="F114" s="6">
        <f>COUNTIFS(Links!$B$2:$B$600,A114,Links!$D$2:$D$600,"No",Links!$C$2:$C$600,"&lt;&gt;INFORMS")</f>
        <v/>
      </c>
      <c r="G114" s="13" t="inlineStr">
        <is>
          <t>DESK-ANALYSIS</t>
        </is>
      </c>
      <c r="H114" s="6" t="inlineStr">
        <is>
          <t>K8 Search initiation &amp; recovery</t>
        </is>
      </c>
      <c r="I114" s="6" t="inlineStr">
        <is>
          <t>G3 Before confirmatory study</t>
        </is>
      </c>
      <c r="J114" s="6" t="inlineStr">
        <is>
          <t>Normal</t>
        </is>
      </c>
      <c r="K114" s="6" t="n">
        <v>180</v>
      </c>
      <c r="L114" s="6" t="inlineStr">
        <is>
          <t>W3 Pilots (AUTH)</t>
        </is>
      </c>
      <c r="M114" s="6" t="inlineStr">
        <is>
          <t>S19</t>
        </is>
      </c>
      <c r="N114" s="6" t="inlineStr">
        <is>
          <t>Team</t>
        </is>
      </c>
      <c r="O114" s="6" t="inlineStr">
        <is>
          <t>Lead computes or writes it (no model runs)</t>
        </is>
      </c>
      <c r="P114" s="6" t="inlineStr">
        <is>
          <t>Partly</t>
        </is>
      </c>
      <c r="Q114" s="6" t="inlineStr">
        <is>
          <t>Assumption</t>
        </is>
      </c>
      <c r="R114" s="6" t="inlineStr">
        <is>
          <t>Sub-item</t>
        </is>
      </c>
      <c r="S114" s="6" t="inlineStr">
        <is>
          <t>C-S08</t>
        </is>
      </c>
      <c r="T114" s="6" t="inlineStr">
        <is>
          <t>Recovery assumption RA6 (v3-02): the scope statement must be informative without leaking gold information.</t>
        </is>
      </c>
      <c r="U114" s="6" t="inlineStr">
        <is>
          <t>Recorded as open in its source; not examined further in this review.</t>
        </is>
      </c>
      <c r="V114" s="6" t="inlineStr">
        <is>
          <t>Statement ladder specified and its tokens charged (C-D08/SCOPESTMT).</t>
        </is>
      </c>
      <c r="W114" s="6" t="inlineStr">
        <is>
          <t>C-D09, C-D08</t>
        </is>
      </c>
      <c r="X114" s="6" t="inlineStr"/>
      <c r="Y114" s="6" t="inlineStr"/>
      <c r="Z114" s="6" t="inlineStr"/>
      <c r="AA114" s="6" t="inlineStr"/>
      <c r="AB114" s="6" t="inlineStr">
        <is>
          <t>DATA</t>
        </is>
      </c>
      <c r="AC114" s="6" t="inlineStr">
        <is>
          <t>n/a (sub-item)</t>
        </is>
      </c>
      <c r="AD114" s="6" t="inlineStr">
        <is>
          <t>NEW (SRC-11 sub-row)</t>
        </is>
      </c>
      <c r="AE114" s="6" t="inlineStr">
        <is>
          <t>2026-10-19</t>
        </is>
      </c>
      <c r="AF114" s="6" t="inlineStr">
        <is>
          <t>v3-02 section 4 RA1-RA13</t>
        </is>
      </c>
      <c r="AG114" s="6" t="inlineStr"/>
      <c r="AH114" s="6" t="inlineStr">
        <is>
          <t>Yes</t>
        </is>
      </c>
      <c r="AI114" s="6" t="inlineStr"/>
      <c r="AJ114" s="6" t="inlineStr">
        <is>
          <t>repo: v3-02 section 4</t>
        </is>
      </c>
      <c r="AK114" s="6" t="inlineStr">
        <is>
          <t>RA6</t>
        </is>
      </c>
      <c r="AL114" s="6" t="inlineStr">
        <is>
          <t>S13</t>
        </is>
      </c>
    </row>
    <row r="115" ht="115.5" customHeight="1">
      <c r="A115" s="5" t="inlineStr">
        <is>
          <t>C-S08/UNINSTR</t>
        </is>
      </c>
      <c r="B115" s="6" t="inlineStr">
        <is>
          <t>Uninstructed search initiation: no per-task rate found</t>
        </is>
      </c>
      <c r="C115" s="6" t="inlineStr">
        <is>
          <t>PARTLY ANSWERED</t>
        </is>
      </c>
      <c r="D115" s="6">
        <f>IFERROR(INDEX(Lists!$B$2:$B$14,MATCH(C115,Lists!$A$2:$A$14,0)),"?")</f>
        <v/>
      </c>
      <c r="E115" s="6">
        <f>IF(COUNTIFS(Links!$B$2:$B$600,A115,Links!$E$2:$E$600,"Yes")&gt;0,"REVISE","")</f>
        <v/>
      </c>
      <c r="F115" s="6">
        <f>COUNTIFS(Links!$B$2:$B$600,A115,Links!$D$2:$D$600,"No",Links!$C$2:$C$600,"&lt;&gt;INFORMS")</f>
        <v/>
      </c>
      <c r="G115" s="17" t="inlineStr">
        <is>
          <t>TEST-PILOT</t>
        </is>
      </c>
      <c r="H115" s="6" t="inlineStr">
        <is>
          <t>K8 Search initiation &amp; recovery</t>
        </is>
      </c>
      <c r="I115" s="6" t="inlineStr">
        <is>
          <t>G3 Before confirmatory study</t>
        </is>
      </c>
      <c r="J115" s="6" t="inlineStr">
        <is>
          <t>Normal</t>
        </is>
      </c>
      <c r="K115" s="6" t="n">
        <v>181</v>
      </c>
      <c r="L115" s="6" t="inlineStr">
        <is>
          <t>W3 Pilots (AUTH)</t>
        </is>
      </c>
      <c r="M115" s="6" t="inlineStr">
        <is>
          <t>S19</t>
        </is>
      </c>
      <c r="N115" s="6" t="inlineStr">
        <is>
          <t>Team</t>
        </is>
      </c>
      <c r="O115" s="6" t="inlineStr">
        <is>
          <t>Needs an AUTH and a protocol (pilot B) if a rate is wanted</t>
        </is>
      </c>
      <c r="P115" s="6" t="inlineStr">
        <is>
          <t>Partly</t>
        </is>
      </c>
      <c r="Q115" s="6" t="inlineStr">
        <is>
          <t>Scientific unknown</t>
        </is>
      </c>
      <c r="R115" s="6" t="inlineStr">
        <is>
          <t>Sub-item</t>
        </is>
      </c>
      <c r="S115" s="6" t="inlineStr">
        <is>
          <t>C-S08</t>
        </is>
      </c>
      <c r="T115" s="6" t="inlineStr">
        <is>
          <t>No source reports the share of tasks with zero search calls when a search channel exists but is not instructed and no visible tool fits.</t>
        </is>
      </c>
      <c r="U115"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15" s="6" t="inlineStr">
        <is>
          <t>Pilot B primary cell: tool-description only.</t>
        </is>
      </c>
      <c r="W115" s="6" t="inlineStr">
        <is>
          <t>C-D09, C-D08</t>
        </is>
      </c>
      <c r="X115" s="6" t="inlineStr"/>
      <c r="Y115" s="6" t="inlineStr"/>
      <c r="Z115" s="6" t="inlineStr"/>
      <c r="AA115" s="6" t="inlineStr"/>
      <c r="AB115" s="6" t="inlineStr">
        <is>
          <t>DATA</t>
        </is>
      </c>
      <c r="AC115" s="6" t="inlineStr">
        <is>
          <t>n/a (sub-item)</t>
        </is>
      </c>
      <c r="AD115" s="6" t="inlineStr">
        <is>
          <t>NEW (SRC-11 sub-row)</t>
        </is>
      </c>
      <c r="AE115" s="6" t="inlineStr">
        <is>
          <t>2026-10-19</t>
        </is>
      </c>
      <c r="AF115" s="6" t="inlineStr">
        <is>
          <t>FND-0016 (findings/SUM-0018); stored texts evidence/literature-20261019/lit-when2tool-2605.09252.txt, lit-tulip-2407.21778.txt, lit-closedworld-2609.19425.txt</t>
        </is>
      </c>
      <c r="AG115" s="6" t="inlineStr"/>
      <c r="AH115" s="6" t="inlineStr">
        <is>
          <t>Yes</t>
        </is>
      </c>
      <c r="AI115" s="6" t="inlineStr"/>
      <c r="AJ115" s="6" t="inlineStr">
        <is>
          <t>repo: v4-05 sections 1B, 3, 4; reviews RV-0006/0007</t>
        </is>
      </c>
      <c r="AK115" s="6" t="inlineStr">
        <is>
          <t>CH-0062, RA1b</t>
        </is>
      </c>
      <c r="AL115" s="6" t="inlineStr">
        <is>
          <t>S13</t>
        </is>
      </c>
    </row>
    <row r="116" ht="140.5" customHeight="1">
      <c r="A116" s="5" t="inlineStr">
        <is>
          <t>C-S08</t>
        </is>
      </c>
      <c r="B116" s="6" t="inlineStr">
        <is>
          <t>Do models start a search when a needed tool is not visible (uninstructed), does recovery restore success, a...</t>
        </is>
      </c>
      <c r="C116" s="6" t="inlineStr">
        <is>
          <t>PARTLY ANSWERED</t>
        </is>
      </c>
      <c r="D116" s="6">
        <f>IFERROR(INDEX(Lists!$B$2:$B$14,MATCH(C116,Lists!$A$2:$A$14,0)),"?")</f>
        <v/>
      </c>
      <c r="E116" s="6">
        <f>IF(COUNTIFS(Links!$B$2:$B$600,A116,Links!$E$2:$E$600,"Yes")&gt;0,"REVISE","")</f>
        <v/>
      </c>
      <c r="F116" s="6">
        <f>COUNTIFS(Links!$B$2:$B$600,A116,Links!$D$2:$D$600,"No",Links!$C$2:$C$600,"&lt;&gt;INFORMS")</f>
        <v/>
      </c>
      <c r="G116" s="17" t="inlineStr">
        <is>
          <t>TEST-PILOT</t>
        </is>
      </c>
      <c r="H116" s="6" t="inlineStr">
        <is>
          <t>K8 Search initiation &amp; recovery</t>
        </is>
      </c>
      <c r="I116" s="6" t="inlineStr">
        <is>
          <t>G3 Before confirmatory study</t>
        </is>
      </c>
      <c r="J116" s="6" t="inlineStr">
        <is>
          <t>Normal</t>
        </is>
      </c>
      <c r="K116" s="6" t="n">
        <v>182</v>
      </c>
      <c r="L116" s="6" t="inlineStr">
        <is>
          <t>W3 Pilots (AUTH)</t>
        </is>
      </c>
      <c r="M116" s="6" t="inlineStr">
        <is>
          <t>S19</t>
        </is>
      </c>
      <c r="N116" s="6" t="inlineStr">
        <is>
          <t>Team</t>
        </is>
      </c>
      <c r="O116" s="6" t="inlineStr">
        <is>
          <t>Test only the remainder, in the proof-of-concept loop</t>
        </is>
      </c>
      <c r="P116" s="6" t="inlineStr">
        <is>
          <t>Partly</t>
        </is>
      </c>
      <c r="Q116" s="6" t="inlineStr">
        <is>
          <t>Scientific unknown</t>
        </is>
      </c>
      <c r="R116" s="6" t="inlineStr">
        <is>
          <t>Item</t>
        </is>
      </c>
      <c r="S116" s="6" t="inlineStr"/>
      <c r="T116" s="6" t="inlineStr">
        <is>
          <t>Do models start a search when a needed tool is not visible (uninstructed), does recovery restore success, and what is the no-miss overhead?</t>
        </is>
      </c>
      <c r="U116" s="6" t="inlineStr">
        <is>
          <t>Instructed use is measured at catalogue scale for strong models (TheMCPCompany, LiveMCPBench); uninstructed initiation not found; false-positive rates exist under different definitions.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16" s="6" t="inlineStr">
        <is>
          <t>Pilot B: tool-description-only cell, statement ladder, hidden-but-present / nonexistent / wrong-tool-visible arms, per-task share with zero searches.</t>
        </is>
      </c>
      <c r="W116" s="6" t="inlineStr">
        <is>
          <t>C-D09, C-D08, C-S16</t>
        </is>
      </c>
      <c r="X116" s="6" t="inlineStr">
        <is>
          <t>C-D03, C-D11</t>
        </is>
      </c>
      <c r="Y116" s="6" t="inlineStr">
        <is>
          <t>Q-U03</t>
        </is>
      </c>
      <c r="Z116" s="6" t="inlineStr">
        <is>
          <t>LITERATURE-DIRECTED</t>
        </is>
      </c>
      <c r="AA116" s="6" t="inlineStr">
        <is>
          <t>K11 End-to-end comparison</t>
        </is>
      </c>
      <c r="AB116" s="6" t="inlineStr">
        <is>
          <t>DATA</t>
        </is>
      </c>
      <c r="AC116" s="6" t="inlineStr">
        <is>
          <t>OPEN</t>
        </is>
      </c>
      <c r="AD116" s="6" t="inlineStr">
        <is>
          <t>NARROWED</t>
        </is>
      </c>
      <c r="AE116" s="6" t="inlineStr">
        <is>
          <t>2026-10-21</t>
        </is>
      </c>
      <c r="AF116" s="6" t="inlineStr">
        <is>
          <t>FND-0037 (findings/SUM-0039)</t>
        </is>
      </c>
      <c r="AG116" s="6" t="inlineStr"/>
      <c r="AH116" s="6" t="inlineStr">
        <is>
          <t>Yes</t>
        </is>
      </c>
      <c r="AI116" s="6" t="inlineStr"/>
      <c r="AJ116" s="6" t="inlineStr">
        <is>
          <t>SRC-11 canonical</t>
        </is>
      </c>
      <c r="AK116" s="6" t="inlineStr">
        <is>
          <t>SRC-06 S21, SRC-07 14, RA1, HYP-0003, HYP-0004, HYP-0010, HYP-0011, CAVEATS 16, CH-0059, CH-0060</t>
        </is>
      </c>
      <c r="AL116" s="6" t="inlineStr">
        <is>
          <t>S13</t>
        </is>
      </c>
    </row>
    <row r="117" ht="40.5" customHeight="1">
      <c r="A117" s="5" t="inlineStr">
        <is>
          <t>C-S09/RA10</t>
        </is>
      </c>
      <c r="B117" s="6" t="inlineStr">
        <is>
          <t>RA10: names and arguments found by search are valid at call time</t>
        </is>
      </c>
      <c r="C117" s="6" t="inlineStr">
        <is>
          <t>DEFERRED</t>
        </is>
      </c>
      <c r="D117" s="6">
        <f>IFERROR(INDEX(Lists!$B$2:$B$14,MATCH(C117,Lists!$A$2:$A$14,0)),"?")</f>
        <v/>
      </c>
      <c r="E117" s="6">
        <f>IF(COUNTIFS(Links!$B$2:$B$600,A117,Links!$E$2:$E$600,"Yes")&gt;0,"REVISE","")</f>
        <v/>
      </c>
      <c r="F117" s="6">
        <f>COUNTIFS(Links!$B$2:$B$600,A117,Links!$D$2:$D$600,"No",Links!$C$2:$C$600,"&lt;&gt;INFORMS")</f>
        <v/>
      </c>
      <c r="G117" s="17" t="inlineStr">
        <is>
          <t>TEST-PILOT</t>
        </is>
      </c>
      <c r="H117" s="6" t="inlineStr">
        <is>
          <t>K8 Search initiation &amp; recovery</t>
        </is>
      </c>
      <c r="I117" s="6" t="inlineStr">
        <is>
          <t>G3 Before confirmatory study</t>
        </is>
      </c>
      <c r="J117" s="6" t="inlineStr">
        <is>
          <t>Normal</t>
        </is>
      </c>
      <c r="K117" s="6" t="n">
        <v>183</v>
      </c>
      <c r="L117" s="6" t="inlineStr">
        <is>
          <t>W3 Pilots (AUTH)</t>
        </is>
      </c>
      <c r="M117" s="6" t="inlineStr">
        <is>
          <t>S19</t>
        </is>
      </c>
      <c r="N117" s="6" t="inlineStr">
        <is>
          <t>Team</t>
        </is>
      </c>
      <c r="O117" s="6" t="inlineStr">
        <is>
          <t>none until the trigger fires</t>
        </is>
      </c>
      <c r="P117" s="6" t="inlineStr">
        <is>
          <t>No</t>
        </is>
      </c>
      <c r="Q117" s="6" t="inlineStr">
        <is>
          <t>Assumption</t>
        </is>
      </c>
      <c r="R117" s="6" t="inlineStr">
        <is>
          <t>Sub-item</t>
        </is>
      </c>
      <c r="S117" s="6" t="inlineStr">
        <is>
          <t>C-S09</t>
        </is>
      </c>
      <c r="T117" s="6" t="inlineStr">
        <is>
          <t>Recovery assumption RA10.</t>
        </is>
      </c>
      <c r="U117" s="6" t="inlineStr">
        <is>
          <t>Assumption. 2026-10-21 (AUTH-019): belongs to the end-to-end phase (FND-0037 (findings/SUM-0039); the human's process, INT-T-005 line 7).</t>
        </is>
      </c>
      <c r="V117" s="6" t="inlineStr">
        <is>
          <t>Tested end-to-end.</t>
        </is>
      </c>
      <c r="W117" s="6" t="inlineStr">
        <is>
          <t>C-D09, C-D08</t>
        </is>
      </c>
      <c r="X117" s="6" t="inlineStr"/>
      <c r="Y117" s="6" t="inlineStr"/>
      <c r="Z117" s="6" t="inlineStr"/>
      <c r="AA117" s="6" t="inlineStr"/>
      <c r="AB117" s="6" t="inlineStr">
        <is>
          <t>DATA</t>
        </is>
      </c>
      <c r="AC117" s="6" t="inlineStr">
        <is>
          <t>n/a (sub-item)</t>
        </is>
      </c>
      <c r="AD117" s="6" t="inlineStr">
        <is>
          <t>NEW (SRC-11 sub-row)</t>
        </is>
      </c>
      <c r="AE117" s="6" t="inlineStr">
        <is>
          <t>2026-10-21</t>
        </is>
      </c>
      <c r="AF117" s="6" t="inlineStr">
        <is>
          <t>FND-0037 (findings/SUM-0039); FND-0038 (findings/SUM-0040)</t>
        </is>
      </c>
      <c r="AG117" s="6" t="inlineStr">
        <is>
          <t>The end-to-end study is designed</t>
        </is>
      </c>
      <c r="AH117" s="6" t="inlineStr">
        <is>
          <t>Yes</t>
        </is>
      </c>
      <c r="AI117" s="6" t="inlineStr"/>
      <c r="AJ117" s="6" t="inlineStr">
        <is>
          <t>repo: v3-02 section 4</t>
        </is>
      </c>
      <c r="AK117" s="6" t="inlineStr">
        <is>
          <t>RA10</t>
        </is>
      </c>
      <c r="AL117" s="6" t="inlineStr">
        <is>
          <t>S19</t>
        </is>
      </c>
    </row>
    <row r="118" ht="40.5" customHeight="1">
      <c r="A118" s="5" t="inlineStr">
        <is>
          <t>C-S09/RA7</t>
        </is>
      </c>
      <c r="B118" s="6" t="inlineStr">
        <is>
          <t>RA7: the model understands the interface schema</t>
        </is>
      </c>
      <c r="C118" s="6" t="inlineStr">
        <is>
          <t>DEFERRED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K8 Search initiation &amp; recovery</t>
        </is>
      </c>
      <c r="I118" s="6" t="inlineStr">
        <is>
          <t>G3 Before confirmatory study</t>
        </is>
      </c>
      <c r="J118" s="6" t="inlineStr">
        <is>
          <t>Normal</t>
        </is>
      </c>
      <c r="K118" s="6" t="n">
        <v>184</v>
      </c>
      <c r="L118" s="6" t="inlineStr">
        <is>
          <t>W3 Pilots (AUTH)</t>
        </is>
      </c>
      <c r="M118" s="6" t="inlineStr">
        <is>
          <t>S19</t>
        </is>
      </c>
      <c r="N118" s="6" t="inlineStr">
        <is>
          <t>Team</t>
        </is>
      </c>
      <c r="O118" s="6" t="inlineStr">
        <is>
          <t>none until the trigger fires</t>
        </is>
      </c>
      <c r="P118" s="6" t="inlineStr">
        <is>
          <t>No</t>
        </is>
      </c>
      <c r="Q118" s="6" t="inlineStr">
        <is>
          <t>Assumption</t>
        </is>
      </c>
      <c r="R118" s="6" t="inlineStr">
        <is>
          <t>Sub-item</t>
        </is>
      </c>
      <c r="S118" s="6" t="inlineStr">
        <is>
          <t>C-S09</t>
        </is>
      </c>
      <c r="T118" s="6" t="inlineStr">
        <is>
          <t>Recovery assumption RA7.</t>
        </is>
      </c>
      <c r="U118" s="6" t="inlineStr">
        <is>
          <t>Assumption. 2026-10-21 (AUTH-019): belongs to the end-to-end phase (FND-0037 (findings/SUM-0039); the human's process, INT-T-005 line 7).</t>
        </is>
      </c>
      <c r="V118" s="6" t="inlineStr">
        <is>
          <t>Tested end-to-end.</t>
        </is>
      </c>
      <c r="W118" s="6" t="inlineStr">
        <is>
          <t>C-D09, C-D08</t>
        </is>
      </c>
      <c r="X118" s="6" t="inlineStr"/>
      <c r="Y118" s="6" t="inlineStr"/>
      <c r="Z118" s="6" t="inlineStr"/>
      <c r="AA118" s="6" t="inlineStr"/>
      <c r="AB118" s="6" t="inlineStr">
        <is>
          <t>DATA</t>
        </is>
      </c>
      <c r="AC118" s="6" t="inlineStr">
        <is>
          <t>n/a (sub-item)</t>
        </is>
      </c>
      <c r="AD118" s="6" t="inlineStr">
        <is>
          <t>NEW (SRC-11 sub-row)</t>
        </is>
      </c>
      <c r="AE118" s="6" t="inlineStr">
        <is>
          <t>2026-10-21</t>
        </is>
      </c>
      <c r="AF118" s="6" t="inlineStr">
        <is>
          <t>FND-0037 (findings/SUM-0039); FND-0038 (findings/SUM-0040)</t>
        </is>
      </c>
      <c r="AG118" s="6" t="inlineStr">
        <is>
          <t>The end-to-end study is designed</t>
        </is>
      </c>
      <c r="AH118" s="6" t="inlineStr">
        <is>
          <t>Yes</t>
        </is>
      </c>
      <c r="AI118" s="6" t="inlineStr"/>
      <c r="AJ118" s="6" t="inlineStr">
        <is>
          <t>repo: v3-02 section 4</t>
        </is>
      </c>
      <c r="AK118" s="6" t="inlineStr">
        <is>
          <t>RA7</t>
        </is>
      </c>
      <c r="AL118" s="6" t="inlineStr">
        <is>
          <t>S19</t>
        </is>
      </c>
    </row>
    <row r="119" ht="40.5" customHeight="1">
      <c r="A119" s="5" t="inlineStr">
        <is>
          <t>C-S09</t>
        </is>
      </c>
      <c r="B119" s="6" t="inlineStr">
        <is>
          <t>Deferred-schema argument errors vs zero-call/under-invocation, measured as a pair.</t>
        </is>
      </c>
      <c r="C119" s="6" t="inlineStr">
        <is>
          <t>OPEN</t>
        </is>
      </c>
      <c r="D119" s="6">
        <f>IFERROR(INDEX(Lists!$B$2:$B$14,MATCH(C119,Lists!$A$2:$A$14,0)),"?")</f>
        <v/>
      </c>
      <c r="E119" s="6">
        <f>IF(COUNTIFS(Links!$B$2:$B$600,A119,Links!$E$2:$E$600,"Yes")&gt;0,"REVISE","")</f>
        <v/>
      </c>
      <c r="F119" s="6">
        <f>COUNTIFS(Links!$B$2:$B$600,A119,Links!$D$2:$D$600,"No",Links!$C$2:$C$600,"&lt;&gt;INFORMS")</f>
        <v/>
      </c>
      <c r="G119" s="17" t="inlineStr">
        <is>
          <t>TEST-PILOT</t>
        </is>
      </c>
      <c r="H119" s="6" t="inlineStr">
        <is>
          <t>K8 Search initiation &amp; recovery</t>
        </is>
      </c>
      <c r="I119" s="6" t="inlineStr">
        <is>
          <t>G3 Before confirmatory study</t>
        </is>
      </c>
      <c r="J119" s="6" t="inlineStr">
        <is>
          <t>Normal</t>
        </is>
      </c>
      <c r="K119" s="6" t="n">
        <v>185</v>
      </c>
      <c r="L119" s="6" t="inlineStr">
        <is>
          <t>W3 Pilots (AUTH)</t>
        </is>
      </c>
      <c r="M119" s="6" t="inlineStr">
        <is>
          <t>S19</t>
        </is>
      </c>
      <c r="N119" s="6" t="inlineStr">
        <is>
          <t>Team</t>
        </is>
      </c>
      <c r="O119" s="6" t="inlineStr">
        <is>
          <t>Needs an AUTH and a protocol</t>
        </is>
      </c>
      <c r="P119" s="6" t="inlineStr">
        <is>
          <t>No</t>
        </is>
      </c>
      <c r="Q119" s="6" t="inlineStr">
        <is>
          <t>Scientific unknown</t>
        </is>
      </c>
      <c r="R119" s="6" t="inlineStr">
        <is>
          <t>Item</t>
        </is>
      </c>
      <c r="S119" s="6" t="inlineStr"/>
      <c r="T119" s="6" t="inlineStr">
        <is>
          <t>Deferred-schema argument errors vs zero-call/under-invocation, measured as a pair.</t>
        </is>
      </c>
      <c r="U119" s="6" t="inlineStr">
        <is>
          <t>Related only: under-calling in small-model settings; nothing on deferred schemas.</t>
        </is>
      </c>
      <c r="V119" s="6" t="inlineStr">
        <is>
          <t>Eager vs deferred with parameter errors, no-call and success as separate outcomes.</t>
        </is>
      </c>
      <c r="W119" s="6" t="inlineStr">
        <is>
          <t>C-D09, C-D08, C-S16</t>
        </is>
      </c>
      <c r="X119" s="6" t="inlineStr">
        <is>
          <t>C-S08</t>
        </is>
      </c>
      <c r="Y119" s="6" t="inlineStr"/>
      <c r="Z119" s="6" t="inlineStr"/>
      <c r="AA119" s="6" t="inlineStr"/>
      <c r="AB119" s="6" t="inlineStr">
        <is>
          <t>DATA</t>
        </is>
      </c>
      <c r="AC119" s="6" t="inlineStr">
        <is>
          <t>OPEN</t>
        </is>
      </c>
      <c r="AD119" s="6" t="inlineStr">
        <is>
          <t>UNCHANGED</t>
        </is>
      </c>
      <c r="AE119" s="6" t="inlineStr">
        <is>
          <t>2026-10-19</t>
        </is>
      </c>
      <c r="AF119" s="6" t="inlineStr">
        <is>
          <t>v4-05 Round 5</t>
        </is>
      </c>
      <c r="AG119" s="6" t="inlineStr"/>
      <c r="AH119" s="6" t="inlineStr">
        <is>
          <t>Yes</t>
        </is>
      </c>
      <c r="AI119" s="6" t="inlineStr"/>
      <c r="AJ119" s="6" t="inlineStr">
        <is>
          <t>SRC-11 canonical</t>
        </is>
      </c>
      <c r="AK119" s="6" t="inlineStr">
        <is>
          <t>SRC-06 S22, SRC-06 S23, SRC-07 20</t>
        </is>
      </c>
      <c r="AL119" s="6" t="inlineStr">
        <is>
          <t>S19</t>
        </is>
      </c>
    </row>
    <row r="120" ht="103" customHeight="1">
      <c r="A120" s="5" t="inlineStr">
        <is>
          <t>C-X02</t>
        </is>
      </c>
      <c r="B120" s="6" t="inlineStr">
        <is>
          <t>E2: the omission/search test that answers C-S08.</t>
        </is>
      </c>
      <c r="C120" s="6" t="inlineStr">
        <is>
          <t>PARTLY ANSWERED</t>
        </is>
      </c>
      <c r="D120" s="6">
        <f>IFERROR(INDEX(Lists!$B$2:$B$14,MATCH(C120,Lists!$A$2:$A$14,0)),"?")</f>
        <v/>
      </c>
      <c r="E120" s="6">
        <f>IF(COUNTIFS(Links!$B$2:$B$600,A120,Links!$E$2:$E$600,"Yes")&gt;0,"REVISE","")</f>
        <v/>
      </c>
      <c r="F120" s="6">
        <f>COUNTIFS(Links!$B$2:$B$600,A120,Links!$D$2:$D$600,"No",Links!$C$2:$C$600,"&lt;&gt;INFORMS")</f>
        <v/>
      </c>
      <c r="G120" s="17" t="inlineStr">
        <is>
          <t>TEST-PILOT</t>
        </is>
      </c>
      <c r="H120" s="6" t="inlineStr">
        <is>
          <t>K8 Search initiation &amp; recovery</t>
        </is>
      </c>
      <c r="I120" s="6" t="inlineStr">
        <is>
          <t>G3 Before confirmatory study</t>
        </is>
      </c>
      <c r="J120" s="6" t="inlineStr">
        <is>
          <t>Normal</t>
        </is>
      </c>
      <c r="K120" s="6" t="n">
        <v>186</v>
      </c>
      <c r="L120" s="6" t="inlineStr">
        <is>
          <t>W3 Pilots (AUTH)</t>
        </is>
      </c>
      <c r="M120" s="6" t="inlineStr">
        <is>
          <t>S19</t>
        </is>
      </c>
      <c r="N120" s="6" t="inlineStr">
        <is>
          <t>Team</t>
        </is>
      </c>
      <c r="O120" s="6" t="inlineStr">
        <is>
          <t>Test only the remainder, in the proof-of-concept loop</t>
        </is>
      </c>
      <c r="P120" s="6" t="inlineStr">
        <is>
          <t>No</t>
        </is>
      </c>
      <c r="Q120" s="6" t="inlineStr">
        <is>
          <t>Test</t>
        </is>
      </c>
      <c r="R120" s="6" t="inlineStr">
        <is>
          <t>Check</t>
        </is>
      </c>
      <c r="S120" s="6" t="inlineStr"/>
      <c r="T120" s="6" t="inlineStr">
        <is>
          <t>E2: the omission/search test that answers C-S08.</t>
        </is>
      </c>
      <c r="U120" s="6" t="inlineStr">
        <is>
          <t>Pilot 2 reframed; not run. 2026-10-21 (AUTH-019): PARTLY ESTABLISHED under the human's principle: the providers' documented mechanism and prices are adopted without re-test; what stays to test is only the remainder stated in this row's entry in FND-0037 (findings/SUM-0039) (our policy's effect, our trajectories, or a quantity no source measures).</t>
        </is>
      </c>
      <c r="V120" s="6" t="inlineStr">
        <is>
          <t>Same as C-S08.</t>
        </is>
      </c>
      <c r="W120" s="6" t="inlineStr">
        <is>
          <t>C-D09, C-D08, C-S16</t>
        </is>
      </c>
      <c r="X120" s="6" t="inlineStr">
        <is>
          <t>C-D03, C-D11</t>
        </is>
      </c>
      <c r="Y120" s="6" t="inlineStr"/>
      <c r="Z120" s="6" t="inlineStr"/>
      <c r="AA120" s="6" t="inlineStr"/>
      <c r="AB120" s="6" t="inlineStr">
        <is>
          <t>DATA</t>
        </is>
      </c>
      <c r="AC120" s="6" t="inlineStr">
        <is>
          <t>NO RESULT - OPEN</t>
        </is>
      </c>
      <c r="AD120" s="6" t="inlineStr">
        <is>
          <t>UNCHANGED</t>
        </is>
      </c>
      <c r="AE120" s="6" t="inlineStr">
        <is>
          <t>2026-10-21</t>
        </is>
      </c>
      <c r="AF120" s="6" t="inlineStr">
        <is>
          <t>FND-0037 (findings/SUM-0039)</t>
        </is>
      </c>
      <c r="AG120" s="6" t="inlineStr"/>
      <c r="AH120" s="6" t="inlineStr">
        <is>
          <t>Yes</t>
        </is>
      </c>
      <c r="AI120" s="6" t="inlineStr"/>
      <c r="AJ120" s="6" t="inlineStr">
        <is>
          <t>SRC-11 canonical</t>
        </is>
      </c>
      <c r="AK120" s="6" t="inlineStr">
        <is>
          <t>E2</t>
        </is>
      </c>
      <c r="AL120" s="6" t="inlineStr">
        <is>
          <t>S19</t>
        </is>
      </c>
    </row>
    <row r="121" ht="53" customHeight="1">
      <c r="A121" s="5" t="inlineStr">
        <is>
          <t>C-S13/CALIB</t>
        </is>
      </c>
      <c r="B121" s="6" t="inlineStr">
        <is>
          <t>Calibration tolerance and 'roughly constant' for extrapolation above n_fit are undefined</t>
        </is>
      </c>
      <c r="C121" s="6" t="inlineStr">
        <is>
          <t>OPEN</t>
        </is>
      </c>
      <c r="D121" s="6">
        <f>IFERROR(INDEX(Lists!$B$2:$B$14,MATCH(C121,Lists!$A$2:$A$14,0)),"?")</f>
        <v/>
      </c>
      <c r="E121" s="6">
        <f>IF(COUNTIFS(Links!$B$2:$B$600,A121,Links!$E$2:$E$600,"Yes")&gt;0,"REVISE","")</f>
        <v/>
      </c>
      <c r="F121" s="6">
        <f>COUNTIFS(Links!$B$2:$B$600,A121,Links!$D$2:$D$600,"No",Links!$C$2:$C$600,"&lt;&gt;INFORMS")</f>
        <v/>
      </c>
      <c r="G121" s="10" t="inlineStr">
        <is>
          <t>JOAA-DECISION</t>
        </is>
      </c>
      <c r="H121" s="6" t="inlineStr">
        <is>
          <t>K7 Large-catalogue reference</t>
        </is>
      </c>
      <c r="I121" s="6" t="inlineStr">
        <is>
          <t>G3 Before confirmatory study</t>
        </is>
      </c>
      <c r="J121" s="6" t="inlineStr">
        <is>
          <t>Normal</t>
        </is>
      </c>
      <c r="K121" s="6" t="n">
        <v>187</v>
      </c>
      <c r="L121" s="6" t="inlineStr">
        <is>
          <t>W3 Pilots (AUTH)</t>
        </is>
      </c>
      <c r="M121" s="6" t="inlineStr">
        <is>
          <t>S20</t>
        </is>
      </c>
      <c r="N121" s="6" t="inlineStr">
        <is>
          <t>Team + Joaa</t>
        </is>
      </c>
      <c r="O121" s="6" t="inlineStr">
        <is>
          <t>Report calibration when it is run</t>
        </is>
      </c>
      <c r="P121" s="6" t="inlineStr">
        <is>
          <t>No</t>
        </is>
      </c>
      <c r="Q121" s="6" t="inlineStr">
        <is>
          <t>Scientific unknown</t>
        </is>
      </c>
      <c r="R121" s="6" t="inlineStr">
        <is>
          <t>Sub-item</t>
        </is>
      </c>
      <c r="S121" s="6" t="inlineStr">
        <is>
          <t>C-S13</t>
        </is>
      </c>
      <c r="T121" s="6" t="inlineStr">
        <is>
          <t>R-pool calibration has no acceptance criterion; 'roughly constant' gap and the extrapolation above n_fit are assumptions; the claim above n_fit is only a trend.</t>
        </is>
      </c>
      <c r="U121" s="6" t="inlineStr">
        <is>
          <t>Documented as unresolved. 2026-10-21 (AUTH-019, the human's decisions): no hard thresholds (line 16): a calibration result is reported, not judged against a pre-set tolerance.</t>
        </is>
      </c>
      <c r="V121" s="6" t="inlineStr">
        <is>
          <t>A human-set tolerance and regression definition recorded.</t>
        </is>
      </c>
      <c r="W121" s="6" t="inlineStr"/>
      <c r="X121" s="6" t="inlineStr"/>
      <c r="Y121" s="6" t="inlineStr">
        <is>
          <t>Q-J13</t>
        </is>
      </c>
      <c r="Z121" s="6" t="inlineStr">
        <is>
          <t>DESK-ANALYSIS</t>
        </is>
      </c>
      <c r="AA121" s="6" t="inlineStr"/>
      <c r="AB121" s="6" t="inlineStr">
        <is>
          <t>DEC</t>
        </is>
      </c>
      <c r="AC121" s="6" t="inlineStr">
        <is>
          <t>n/a (sub-item)</t>
        </is>
      </c>
      <c r="AD121" s="6" t="inlineStr">
        <is>
          <t>NEW (SRC-11 sub-row)</t>
        </is>
      </c>
      <c r="AE121" s="6" t="inlineStr">
        <is>
          <t>2026-10-21</t>
        </is>
      </c>
      <c r="AF121" s="6" t="inlineStr">
        <is>
          <t>INT-T-005 (requirements/intake/2026-10-21-user-decisions-after-meetings.md)</t>
        </is>
      </c>
      <c r="AG121" s="6" t="inlineStr"/>
      <c r="AH121" s="6" t="inlineStr">
        <is>
          <t>Yes</t>
        </is>
      </c>
      <c r="AI121" s="6" t="inlineStr"/>
      <c r="AJ121" s="6" t="inlineStr">
        <is>
          <t>repo: v4-02 section 4 / v4-03 section 5</t>
        </is>
      </c>
      <c r="AK121" s="6" t="inlineStr">
        <is>
          <t>RV-0005 R5, RV-0005 R6</t>
        </is>
      </c>
      <c r="AL121" s="6" t="inlineStr">
        <is>
          <t>S09</t>
        </is>
      </c>
    </row>
    <row r="122" ht="53" customHeight="1">
      <c r="A122" s="5" t="inlineStr">
        <is>
          <t>C-S13/POOLDIR</t>
        </is>
      </c>
      <c r="B122" s="6" t="inlineStr">
        <is>
          <t>R-pool vs expose-all: is it a harder or an easier success bar? (retained disagreement)</t>
        </is>
      </c>
      <c r="C122" s="6" t="inlineStr">
        <is>
          <t>OPEN</t>
        </is>
      </c>
      <c r="D122" s="6">
        <f>IFERROR(INDEX(Lists!$B$2:$B$14,MATCH(C122,Lists!$A$2:$A$14,0)),"?")</f>
        <v/>
      </c>
      <c r="E122" s="6">
        <f>IF(COUNTIFS(Links!$B$2:$B$600,A122,Links!$E$2:$E$600,"Yes")&gt;0,"REVISE","")</f>
        <v/>
      </c>
      <c r="F122" s="6">
        <f>COUNTIFS(Links!$B$2:$B$600,A122,Links!$D$2:$D$600,"No",Links!$C$2:$C$600,"&lt;&gt;INFORMS")</f>
        <v/>
      </c>
      <c r="G122" s="17" t="inlineStr">
        <is>
          <t>TEST-PILOT</t>
        </is>
      </c>
      <c r="H122" s="6" t="inlineStr">
        <is>
          <t>K7 Large-catalogue reference</t>
        </is>
      </c>
      <c r="I122" s="6" t="inlineStr">
        <is>
          <t>G3 Before confirmatory study</t>
        </is>
      </c>
      <c r="J122" s="6" t="inlineStr">
        <is>
          <t>Normal</t>
        </is>
      </c>
      <c r="K122" s="6" t="n">
        <v>188</v>
      </c>
      <c r="L122" s="6" t="inlineStr">
        <is>
          <t>W3 Pilots (AUTH)</t>
        </is>
      </c>
      <c r="M122" s="6" t="inlineStr">
        <is>
          <t>S20</t>
        </is>
      </c>
      <c r="N122" s="6" t="inlineStr">
        <is>
          <t>Team + Joaa</t>
        </is>
      </c>
      <c r="O122" s="6" t="inlineStr">
        <is>
          <t>Needs an AUTH and a protocol</t>
        </is>
      </c>
      <c r="P122" s="6" t="inlineStr">
        <is>
          <t>No</t>
        </is>
      </c>
      <c r="Q122" s="6" t="inlineStr">
        <is>
          <t>Disagreement</t>
        </is>
      </c>
      <c r="R122" s="6" t="inlineStr">
        <is>
          <t>Sub-item</t>
        </is>
      </c>
      <c r="S122" s="6" t="inlineStr">
        <is>
          <t>C-S13</t>
        </is>
      </c>
      <c r="T122" s="6" t="inlineStr">
        <is>
          <t>Two readings are kept: R-pool has full reachability and little distraction (harder bar if its success &gt;= expose-all's), or a gold-derived pool is weaker and favours restriction. Neither is derived; the only evidence is one cell (44.0 vs 36.0, +/-8).</t>
        </is>
      </c>
      <c r="U122" s="6" t="inlineStr">
        <is>
          <t>Documented as unresolved.</t>
        </is>
      </c>
      <c r="V122" s="6" t="inlineStr">
        <is>
          <t>Calibration of R-pool against R-full where both exist.</t>
        </is>
      </c>
      <c r="W122" s="6" t="inlineStr"/>
      <c r="X122" s="6" t="inlineStr"/>
      <c r="Y122" s="6" t="inlineStr">
        <is>
          <t>Q-J13</t>
        </is>
      </c>
      <c r="Z122" s="6" t="inlineStr"/>
      <c r="AA122" s="6" t="inlineStr"/>
      <c r="AB122" s="6" t="inlineStr">
        <is>
          <t>DATA+BOUND</t>
        </is>
      </c>
      <c r="AC122" s="6" t="inlineStr">
        <is>
          <t>n/a (sub-item)</t>
        </is>
      </c>
      <c r="AD122" s="6" t="inlineStr">
        <is>
          <t>NEW (SRC-11 sub-row)</t>
        </is>
      </c>
      <c r="AE122" s="6" t="inlineStr">
        <is>
          <t>2026-10-19</t>
        </is>
      </c>
      <c r="AF122" s="6" t="inlineStr">
        <is>
          <t>v4-02 section 4</t>
        </is>
      </c>
      <c r="AG122" s="6" t="inlineStr"/>
      <c r="AH122" s="6" t="inlineStr">
        <is>
          <t>Yes</t>
        </is>
      </c>
      <c r="AI122" s="6" t="inlineStr"/>
      <c r="AJ122" s="6" t="inlineStr">
        <is>
          <t>repo: v4-02 section 4 / v4-03 section 5</t>
        </is>
      </c>
      <c r="AK122" s="6" t="inlineStr">
        <is>
          <t>CH-0051, RV-0005 R5</t>
        </is>
      </c>
      <c r="AL122" s="6" t="inlineStr">
        <is>
          <t>S09</t>
        </is>
      </c>
    </row>
    <row r="123" ht="40.5" customHeight="1">
      <c r="A123" s="5" t="inlineStr">
        <is>
          <t>C-S13/POOLPARAMS</t>
        </is>
      </c>
      <c r="B123" s="6" t="inlineStr">
        <is>
          <t>R-pool distractor rule, seed and size m unset</t>
        </is>
      </c>
      <c r="C123" s="6" t="inlineStr">
        <is>
          <t>OPEN</t>
        </is>
      </c>
      <c r="D123" s="6">
        <f>IFERROR(INDEX(Lists!$B$2:$B$14,MATCH(C123,Lists!$A$2:$A$14,0)),"?")</f>
        <v/>
      </c>
      <c r="E123" s="6">
        <f>IF(COUNTIFS(Links!$B$2:$B$600,A123,Links!$E$2:$E$600,"Yes")&gt;0,"REVISE","")</f>
        <v/>
      </c>
      <c r="F123" s="6">
        <f>COUNTIFS(Links!$B$2:$B$600,A123,Links!$D$2:$D$600,"No",Links!$C$2:$C$600,"&lt;&gt;INFORMS")</f>
        <v/>
      </c>
      <c r="G123" s="13" t="inlineStr">
        <is>
          <t>DESK-ANALYSIS</t>
        </is>
      </c>
      <c r="H123" s="6" t="inlineStr">
        <is>
          <t>K7 Large-catalogue reference</t>
        </is>
      </c>
      <c r="I123" s="6" t="inlineStr">
        <is>
          <t>G3 Before confirmatory study</t>
        </is>
      </c>
      <c r="J123" s="6" t="inlineStr">
        <is>
          <t>Normal</t>
        </is>
      </c>
      <c r="K123" s="6" t="n">
        <v>189</v>
      </c>
      <c r="L123" s="6" t="inlineStr">
        <is>
          <t>W3 Pilots (AUTH)</t>
        </is>
      </c>
      <c r="M123" s="6" t="inlineStr">
        <is>
          <t>S20</t>
        </is>
      </c>
      <c r="N123" s="6" t="inlineStr">
        <is>
          <t>Team + Joaa</t>
        </is>
      </c>
      <c r="O123" s="6" t="inlineStr">
        <is>
          <t>Lead computes or writes it (no model runs)</t>
        </is>
      </c>
      <c r="P123" s="6" t="inlineStr">
        <is>
          <t>No</t>
        </is>
      </c>
      <c r="Q123" s="6" t="inlineStr">
        <is>
          <t>Scientific unknown</t>
        </is>
      </c>
      <c r="R123" s="6" t="inlineStr">
        <is>
          <t>Sub-item</t>
        </is>
      </c>
      <c r="S123" s="6" t="inlineStr">
        <is>
          <t>C-S13</t>
        </is>
      </c>
      <c r="T123" s="6" t="inlineStr">
        <is>
          <t>The distractor distribution, seed and m (R-pool size) are design choices that are unset; random and near-miss distractors give different difficulty.</t>
        </is>
      </c>
      <c r="U123" s="6" t="inlineStr">
        <is>
          <t>Documented as unresolved.</t>
        </is>
      </c>
      <c r="V123" s="6" t="inlineStr">
        <is>
          <t>Rule, seed and m fixed in the contract.</t>
        </is>
      </c>
      <c r="W123" s="6" t="inlineStr"/>
      <c r="X123" s="6" t="inlineStr"/>
      <c r="Y123" s="6" t="inlineStr"/>
      <c r="Z123" s="6" t="inlineStr"/>
      <c r="AA123" s="6" t="inlineStr"/>
      <c r="AB123" s="6" t="inlineStr">
        <is>
          <t>DEC</t>
        </is>
      </c>
      <c r="AC123" s="6" t="inlineStr">
        <is>
          <t>n/a (sub-item)</t>
        </is>
      </c>
      <c r="AD123" s="6" t="inlineStr">
        <is>
          <t>NEW (SRC-11 sub-row)</t>
        </is>
      </c>
      <c r="AE123" s="6" t="inlineStr">
        <is>
          <t>2026-10-19</t>
        </is>
      </c>
      <c r="AF123" s="6" t="inlineStr">
        <is>
          <t>v4-02 section 4</t>
        </is>
      </c>
      <c r="AG123" s="6" t="inlineStr"/>
      <c r="AH123" s="6" t="inlineStr">
        <is>
          <t>Yes</t>
        </is>
      </c>
      <c r="AI123" s="6" t="inlineStr"/>
      <c r="AJ123" s="6" t="inlineStr">
        <is>
          <t>repo: v4-02 section 4 / v4-03 section 5</t>
        </is>
      </c>
      <c r="AK123" s="6" t="inlineStr"/>
      <c r="AL123" s="6" t="inlineStr">
        <is>
          <t>S09</t>
        </is>
      </c>
    </row>
    <row r="124" ht="53" customHeight="1">
      <c r="A124" s="5" t="inlineStr">
        <is>
          <t>C-S13</t>
        </is>
      </c>
      <c r="B124" s="6" t="inlineStr">
        <is>
          <t>Is the substitute reference valid, and how does it relate to true full exposure?</t>
        </is>
      </c>
      <c r="C124" s="6" t="inlineStr">
        <is>
          <t>PARTLY ANSWERED</t>
        </is>
      </c>
      <c r="D124" s="6">
        <f>IFERROR(INDEX(Lists!$B$2:$B$14,MATCH(C124,Lists!$A$2:$A$14,0)),"?")</f>
        <v/>
      </c>
      <c r="E124" s="6">
        <f>IF(COUNTIFS(Links!$B$2:$B$600,A124,Links!$E$2:$E$600,"Yes")&gt;0,"REVISE","")</f>
        <v/>
      </c>
      <c r="F124" s="6">
        <f>COUNTIFS(Links!$B$2:$B$600,A124,Links!$D$2:$D$600,"No",Links!$C$2:$C$600,"&lt;&gt;INFORMS")</f>
        <v/>
      </c>
      <c r="G124" s="17" t="inlineStr">
        <is>
          <t>TEST-PILOT</t>
        </is>
      </c>
      <c r="H124" s="6" t="inlineStr">
        <is>
          <t>K7 Large-catalogue reference</t>
        </is>
      </c>
      <c r="I124" s="6" t="inlineStr">
        <is>
          <t>G3 Before confirmatory study</t>
        </is>
      </c>
      <c r="J124" s="6" t="inlineStr">
        <is>
          <t>Normal</t>
        </is>
      </c>
      <c r="K124" s="6" t="n">
        <v>190</v>
      </c>
      <c r="L124" s="6" t="inlineStr">
        <is>
          <t>W3 Pilots (AUTH)</t>
        </is>
      </c>
      <c r="M124" s="6" t="inlineStr">
        <is>
          <t>S20</t>
        </is>
      </c>
      <c r="N124" s="6" t="inlineStr">
        <is>
          <t>Team (+Joaa on margin)</t>
        </is>
      </c>
      <c r="O124" s="6" t="inlineStr">
        <is>
          <t>Needs an AUTH and a protocol</t>
        </is>
      </c>
      <c r="P124" s="6" t="inlineStr">
        <is>
          <t>Partly</t>
        </is>
      </c>
      <c r="Q124" s="6" t="inlineStr">
        <is>
          <t>Scientific unknown</t>
        </is>
      </c>
      <c r="R124" s="6" t="inlineStr">
        <is>
          <t>Item</t>
        </is>
      </c>
      <c r="S124" s="6" t="inlineStr"/>
      <c r="T124" s="6" t="inlineStr">
        <is>
          <t>Is the substitute reference valid, and how does it relate to true full exposure?</t>
        </is>
      </c>
      <c r="U124" s="6" t="inlineStr">
        <is>
          <t>v3's substitute rule was found undefined for catalogues and replaced by a reference ladder (R-full, R-pool, frontier); R-pool's direction is unresolved.</t>
        </is>
      </c>
      <c r="V124" s="6" t="inlineStr">
        <is>
          <t>R-pool calibrated against R-full where both exist; above n_fit only substitute-relative claims.</t>
        </is>
      </c>
      <c r="W124" s="6" t="inlineStr">
        <is>
          <t>C-D09, C-D08, C-E06</t>
        </is>
      </c>
      <c r="X124" s="6" t="inlineStr">
        <is>
          <t>C-S12</t>
        </is>
      </c>
      <c r="Y124" s="6" t="inlineStr">
        <is>
          <t>Q-J13, Q-U03</t>
        </is>
      </c>
      <c r="Z124" s="6" t="inlineStr">
        <is>
          <t>ACCEPT-LIMITATION, JOAA-DECISION</t>
        </is>
      </c>
      <c r="AA124" s="6" t="inlineStr">
        <is>
          <t>K5 Evaluation contract</t>
        </is>
      </c>
      <c r="AB124" s="6" t="inlineStr">
        <is>
          <t>DATA+BOUND</t>
        </is>
      </c>
      <c r="AC124" s="6" t="inlineStr">
        <is>
          <t>PARTLY ANSWERED - OPEN</t>
        </is>
      </c>
      <c r="AD124" s="6" t="inlineStr">
        <is>
          <t>RE-CHARACTERISED</t>
        </is>
      </c>
      <c r="AE124" s="6" t="inlineStr">
        <is>
          <t>2026-10-19</t>
        </is>
      </c>
      <c r="AF124" s="6" t="inlineStr">
        <is>
          <t>v4-02 section 4; v4-03 section 1 row 5</t>
        </is>
      </c>
      <c r="AG124" s="6" t="inlineStr"/>
      <c r="AH124" s="6" t="inlineStr">
        <is>
          <t>Yes</t>
        </is>
      </c>
      <c r="AI124" s="6" t="inlineStr"/>
      <c r="AJ124" s="6" t="inlineStr">
        <is>
          <t>SRC-11 canonical</t>
        </is>
      </c>
      <c r="AK124" s="6" t="inlineStr">
        <is>
          <t>SRC-06 S31, SRC-07 18, SRC-07 32, v3-04 objection 5, CH-0038</t>
        </is>
      </c>
      <c r="AL124" s="6" t="inlineStr">
        <is>
          <t>S09</t>
        </is>
      </c>
    </row>
    <row r="125" ht="300" customHeight="1">
      <c r="A125" s="5" t="inlineStr">
        <is>
          <t>AS-12</t>
        </is>
      </c>
      <c r="B125" s="6" t="inlineStr">
        <is>
          <t>Supervisor assertion A12: LLM behaviour does not transfer across models</t>
        </is>
      </c>
      <c r="C125" s="6" t="inlineStr">
        <is>
          <t>PARTLY ANSWERED</t>
        </is>
      </c>
      <c r="D125" s="6">
        <f>IFERROR(INDEX(Lists!$B$2:$B$14,MATCH(C125,Lists!$A$2:$A$14,0)),"?")</f>
        <v/>
      </c>
      <c r="E125" s="6">
        <f>IF(COUNTIFS(Links!$B$2:$B$600,A125,Links!$E$2:$E$600,"Yes")&gt;0,"REVISE","")</f>
        <v/>
      </c>
      <c r="F125" s="6">
        <f>COUNTIFS(Links!$B$2:$B$600,A125,Links!$D$2:$D$600,"No",Links!$C$2:$C$600,"&lt;&gt;INFORMS")</f>
        <v/>
      </c>
      <c r="G125" s="17" t="inlineStr">
        <is>
          <t>TEST-PILOT</t>
        </is>
      </c>
      <c r="H125" s="6" t="inlineStr">
        <is>
          <t>K5 Evaluation contract</t>
        </is>
      </c>
      <c r="I125" s="6" t="inlineStr">
        <is>
          <t>G4 Before claims</t>
        </is>
      </c>
      <c r="J125" s="6" t="inlineStr">
        <is>
          <t>Normal</t>
        </is>
      </c>
      <c r="K125" s="6" t="n">
        <v>191</v>
      </c>
      <c r="L125" s="6" t="inlineStr">
        <is>
          <t>W3 Pilots (AUTH)</t>
        </is>
      </c>
      <c r="M125" s="6" t="inlineStr">
        <is>
          <t>S20</t>
        </is>
      </c>
      <c r="N125" s="6" t="inlineStr">
        <is>
          <t>Lead / team</t>
        </is>
      </c>
      <c r="O125" s="6" t="inlineStr">
        <is>
          <t>Test only the remainder, in the proof-of-concept loop</t>
        </is>
      </c>
      <c r="P125" s="6" t="inlineStr">
        <is>
          <t>No</t>
        </is>
      </c>
      <c r="Q125" s="6" t="inlineStr">
        <is>
          <t>Claim to test</t>
        </is>
      </c>
      <c r="R125" s="6" t="inlineStr">
        <is>
          <t>Item</t>
        </is>
      </c>
      <c r="S125" s="6" t="inlineStr"/>
      <c r="T125" s="6" t="inlineStr">
        <is>
          <t>REQ-A1 A12: LLM behaviour does not transfer across models. Empirical claim; affects how many evaluation models are needed (U12).</t>
        </is>
      </c>
      <c r="U125"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25" s="6" t="inlineStr">
        <is>
          <t>Empirical claim; affects how many evaluation models are needed (U12).</t>
        </is>
      </c>
      <c r="W125" s="6" t="inlineStr"/>
      <c r="X125" s="6" t="inlineStr"/>
      <c r="Y125" s="6" t="inlineStr">
        <is>
          <t>Q-J21, Q-J29</t>
        </is>
      </c>
      <c r="Z125" s="6" t="inlineStr"/>
      <c r="AA125" s="6" t="inlineStr"/>
      <c r="AB125" s="6" t="inlineStr">
        <is>
          <t>DATA</t>
        </is>
      </c>
      <c r="AC125" s="6" t="inlineStr">
        <is>
          <t>n/a (REGISTER E)</t>
        </is>
      </c>
      <c r="AD125" s="6" t="inlineStr">
        <is>
          <t>NEW (repo sweep)</t>
        </is>
      </c>
      <c r="AE125" s="6" t="inlineStr">
        <is>
          <t>2026-10-21</t>
        </is>
      </c>
      <c r="AF125" s="6" t="inlineStr">
        <is>
          <t>FND-0038 (findings/SUM-0040)</t>
        </is>
      </c>
      <c r="AG125" s="6" t="inlineStr"/>
      <c r="AH125" s="6" t="inlineStr">
        <is>
          <t>Yes</t>
        </is>
      </c>
      <c r="AI125" s="6" t="inlineStr"/>
      <c r="AJ125" s="6" t="inlineStr">
        <is>
          <t>repo: REGISTER section E / EXT-0004</t>
        </is>
      </c>
      <c r="AK125" s="6" t="inlineStr">
        <is>
          <t>REQ-A1 A12</t>
        </is>
      </c>
      <c r="AL125" s="6" t="inlineStr">
        <is>
          <t>S11</t>
        </is>
      </c>
    </row>
    <row r="126" ht="165.5" customHeight="1">
      <c r="A126" s="5" t="inlineStr">
        <is>
          <t>AS-15</t>
        </is>
      </c>
      <c r="B126" s="6" t="inlineStr">
        <is>
          <t>Supervisor assertion A15: information added to an explicit cache can stay for the whole conversation at negligible cost</t>
        </is>
      </c>
      <c r="C126" s="6" t="inlineStr">
        <is>
          <t>PARTLY ANSWERED</t>
        </is>
      </c>
      <c r="D126" s="6">
        <f>IFERROR(INDEX(Lists!$B$2:$B$14,MATCH(C126,Lists!$A$2:$A$14,0)),"?")</f>
        <v/>
      </c>
      <c r="E126" s="6">
        <f>IF(COUNTIFS(Links!$B$2:$B$600,A126,Links!$E$2:$E$600,"Yes")&gt;0,"REVISE","")</f>
        <v/>
      </c>
      <c r="F126" s="6">
        <f>COUNTIFS(Links!$B$2:$B$600,A126,Links!$D$2:$D$600,"No",Links!$C$2:$C$600,"&lt;&gt;INFORMS")</f>
        <v/>
      </c>
      <c r="G126" s="13" t="inlineStr">
        <is>
          <t>DESK-ANALYSIS</t>
        </is>
      </c>
      <c r="H126" s="6" t="inlineStr">
        <is>
          <t>K12 Selector &amp; need estimation</t>
        </is>
      </c>
      <c r="I126" s="6" t="inlineStr">
        <is>
          <t>G4 Before claims</t>
        </is>
      </c>
      <c r="J126" s="6" t="inlineStr">
        <is>
          <t>Normal</t>
        </is>
      </c>
      <c r="K126" s="6" t="n">
        <v>193</v>
      </c>
      <c r="L126" s="6" t="inlineStr">
        <is>
          <t>W3 Pilots (AUTH)</t>
        </is>
      </c>
      <c r="M126" s="6" t="inlineStr">
        <is>
          <t>S20</t>
        </is>
      </c>
      <c r="N126" s="6" t="inlineStr">
        <is>
          <t>Lead + steward</t>
        </is>
      </c>
      <c r="O126" s="6" t="inlineStr">
        <is>
          <t>Desk arithmetic with the stored prices; the billing probe settles it</t>
        </is>
      </c>
      <c r="P126" s="6" t="inlineStr">
        <is>
          <t>No</t>
        </is>
      </c>
      <c r="Q126" s="6" t="inlineStr">
        <is>
          <t>Claim to test</t>
        </is>
      </c>
      <c r="R126" s="6" t="inlineStr">
        <is>
          <t>Item</t>
        </is>
      </c>
      <c r="S126" s="6" t="inlineStr"/>
      <c r="T126" s="6" t="inlineStr">
        <is>
          <t>Said on 21 October in the part he calls 'all in theory' (INT-T-002 L207-L209, L221).</t>
        </is>
      </c>
      <c r="U126"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t>
        </is>
      </c>
      <c r="V126" s="6" t="inlineStr">
        <is>
          <t>A cost calculation for named providers and turn rates, or a billing probe (E7).</t>
        </is>
      </c>
      <c r="W126" s="6" t="inlineStr"/>
      <c r="X126" s="6" t="inlineStr"/>
      <c r="Y126" s="6" t="inlineStr"/>
      <c r="Z126" s="6" t="inlineStr"/>
      <c r="AA126" s="6" t="inlineStr"/>
      <c r="AB126" s="6" t="inlineStr">
        <is>
          <t>SOURCE+DATA</t>
        </is>
      </c>
      <c r="AC126" s="6" t="inlineStr">
        <is>
          <t>n/a (new, 21 Oct meeting)</t>
        </is>
      </c>
      <c r="AD126" s="6" t="inlineStr">
        <is>
          <t>NEW (supervisor meeting 2026-10-21)</t>
        </is>
      </c>
      <c r="AE126" s="6" t="inlineStr">
        <is>
          <t>2026-10-21</t>
        </is>
      </c>
      <c r="AF126" s="6" t="inlineStr">
        <is>
          <t>INT-T-002 (requirements/intake/2026-10-21-supervisor-meeting-2026-10-21-notes-and-transcript.md); EXT-0150, EXT-0152, EXT-0085; mapping design/ledger/notes/MEETINGS-MAPPING-20261021.md checked line by line by FND-0035 and FND-0036; REGISTER section H</t>
        </is>
      </c>
      <c r="AG126" s="6" t="inlineStr"/>
      <c r="AH126" s="6" t="inlineStr">
        <is>
          <t>No</t>
        </is>
      </c>
      <c r="AI126" s="6" t="inlineStr"/>
      <c r="AJ126" s="6" t="inlineStr">
        <is>
          <t>Supervisor meetings intake (AUTH-018)</t>
        </is>
      </c>
      <c r="AK126" s="6" t="inlineStr"/>
      <c r="AL126" s="6" t="inlineStr">
        <is>
          <t>S11</t>
        </is>
      </c>
    </row>
    <row r="127" ht="300" customHeight="1">
      <c r="A127" s="5" t="inlineStr">
        <is>
          <t>AS-06</t>
        </is>
      </c>
      <c r="B127" s="6" t="inlineStr">
        <is>
          <t>Supervisor assertion A6: ~50% token reduction is 'low-hanging fruit' with no accuracy loss; 50% to 10% is the hard part</t>
        </is>
      </c>
      <c r="C127" s="6" t="inlineStr">
        <is>
          <t>PARTLY ANSWERED</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K12 Selector &amp; need estimation</t>
        </is>
      </c>
      <c r="I127" s="6" t="inlineStr">
        <is>
          <t>G4 Before claims</t>
        </is>
      </c>
      <c r="J127" s="6" t="inlineStr">
        <is>
          <t>Normal</t>
        </is>
      </c>
      <c r="K127" s="6" t="n">
        <v>194</v>
      </c>
      <c r="L127" s="6" t="inlineStr">
        <is>
          <t>W3 Pilots (AUTH)</t>
        </is>
      </c>
      <c r="M127" s="6" t="inlineStr">
        <is>
          <t>S20</t>
        </is>
      </c>
      <c r="N127" s="6" t="inlineStr">
        <is>
          <t>Lead / team</t>
        </is>
      </c>
      <c r="O127" s="6" t="inlineStr">
        <is>
          <t>Test only the remainder, in the proof-of-concept loop</t>
        </is>
      </c>
      <c r="P127" s="6" t="inlineStr">
        <is>
          <t>No</t>
        </is>
      </c>
      <c r="Q127" s="6" t="inlineStr">
        <is>
          <t>Claim to test</t>
        </is>
      </c>
      <c r="R127" s="6" t="inlineStr">
        <is>
          <t>Item</t>
        </is>
      </c>
      <c r="S127" s="6" t="inlineStr"/>
      <c r="T127" s="6" t="inlineStr">
        <is>
          <t>REQ-A1 A6: ~50% token reduction is 'low-hanging fruit' with no accuracy loss; 50% to 10% is the hard part. Quantitative claim; needs sources or measurement (the same premise as C-S15).</t>
        </is>
      </c>
      <c r="U127"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 2026-10-21 (AUTH-019): under the human's objective there is no 50% threshold to meet (FND-0038 (findings/SUM-0040)); the statement stays a claim that the measurements will show or not.</t>
        </is>
      </c>
      <c r="V127" s="6" t="inlineStr">
        <is>
          <t>Quantitative claim; needs sources or measurement (the same premise as C-S15).</t>
        </is>
      </c>
      <c r="W127" s="6" t="inlineStr">
        <is>
          <t>C-D09, C-D08</t>
        </is>
      </c>
      <c r="X127" s="6" t="inlineStr"/>
      <c r="Y127" s="6" t="inlineStr">
        <is>
          <t>Q-J29</t>
        </is>
      </c>
      <c r="Z127" s="6" t="inlineStr"/>
      <c r="AA127" s="6" t="inlineStr"/>
      <c r="AB127" s="6" t="inlineStr">
        <is>
          <t>DATA</t>
        </is>
      </c>
      <c r="AC127" s="6" t="inlineStr">
        <is>
          <t>n/a (REGISTER E)</t>
        </is>
      </c>
      <c r="AD127" s="6" t="inlineStr">
        <is>
          <t>NEW (repo sweep)</t>
        </is>
      </c>
      <c r="AE127" s="6" t="inlineStr">
        <is>
          <t>2026-10-21</t>
        </is>
      </c>
      <c r="AF127" s="6" t="inlineStr">
        <is>
          <t>FND-0038 (findings/SUM-0040)</t>
        </is>
      </c>
      <c r="AG127" s="6" t="inlineStr"/>
      <c r="AH127" s="6" t="inlineStr">
        <is>
          <t>Yes</t>
        </is>
      </c>
      <c r="AI127" s="6" t="inlineStr"/>
      <c r="AJ127" s="6" t="inlineStr">
        <is>
          <t>repo: REGISTER section E / EXT-0004</t>
        </is>
      </c>
      <c r="AK127" s="6" t="inlineStr">
        <is>
          <t>REQ-A1 A6</t>
        </is>
      </c>
      <c r="AL127" s="6" t="inlineStr">
        <is>
          <t>S11</t>
        </is>
      </c>
    </row>
    <row r="128" ht="278" customHeight="1">
      <c r="A128" s="5" t="inlineStr">
        <is>
          <t>AS-13</t>
        </is>
      </c>
      <c r="B128" s="6" t="inlineStr">
        <is>
          <t>Supervisor assertion A13: Filtering 100 to 60 is a safe 'big win'; names only for the lowest tier keep accuracy</t>
        </is>
      </c>
      <c r="C128" s="6" t="inlineStr">
        <is>
          <t>NOT LOCATED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K12 Selector &amp; need estimation</t>
        </is>
      </c>
      <c r="I128" s="6" t="inlineStr">
        <is>
          <t>G4 Before claims</t>
        </is>
      </c>
      <c r="J128" s="6" t="inlineStr">
        <is>
          <t>Normal</t>
        </is>
      </c>
      <c r="K128" s="6" t="n">
        <v>195</v>
      </c>
      <c r="L128" s="6" t="inlineStr">
        <is>
          <t>W3 Pilots (AUTH)</t>
        </is>
      </c>
      <c r="M128" s="6" t="inlineStr">
        <is>
          <t>S20</t>
        </is>
      </c>
      <c r="N128" s="6" t="inlineStr">
        <is>
          <t>Lead / team</t>
        </is>
      </c>
      <c r="O128" s="6" t="inlineStr">
        <is>
          <t>A graded-exposure arm is a candidate pilot cell</t>
        </is>
      </c>
      <c r="P128" s="6" t="inlineStr">
        <is>
          <t>No</t>
        </is>
      </c>
      <c r="Q128" s="6" t="inlineStr">
        <is>
          <t>Claim to test</t>
        </is>
      </c>
      <c r="R128" s="6" t="inlineStr">
        <is>
          <t>Item</t>
        </is>
      </c>
      <c r="S128" s="6" t="inlineStr"/>
      <c r="T128" s="6" t="inlineStr">
        <is>
          <t>REQ-A1 A13: Filtering 100 to 60 is a safe 'big win'; names only for the lowest tier keep accuracy. Untested design claim.</t>
        </is>
      </c>
      <c r="U128"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t>
        </is>
      </c>
      <c r="V128" s="6" t="inlineStr">
        <is>
          <t>Untested design claim.</t>
        </is>
      </c>
      <c r="W128" s="6" t="inlineStr">
        <is>
          <t>C-D09, C-D08</t>
        </is>
      </c>
      <c r="X128" s="6" t="inlineStr"/>
      <c r="Y128" s="6" t="inlineStr">
        <is>
          <t>Q-J29</t>
        </is>
      </c>
      <c r="Z128" s="6" t="inlineStr"/>
      <c r="AA128" s="6" t="inlineStr"/>
      <c r="AB128" s="6" t="inlineStr">
        <is>
          <t>DATA</t>
        </is>
      </c>
      <c r="AC128" s="6" t="inlineStr">
        <is>
          <t>n/a (REGISTER E)</t>
        </is>
      </c>
      <c r="AD128" s="6" t="inlineStr">
        <is>
          <t>NEW (repo sweep)</t>
        </is>
      </c>
      <c r="AE128" s="6" t="inlineStr">
        <is>
          <t>2026-10-21</t>
        </is>
      </c>
      <c r="AF128" s="6" t="inlineStr">
        <is>
          <t>INT-T-004 (requirements/intake/2026-10-21-supervisor-meeting-2026-10-02-excerpts.md); mapping design/ledger/notes/MEETINGS-MAPPING-20261021.md checked line by line by FND-0035 and FND-0036; REGISTER section H</t>
        </is>
      </c>
      <c r="AG128" s="6" t="inlineStr"/>
      <c r="AH128" s="6" t="inlineStr">
        <is>
          <t>Yes</t>
        </is>
      </c>
      <c r="AI128" s="6" t="inlineStr"/>
      <c r="AJ128" s="6" t="inlineStr">
        <is>
          <t>repo: REGISTER section E / EXT-0004</t>
        </is>
      </c>
      <c r="AK128" s="6" t="inlineStr">
        <is>
          <t>REQ-A1 A13</t>
        </is>
      </c>
      <c r="AL128" s="6" t="inlineStr">
        <is>
          <t>S11</t>
        </is>
      </c>
    </row>
    <row r="129" ht="40.5" customHeight="1">
      <c r="A129" s="5" t="inlineStr">
        <is>
          <t>C-S12</t>
        </is>
      </c>
      <c r="B129" s="6" t="inlineStr">
        <is>
          <t>Need labels and selector recall at large catalogue size have no valid estimator when the full reference can...</t>
        </is>
      </c>
      <c r="C129" s="6" t="inlineStr">
        <is>
          <t>OPEN</t>
        </is>
      </c>
      <c r="D129" s="6">
        <f>IFERROR(INDEX(Lists!$B$2:$B$14,MATCH(C129,Lists!$A$2:$A$14,0)),"?")</f>
        <v/>
      </c>
      <c r="E129" s="6">
        <f>IF(COUNTIFS(Links!$B$2:$B$600,A129,Links!$E$2:$E$600,"Yes")&gt;0,"REVISE","")</f>
        <v/>
      </c>
      <c r="F129" s="6">
        <f>COUNTIFS(Links!$B$2:$B$600,A129,Links!$D$2:$D$600,"No",Links!$C$2:$C$600,"&lt;&gt;INFORMS")</f>
        <v/>
      </c>
      <c r="G129" s="17" t="inlineStr">
        <is>
          <t>TEST-PILOT</t>
        </is>
      </c>
      <c r="H129" s="6" t="inlineStr">
        <is>
          <t>K12 Selector &amp; need estimation</t>
        </is>
      </c>
      <c r="I129" s="6" t="inlineStr">
        <is>
          <t>G3 Before confirmatory study</t>
        </is>
      </c>
      <c r="J129" s="6" t="inlineStr">
        <is>
          <t>Normal</t>
        </is>
      </c>
      <c r="K129" s="6" t="n">
        <v>196</v>
      </c>
      <c r="L129" s="6" t="inlineStr">
        <is>
          <t>W3 Pilots (AUTH)</t>
        </is>
      </c>
      <c r="M129" s="6" t="inlineStr">
        <is>
          <t>S20</t>
        </is>
      </c>
      <c r="N129" s="6" t="inlineStr">
        <is>
          <t>Team</t>
        </is>
      </c>
      <c r="O129" s="6" t="inlineStr">
        <is>
          <t>Needs an AUTH and a protocol</t>
        </is>
      </c>
      <c r="P129" s="6" t="inlineStr">
        <is>
          <t>No</t>
        </is>
      </c>
      <c r="Q129" s="6" t="inlineStr">
        <is>
          <t>Scientific unknown</t>
        </is>
      </c>
      <c r="R129" s="6" t="inlineStr">
        <is>
          <t>Item</t>
        </is>
      </c>
      <c r="S129" s="6" t="inlineStr"/>
      <c r="T129" s="6" t="inlineStr">
        <is>
          <t>Need labels and selector recall at large catalogue size have no valid estimator when the full reference cannot run.</t>
        </is>
      </c>
      <c r="U129" s="6" t="inlineStr">
        <is>
          <t>v4 brief: no legitimate labelled data for request-level narrowing recall.</t>
        </is>
      </c>
      <c r="V129" s="6" t="inlineStr">
        <is>
          <t>Estimator tested where the reference fits; transfer limit stated.</t>
        </is>
      </c>
      <c r="W129" s="6" t="inlineStr">
        <is>
          <t>C-D09, C-D08</t>
        </is>
      </c>
      <c r="X129" s="6" t="inlineStr">
        <is>
          <t>C-D11</t>
        </is>
      </c>
      <c r="Y129" s="6" t="inlineStr">
        <is>
          <t>Q-U03</t>
        </is>
      </c>
      <c r="Z129" s="6" t="inlineStr">
        <is>
          <t>LITERATURE-DIRECTED, ACCEPT-LIMITATION</t>
        </is>
      </c>
      <c r="AA129" s="6" t="inlineStr">
        <is>
          <t>K7 Large-catalogue reference</t>
        </is>
      </c>
      <c r="AB129" s="6" t="inlineStr">
        <is>
          <t>DATA+BOUND</t>
        </is>
      </c>
      <c r="AC129" s="6" t="inlineStr">
        <is>
          <t>OPEN</t>
        </is>
      </c>
      <c r="AD129" s="6" t="inlineStr">
        <is>
          <t>UNCHANGED</t>
        </is>
      </c>
      <c r="AE129" s="6" t="inlineStr">
        <is>
          <t>2026-10-19</t>
        </is>
      </c>
      <c r="AF129" s="6" t="inlineStr">
        <is>
          <t>v4-01 section 6 item 5</t>
        </is>
      </c>
      <c r="AG129" s="6" t="inlineStr"/>
      <c r="AH129" s="6" t="inlineStr">
        <is>
          <t>Yes</t>
        </is>
      </c>
      <c r="AI129" s="6" t="inlineStr"/>
      <c r="AJ129" s="6" t="inlineStr">
        <is>
          <t>SRC-11 canonical</t>
        </is>
      </c>
      <c r="AK129" s="6" t="inlineStr">
        <is>
          <t>SRC-06 S30, SRC-07 15, RA2, v3-04 objection 4</t>
        </is>
      </c>
      <c r="AL129" s="6" t="inlineStr">
        <is>
          <t>S13</t>
        </is>
      </c>
    </row>
    <row r="130" ht="90.5" customHeight="1">
      <c r="A130" s="5" t="inlineStr">
        <is>
          <t>C-S12/RA13</t>
        </is>
      </c>
      <c r="B130" s="6" t="inlineStr">
        <is>
          <t>RA13: model query vocabulary matches tool descriptions well enough</t>
        </is>
      </c>
      <c r="C130" s="6" t="inlineStr">
        <is>
          <t>PARTLY ANSWERED</t>
        </is>
      </c>
      <c r="D130" s="6">
        <f>IFERROR(INDEX(Lists!$B$2:$B$14,MATCH(C130,Lists!$A$2:$A$14,0)),"?")</f>
        <v/>
      </c>
      <c r="E130" s="6">
        <f>IF(COUNTIFS(Links!$B$2:$B$600,A130,Links!$E$2:$E$600,"Yes")&gt;0,"REVISE","")</f>
        <v/>
      </c>
      <c r="F130" s="6">
        <f>COUNTIFS(Links!$B$2:$B$600,A130,Links!$D$2:$D$600,"No",Links!$C$2:$C$600,"&lt;&gt;INFORMS")</f>
        <v/>
      </c>
      <c r="G130" s="17" t="inlineStr">
        <is>
          <t>TEST-PILOT</t>
        </is>
      </c>
      <c r="H130" s="6" t="inlineStr">
        <is>
          <t>K12 Selector &amp; need estimation</t>
        </is>
      </c>
      <c r="I130" s="6" t="inlineStr">
        <is>
          <t>G3 Before confirmatory study</t>
        </is>
      </c>
      <c r="J130" s="6" t="inlineStr">
        <is>
          <t>Normal</t>
        </is>
      </c>
      <c r="K130" s="6" t="n">
        <v>197</v>
      </c>
      <c r="L130" s="6" t="inlineStr">
        <is>
          <t>W3 Pilots (AUTH)</t>
        </is>
      </c>
      <c r="M130" s="6" t="inlineStr">
        <is>
          <t>S20</t>
        </is>
      </c>
      <c r="N130" s="6" t="inlineStr">
        <is>
          <t>Team</t>
        </is>
      </c>
      <c r="O130" s="6" t="inlineStr">
        <is>
          <t>Test only the remainder, in the proof-of-concept loop</t>
        </is>
      </c>
      <c r="P130" s="6" t="inlineStr">
        <is>
          <t>No</t>
        </is>
      </c>
      <c r="Q130" s="6" t="inlineStr">
        <is>
          <t>Assumption</t>
        </is>
      </c>
      <c r="R130" s="6" t="inlineStr">
        <is>
          <t>Sub-item</t>
        </is>
      </c>
      <c r="S130" s="6" t="inlineStr">
        <is>
          <t>C-S12</t>
        </is>
      </c>
      <c r="T130" s="6" t="inlineStr">
        <is>
          <t>Recovery assumption RA13: a vocabulary mismatch is a recall failure counted in q.</t>
        </is>
      </c>
      <c r="U130" s="6" t="inlineStr">
        <is>
          <t>Assumption.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0" s="6" t="inlineStr">
        <is>
          <t>Recall measured per query style.</t>
        </is>
      </c>
      <c r="W130" s="6" t="inlineStr">
        <is>
          <t>C-D09, C-D08</t>
        </is>
      </c>
      <c r="X130" s="6" t="inlineStr"/>
      <c r="Y130" s="6" t="inlineStr"/>
      <c r="Z130" s="6" t="inlineStr"/>
      <c r="AA130" s="6" t="inlineStr"/>
      <c r="AB130" s="6" t="inlineStr">
        <is>
          <t>DATA</t>
        </is>
      </c>
      <c r="AC130" s="6" t="inlineStr">
        <is>
          <t>n/a (sub-item)</t>
        </is>
      </c>
      <c r="AD130" s="6" t="inlineStr">
        <is>
          <t>NEW (SRC-11 sub-row)</t>
        </is>
      </c>
      <c r="AE130" s="6" t="inlineStr">
        <is>
          <t>2026-10-21</t>
        </is>
      </c>
      <c r="AF130" s="6" t="inlineStr">
        <is>
          <t>FND-0038 (findings/SUM-0040)</t>
        </is>
      </c>
      <c r="AG130" s="6" t="inlineStr"/>
      <c r="AH130" s="6" t="inlineStr">
        <is>
          <t>Yes</t>
        </is>
      </c>
      <c r="AI130" s="6" t="inlineStr"/>
      <c r="AJ130" s="6" t="inlineStr">
        <is>
          <t>repo: v3-02 section 4</t>
        </is>
      </c>
      <c r="AK130" s="6" t="inlineStr">
        <is>
          <t>RA13</t>
        </is>
      </c>
      <c r="AL130" s="6" t="inlineStr">
        <is>
          <t>S13</t>
        </is>
      </c>
    </row>
    <row r="131" ht="40.5" customHeight="1">
      <c r="A131" s="5" t="inlineStr">
        <is>
          <t>C-S15</t>
        </is>
      </c>
      <c r="B131" s="6" t="inlineStr">
        <is>
          <t>Does a concentrated usage core exist and transfer to held-out tasks; do model-count effects hold at matched...</t>
        </is>
      </c>
      <c r="C131" s="6" t="inlineStr">
        <is>
          <t>OPEN</t>
        </is>
      </c>
      <c r="D131" s="6">
        <f>IFERROR(INDEX(Lists!$B$2:$B$14,MATCH(C131,Lists!$A$2:$A$14,0)),"?")</f>
        <v/>
      </c>
      <c r="E131" s="6">
        <f>IF(COUNTIFS(Links!$B$2:$B$600,A131,Links!$E$2:$E$600,"Yes")&gt;0,"REVISE","")</f>
        <v/>
      </c>
      <c r="F131" s="6">
        <f>COUNTIFS(Links!$B$2:$B$600,A131,Links!$D$2:$D$600,"No",Links!$C$2:$C$600,"&lt;&gt;INFORMS")</f>
        <v/>
      </c>
      <c r="G131" s="17" t="inlineStr">
        <is>
          <t>TEST-PILOT</t>
        </is>
      </c>
      <c r="H131" s="6" t="inlineStr">
        <is>
          <t>K12 Selector &amp; need estimation</t>
        </is>
      </c>
      <c r="I131" s="6" t="inlineStr">
        <is>
          <t>G3 Before confirmatory study</t>
        </is>
      </c>
      <c r="J131" s="6" t="inlineStr">
        <is>
          <t>Normal</t>
        </is>
      </c>
      <c r="K131" s="6" t="n">
        <v>198</v>
      </c>
      <c r="L131" s="6" t="inlineStr">
        <is>
          <t>W3 Pilots (AUTH)</t>
        </is>
      </c>
      <c r="M131" s="6" t="inlineStr">
        <is>
          <t>S20</t>
        </is>
      </c>
      <c r="N131" s="6" t="inlineStr">
        <is>
          <t>Team</t>
        </is>
      </c>
      <c r="O131" s="6" t="inlineStr">
        <is>
          <t>Needs an AUTH and a protocol</t>
        </is>
      </c>
      <c r="P131" s="6" t="inlineStr">
        <is>
          <t>No</t>
        </is>
      </c>
      <c r="Q131" s="6" t="inlineStr">
        <is>
          <t>Scientific unknown</t>
        </is>
      </c>
      <c r="R131" s="6" t="inlineStr">
        <is>
          <t>Item</t>
        </is>
      </c>
      <c r="S131" s="6" t="inlineStr"/>
      <c r="T131" s="6" t="inlineStr">
        <is>
          <t>Does a concentrated usage core exist and transfer to held-out tasks; do model-count effects hold at matched tokens?</t>
        </is>
      </c>
      <c r="U131" s="6" t="inlineStr">
        <is>
          <t>No held-out evidence (HYP-0014 proposed); C-A already demoted to a component.</t>
        </is>
      </c>
      <c r="V131" s="6" t="inlineStr">
        <is>
          <t>Held-out core test plus matched-token contrasts.</t>
        </is>
      </c>
      <c r="W131" s="6" t="inlineStr">
        <is>
          <t>C-D09, C-D08</t>
        </is>
      </c>
      <c r="X131" s="6" t="inlineStr">
        <is>
          <t>C-D11, C-S01</t>
        </is>
      </c>
      <c r="Y131" s="6" t="inlineStr">
        <is>
          <t>Q-J27, Q-U03</t>
        </is>
      </c>
      <c r="Z131" s="6" t="inlineStr"/>
      <c r="AA131" s="6" t="inlineStr">
        <is>
          <t>K10 Token composition</t>
        </is>
      </c>
      <c r="AB131" s="6" t="inlineStr">
        <is>
          <t>DATA</t>
        </is>
      </c>
      <c r="AC131" s="6" t="inlineStr">
        <is>
          <t>OPEN</t>
        </is>
      </c>
      <c r="AD131" s="6" t="inlineStr">
        <is>
          <t>UNCHANGED</t>
        </is>
      </c>
      <c r="AE131" s="6" t="inlineStr">
        <is>
          <t>2026-10-19</t>
        </is>
      </c>
      <c r="AF131" s="6" t="inlineStr">
        <is>
          <t>HYP-0014; v4-01 section 5</t>
        </is>
      </c>
      <c r="AG131" s="6" t="inlineStr"/>
      <c r="AH131" s="6" t="inlineStr">
        <is>
          <t>Yes</t>
        </is>
      </c>
      <c r="AI131" s="6" t="inlineStr"/>
      <c r="AJ131" s="6" t="inlineStr">
        <is>
          <t>SRC-11 canonical</t>
        </is>
      </c>
      <c r="AK131" s="6" t="inlineStr">
        <is>
          <t>SRC-06 S33, SRC-06 S39, HYP-0014</t>
        </is>
      </c>
      <c r="AL131" s="6" t="inlineStr">
        <is>
          <t>S20</t>
        </is>
      </c>
    </row>
    <row r="132" ht="28" customHeight="1">
      <c r="A132" s="5" t="inlineStr">
        <is>
          <t>C-X03</t>
        </is>
      </c>
      <c r="B132" s="6" t="inlineStr">
        <is>
          <t>E3/E8: selector recall plus need-estimator check that answers C-S12.</t>
        </is>
      </c>
      <c r="C132" s="6" t="inlineStr">
        <is>
          <t>UNRUN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K12 Selector &amp; need estimation</t>
        </is>
      </c>
      <c r="I132" s="6" t="inlineStr">
        <is>
          <t>G3 Before confirmatory study</t>
        </is>
      </c>
      <c r="J132" s="6" t="inlineStr">
        <is>
          <t>Normal</t>
        </is>
      </c>
      <c r="K132" s="6" t="n">
        <v>199</v>
      </c>
      <c r="L132" s="6" t="inlineStr">
        <is>
          <t>W3 Pilots (AUTH)</t>
        </is>
      </c>
      <c r="M132" s="6" t="inlineStr">
        <is>
          <t>S20</t>
        </is>
      </c>
      <c r="N132" s="6" t="inlineStr">
        <is>
          <t>Team</t>
        </is>
      </c>
      <c r="O132" s="6" t="inlineStr">
        <is>
          <t>Needs an AUTH and a protocol</t>
        </is>
      </c>
      <c r="P132" s="6" t="inlineStr">
        <is>
          <t>No</t>
        </is>
      </c>
      <c r="Q132" s="6" t="inlineStr">
        <is>
          <t>Test</t>
        </is>
      </c>
      <c r="R132" s="6" t="inlineStr">
        <is>
          <t>Check</t>
        </is>
      </c>
      <c r="S132" s="6" t="inlineStr"/>
      <c r="T132" s="6" t="inlineStr">
        <is>
          <t>E3/E8: selector recall plus need-estimator check that answers C-S12.</t>
        </is>
      </c>
      <c r="U132" s="6" t="inlineStr">
        <is>
          <t>Not run.</t>
        </is>
      </c>
      <c r="V132" s="6" t="inlineStr">
        <is>
          <t>Same as C-S12.</t>
        </is>
      </c>
      <c r="W132" s="6" t="inlineStr">
        <is>
          <t>C-D09, C-D08</t>
        </is>
      </c>
      <c r="X132" s="6" t="inlineStr">
        <is>
          <t>C-D11</t>
        </is>
      </c>
      <c r="Y132" s="6" t="inlineStr"/>
      <c r="Z132" s="6" t="inlineStr"/>
      <c r="AA132" s="6" t="inlineStr"/>
      <c r="AB132" s="6" t="inlineStr">
        <is>
          <t>DATA</t>
        </is>
      </c>
      <c r="AC132" s="6" t="inlineStr">
        <is>
          <t>NO RESULT - OPEN</t>
        </is>
      </c>
      <c r="AD132" s="6" t="inlineStr">
        <is>
          <t>UNCHANGED</t>
        </is>
      </c>
      <c r="AE132" s="6" t="inlineStr">
        <is>
          <t>2026-10-19</t>
        </is>
      </c>
      <c r="AF132" s="6" t="inlineStr">
        <is>
          <t>v3-04 section 4</t>
        </is>
      </c>
      <c r="AG132" s="6" t="inlineStr"/>
      <c r="AH132" s="6" t="inlineStr">
        <is>
          <t>Yes</t>
        </is>
      </c>
      <c r="AI132" s="6" t="inlineStr"/>
      <c r="AJ132" s="6" t="inlineStr">
        <is>
          <t>SRC-11 canonical</t>
        </is>
      </c>
      <c r="AK132" s="6" t="inlineStr">
        <is>
          <t>E3, E8</t>
        </is>
      </c>
      <c r="AL132" s="6" t="inlineStr">
        <is>
          <t>S20</t>
        </is>
      </c>
    </row>
    <row r="133" ht="53" customHeight="1">
      <c r="A133" s="5" t="inlineStr">
        <is>
          <t>C-X04</t>
        </is>
      </c>
      <c r="B133" s="6" t="inlineStr">
        <is>
          <t>E4: substitute-reference validity check that answers C-S13.</t>
        </is>
      </c>
      <c r="C133" s="6" t="inlineStr">
        <is>
          <t>DEFERRED</t>
        </is>
      </c>
      <c r="D133" s="6">
        <f>IFERROR(INDEX(Lists!$B$2:$B$14,MATCH(C133,Lists!$A$2:$A$14,0)),"?")</f>
        <v/>
      </c>
      <c r="E133" s="6">
        <f>IF(COUNTIFS(Links!$B$2:$B$600,A133,Links!$E$2:$E$600,"Yes")&gt;0,"REVISE","")</f>
        <v/>
      </c>
      <c r="F133" s="6">
        <f>COUNTIFS(Links!$B$2:$B$600,A133,Links!$D$2:$D$600,"No",Links!$C$2:$C$600,"&lt;&gt;INFORMS")</f>
        <v/>
      </c>
      <c r="G133" s="17" t="inlineStr">
        <is>
          <t>TEST-PILOT</t>
        </is>
      </c>
      <c r="H133" s="6" t="inlineStr">
        <is>
          <t>K7 Large-catalogue reference</t>
        </is>
      </c>
      <c r="I133" s="6" t="inlineStr">
        <is>
          <t>G3 Before confirmatory study</t>
        </is>
      </c>
      <c r="J133" s="6" t="inlineStr">
        <is>
          <t>Normal</t>
        </is>
      </c>
      <c r="K133" s="6" t="n">
        <v>200</v>
      </c>
      <c r="L133" s="6" t="inlineStr">
        <is>
          <t>W3 Pilots (AUTH)</t>
        </is>
      </c>
      <c r="M133" s="6" t="inlineStr">
        <is>
          <t>S20</t>
        </is>
      </c>
      <c r="N133" s="6" t="inlineStr">
        <is>
          <t>Team</t>
        </is>
      </c>
      <c r="O133" s="6" t="inlineStr">
        <is>
          <t>none until the trigger fires</t>
        </is>
      </c>
      <c r="P133" s="6" t="inlineStr">
        <is>
          <t>No</t>
        </is>
      </c>
      <c r="Q133" s="6" t="inlineStr">
        <is>
          <t>Test</t>
        </is>
      </c>
      <c r="R133" s="6" t="inlineStr">
        <is>
          <t>Check</t>
        </is>
      </c>
      <c r="S133" s="6" t="inlineStr"/>
      <c r="T133" s="6" t="inlineStr">
        <is>
          <t>E4: substitute-reference validity check that answers C-S13.</t>
        </is>
      </c>
      <c r="U133" s="6" t="inlineStr">
        <is>
          <t>Not run; cannot prove equivalence at an infeasible size. 2026-10-21 (AUTH-019): belongs to the end-to-end phase (FND-0038 (findings/SUM-0040); the human's process, INT-T-005 line 7).</t>
        </is>
      </c>
      <c r="V133" s="6" t="inlineStr">
        <is>
          <t>Same as C-S13.</t>
        </is>
      </c>
      <c r="W133" s="6" t="inlineStr">
        <is>
          <t>C-D09, C-D08, C-E06</t>
        </is>
      </c>
      <c r="X133" s="6" t="inlineStr"/>
      <c r="Y133" s="6" t="inlineStr"/>
      <c r="Z133" s="6" t="inlineStr"/>
      <c r="AA133" s="6" t="inlineStr"/>
      <c r="AB133" s="6" t="inlineStr">
        <is>
          <t>DATA</t>
        </is>
      </c>
      <c r="AC133" s="6" t="inlineStr">
        <is>
          <t>NO RESULT - OPEN</t>
        </is>
      </c>
      <c r="AD133" s="6" t="inlineStr">
        <is>
          <t>UNCHANGED</t>
        </is>
      </c>
      <c r="AE133" s="6" t="inlineStr">
        <is>
          <t>2026-10-21</t>
        </is>
      </c>
      <c r="AF133" s="6" t="inlineStr">
        <is>
          <t>FND-0037 (findings/SUM-0039); FND-0038 (findings/SUM-0040)</t>
        </is>
      </c>
      <c r="AG133" s="6" t="inlineStr">
        <is>
          <t>The end-to-end study is designed</t>
        </is>
      </c>
      <c r="AH133" s="6" t="inlineStr">
        <is>
          <t>Yes</t>
        </is>
      </c>
      <c r="AI133" s="6" t="inlineStr"/>
      <c r="AJ133" s="6" t="inlineStr">
        <is>
          <t>SRC-11 canonical</t>
        </is>
      </c>
      <c r="AK133" s="6" t="inlineStr">
        <is>
          <t>E4</t>
        </is>
      </c>
      <c r="AL133" s="6" t="inlineStr">
        <is>
          <t>S20</t>
        </is>
      </c>
    </row>
    <row r="134" ht="40.5" customHeight="1">
      <c r="A134" s="5" t="inlineStr">
        <is>
          <t>C-S20</t>
        </is>
      </c>
      <c r="B134" s="6" t="inlineStr">
        <is>
          <t>Cross-reference to the offline-cost convention, the definition share and the 40-50% premise.</t>
        </is>
      </c>
      <c r="C134" s="6" t="inlineStr">
        <is>
          <t>OPEN</t>
        </is>
      </c>
      <c r="D134" s="6">
        <f>IFERROR(INDEX(Lists!$B$2:$B$14,MATCH(C134,Lists!$A$2:$A$14,0)),"?")</f>
        <v/>
      </c>
      <c r="E134" s="6">
        <f>IF(COUNTIFS(Links!$B$2:$B$600,A134,Links!$E$2:$E$600,"Yes")&gt;0,"REVISE","")</f>
        <v/>
      </c>
      <c r="F134" s="6">
        <f>COUNTIFS(Links!$B$2:$B$600,A134,Links!$D$2:$D$600,"No",Links!$C$2:$C$600,"&lt;&gt;INFORMS")</f>
        <v/>
      </c>
      <c r="G134" s="18" t="inlineStr">
        <is>
          <t>CROSS-REFERENCE</t>
        </is>
      </c>
      <c r="H134" s="6" t="inlineStr">
        <is>
          <t>K2 Objective &amp; accounting</t>
        </is>
      </c>
      <c r="I134" s="6" t="inlineStr">
        <is>
          <t>G3 Before confirmatory study</t>
        </is>
      </c>
      <c r="J134" s="6" t="inlineStr">
        <is>
          <t>Normal</t>
        </is>
      </c>
      <c r="K134" s="6" t="n">
        <v>201</v>
      </c>
      <c r="L134" s="6" t="inlineStr">
        <is>
          <t>W3 Pilots (AUTH)</t>
        </is>
      </c>
      <c r="M134" s="6" t="inlineStr">
        <is>
          <t>S20</t>
        </is>
      </c>
      <c r="N134" s="6" t="inlineStr">
        <is>
          <t>n/a</t>
        </is>
      </c>
      <c r="O134" s="6" t="inlineStr">
        <is>
          <t>None; closes when its parents close</t>
        </is>
      </c>
      <c r="P134" s="6" t="inlineStr">
        <is>
          <t>No</t>
        </is>
      </c>
      <c r="Q134" s="6" t="inlineStr">
        <is>
          <t>Scientific unknown</t>
        </is>
      </c>
      <c r="R134" s="6" t="inlineStr">
        <is>
          <t>Item</t>
        </is>
      </c>
      <c r="S134" s="6" t="inlineStr"/>
      <c r="T134" s="6" t="inlineStr">
        <is>
          <t>Cross-reference to the offline-cost convention, the definition share and the 40-50% premise.</t>
        </is>
      </c>
      <c r="U134" s="6" t="inlineStr">
        <is>
          <t>Closes when C-S17, C-S01, C-S15 close; count their measurements once.</t>
        </is>
      </c>
      <c r="V134" s="6" t="inlineStr">
        <is>
          <t>All three pointed-to items closed.</t>
        </is>
      </c>
      <c r="W134" s="6" t="inlineStr">
        <is>
          <t>C-S17, C-S01, C-S15</t>
        </is>
      </c>
      <c r="X134" s="6" t="inlineStr"/>
      <c r="Y134" s="6" t="inlineStr">
        <is>
          <t>Q-J03, Q-J19</t>
        </is>
      </c>
      <c r="Z134" s="6" t="inlineStr"/>
      <c r="AA134" s="6" t="inlineStr">
        <is>
          <t>K10 Token composition, K12 Selector &amp; need estimation</t>
        </is>
      </c>
      <c r="AB134" s="6" t="inlineStr">
        <is>
          <t>DEC+DATA</t>
        </is>
      </c>
      <c r="AC134" s="6" t="inlineStr">
        <is>
          <t>OPEN</t>
        </is>
      </c>
      <c r="AD134" s="6" t="inlineStr">
        <is>
          <t>UNCHANGED</t>
        </is>
      </c>
      <c r="AE134" s="6" t="inlineStr">
        <is>
          <t>2026-10-19</t>
        </is>
      </c>
      <c r="AF134" s="6" t="inlineStr">
        <is>
          <t>SRC-11 C-S20</t>
        </is>
      </c>
      <c r="AG134" s="6" t="inlineStr"/>
      <c r="AH134" s="6" t="inlineStr">
        <is>
          <t>n/a</t>
        </is>
      </c>
      <c r="AI134" s="6" t="inlineStr"/>
      <c r="AJ134" s="6" t="inlineStr">
        <is>
          <t>SRC-11 canonical</t>
        </is>
      </c>
      <c r="AK134" s="6" t="inlineStr">
        <is>
          <t>SRC-06 S35, SRC-06 S39</t>
        </is>
      </c>
      <c r="AL134" s="6" t="inlineStr">
        <is>
          <t>S20</t>
        </is>
      </c>
    </row>
    <row r="135" ht="300" customHeight="1">
      <c r="A135" s="5" t="inlineStr">
        <is>
          <t>N-6</t>
        </is>
      </c>
      <c r="B135" s="6" t="inlineStr">
        <is>
          <t>Memory of which tools exist or were discovered, in a catalogue too large to expose, measured across sessions.</t>
        </is>
      </c>
      <c r="C135" s="6" t="inlineStr">
        <is>
          <t>NOT LOCATED</t>
        </is>
      </c>
      <c r="D135" s="6">
        <f>IFERROR(INDEX(Lists!$B$2:$B$14,MATCH(C135,Lists!$A$2:$A$14,0)),"?")</f>
        <v/>
      </c>
      <c r="E135" s="6">
        <f>IF(COUNTIFS(Links!$B$2:$B$600,A135,Links!$E$2:$E$600,"Yes")&gt;0,"REVISE","")</f>
        <v/>
      </c>
      <c r="F135" s="6">
        <f>COUNTIFS(Links!$B$2:$B$600,A135,Links!$D$2:$D$600,"No",Links!$C$2:$C$600,"&lt;&gt;INFORMS")</f>
        <v/>
      </c>
      <c r="G135" s="11" t="inlineStr">
        <is>
          <t>LITERATURE-DIRECTED</t>
        </is>
      </c>
      <c r="H135" s="6" t="inlineStr">
        <is>
          <t>K4 Memory &amp; sessions</t>
        </is>
      </c>
      <c r="I135" s="6" t="inlineStr">
        <is>
          <t>G3 Before confirmatory study</t>
        </is>
      </c>
      <c r="J135" s="6" t="inlineStr">
        <is>
          <t>Normal</t>
        </is>
      </c>
      <c r="K135" s="6" t="n">
        <v>202</v>
      </c>
      <c r="L135" s="6" t="inlineStr">
        <is>
          <t>W3 Pilots (AUTH)</t>
        </is>
      </c>
      <c r="M135" s="6" t="inlineStr">
        <is>
          <t>S21</t>
        </is>
      </c>
      <c r="N135" s="6" t="inlineStr">
        <is>
          <t>Lead (search); team (pilot D)</t>
        </is>
      </c>
      <c r="O135" s="6" t="inlineStr">
        <is>
          <t>Pilot design once N-28 is settled</t>
        </is>
      </c>
      <c r="P135" s="6" t="inlineStr">
        <is>
          <t>No</t>
        </is>
      </c>
      <c r="Q135" s="6" t="inlineStr">
        <is>
          <t>Scientific unknown</t>
        </is>
      </c>
      <c r="R135" s="6" t="inlineStr">
        <is>
          <t>Item</t>
        </is>
      </c>
      <c r="S135" s="6" t="inlineStr"/>
      <c r="T135" s="6" t="inlineStr">
        <is>
          <t>Memory of which tools exist or were discovered, in a catalogue too large to expose, measured across sessions.</t>
        </is>
      </c>
      <c r="U135"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t>
        </is>
      </c>
      <c r="V135" s="6" t="inlineStr">
        <is>
          <t>Directed search for procedural/skill memory done; if still absent, a session pilot or a stated deferral.</t>
        </is>
      </c>
      <c r="W135" s="6" t="inlineStr">
        <is>
          <t>N-2</t>
        </is>
      </c>
      <c r="X135" s="6" t="inlineStr"/>
      <c r="Y135" s="6" t="inlineStr">
        <is>
          <t>Q-J05, Q-U21, Q-J30</t>
        </is>
      </c>
      <c r="Z135" s="6" t="inlineStr">
        <is>
          <t>TEST-PILOT, ACCEPT-LIMITATION</t>
        </is>
      </c>
      <c r="AA135" s="6" t="inlineStr">
        <is>
          <t>K8 Search initiation &amp; recovery</t>
        </is>
      </c>
      <c r="AB135" s="6" t="inlineStr"/>
      <c r="AC135" s="6" t="inlineStr">
        <is>
          <t>n/a (new)</t>
        </is>
      </c>
      <c r="AD135" s="6" t="inlineStr">
        <is>
          <t>NEW</t>
        </is>
      </c>
      <c r="AE135" s="6" t="inlineStr">
        <is>
          <t>2026-10-21</t>
        </is>
      </c>
      <c r="AF135" s="6" t="inlineStr">
        <is>
          <t>INT-T-002 (requirements/intake/2026-10-21-supervisor-meeting-2026-10-21-notes-and-transcript.md); mapping design/ledger/notes/MEETINGS-MAPPING-20261021.md checked line by line by FND-0035 and FND-0036; REGISTER section H</t>
        </is>
      </c>
      <c r="AG135" s="6" t="inlineStr"/>
      <c r="AH135" s="6" t="inlineStr">
        <is>
          <t>Pilot: yes</t>
        </is>
      </c>
      <c r="AI135" s="6" t="inlineStr"/>
      <c r="AJ135" s="6" t="inlineStr">
        <is>
          <t>Review 19 Oct (section 5)</t>
        </is>
      </c>
      <c r="AK135" s="6" t="inlineStr"/>
      <c r="AL135" s="6" t="inlineStr">
        <is>
          <t>S13</t>
        </is>
      </c>
    </row>
    <row r="136" ht="40.5" customHeight="1">
      <c r="A136" s="5" t="inlineStr">
        <is>
          <t>N-7</t>
        </is>
      </c>
      <c r="B136" s="6" t="inlineStr">
        <is>
          <t>Prefix layout and cache sharing across users: memory-seeded tools could fragment a shared prefix.</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K4 Memory &amp; sessions</t>
        </is>
      </c>
      <c r="I136" s="6" t="inlineStr">
        <is>
          <t>G3 Before confirmatory study</t>
        </is>
      </c>
      <c r="J136" s="6" t="inlineStr">
        <is>
          <t>Normal</t>
        </is>
      </c>
      <c r="K136" s="6" t="n">
        <v>203</v>
      </c>
      <c r="L136" s="6" t="inlineStr">
        <is>
          <t>W3 Pilots (AUTH)</t>
        </is>
      </c>
      <c r="M136" s="6" t="inlineStr">
        <is>
          <t>S21</t>
        </is>
      </c>
      <c r="N136" s="6" t="inlineStr">
        <is>
          <t>Team / provider</t>
        </is>
      </c>
      <c r="O136" s="6" t="inlineStr">
        <is>
          <t>Needs an AUTH and a protocol</t>
        </is>
      </c>
      <c r="P136" s="6" t="inlineStr">
        <is>
          <t>No</t>
        </is>
      </c>
      <c r="Q136" s="6" t="inlineStr">
        <is>
          <t>Test</t>
        </is>
      </c>
      <c r="R136" s="6" t="inlineStr">
        <is>
          <t>Item</t>
        </is>
      </c>
      <c r="S136" s="6" t="inlineStr"/>
      <c r="T136" s="6" t="inlineStr">
        <is>
          <t>Prefix layout and cache sharing across users: memory-seeded tools could fragment a shared prefix.</t>
        </is>
      </c>
      <c r="U136" s="6" t="inlineStr">
        <is>
          <t>Hypothesis; provider sharing behaviour is 'not established here'.</t>
        </is>
      </c>
      <c r="V136" s="6" t="inlineStr">
        <is>
          <t>Provider-specific probe of cross-user prefix sharing and layout.</t>
        </is>
      </c>
      <c r="W136" s="6" t="inlineStr">
        <is>
          <t>N-2</t>
        </is>
      </c>
      <c r="X136" s="6" t="inlineStr">
        <is>
          <t>N-6</t>
        </is>
      </c>
      <c r="Y136" s="6" t="inlineStr">
        <is>
          <t>Q-J05</t>
        </is>
      </c>
      <c r="Z136" s="6" t="inlineStr">
        <is>
          <t>SOURCE-REREAD</t>
        </is>
      </c>
      <c r="AA136" s="6" t="inlineStr">
        <is>
          <t>K9 Cache &amp; billing</t>
        </is>
      </c>
      <c r="AB136" s="6" t="inlineStr"/>
      <c r="AC136" s="6" t="inlineStr">
        <is>
          <t>n/a (new)</t>
        </is>
      </c>
      <c r="AD136" s="6" t="inlineStr">
        <is>
          <t>NEW</t>
        </is>
      </c>
      <c r="AE136" s="6" t="inlineStr">
        <is>
          <t>2026-10-19</t>
        </is>
      </c>
      <c r="AF136" s="6" t="inlineStr">
        <is>
          <t>v4-04 section 4 risk (iii)</t>
        </is>
      </c>
      <c r="AG136" s="6" t="inlineStr"/>
      <c r="AH136" s="6" t="inlineStr">
        <is>
          <t>Yes</t>
        </is>
      </c>
      <c r="AI136" s="6" t="inlineStr"/>
      <c r="AJ136" s="6" t="inlineStr">
        <is>
          <t>Review 19 Oct (section 5)</t>
        </is>
      </c>
      <c r="AK136" s="6" t="inlineStr"/>
      <c r="AL136" s="6" t="inlineStr">
        <is>
          <t>S21</t>
        </is>
      </c>
    </row>
    <row r="137" ht="115.5" customHeight="1">
      <c r="A137" s="5" t="inlineStr">
        <is>
          <t>C-S10</t>
        </is>
      </c>
      <c r="B137" s="6" t="inlineStr">
        <is>
          <t>Why does retrieval hurt (query, embedder, server granularity, judge)?</t>
        </is>
      </c>
      <c r="C137" s="6" t="inlineStr">
        <is>
          <t>PARTLY ANSWERED</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K11 End-to-end comparison</t>
        </is>
      </c>
      <c r="I137" s="6" t="inlineStr">
        <is>
          <t>G4 Before claims</t>
        </is>
      </c>
      <c r="J137" s="6" t="inlineStr">
        <is>
          <t>Normal</t>
        </is>
      </c>
      <c r="K137" s="6" t="n">
        <v>204</v>
      </c>
      <c r="L137" s="6" t="inlineStr">
        <is>
          <t>W4 End-to-end</t>
        </is>
      </c>
      <c r="M137" s="6" t="inlineStr">
        <is>
          <t>S22</t>
        </is>
      </c>
      <c r="N137" s="6" t="inlineStr">
        <is>
          <t>Team</t>
        </is>
      </c>
      <c r="O137" s="6" t="inlineStr">
        <is>
          <t>Test only the remainder, in the proof-of-concept loop</t>
        </is>
      </c>
      <c r="P137" s="6" t="inlineStr">
        <is>
          <t>No</t>
        </is>
      </c>
      <c r="Q137" s="6" t="inlineStr">
        <is>
          <t>Scientific unknown</t>
        </is>
      </c>
      <c r="R137" s="6" t="inlineStr">
        <is>
          <t>Item</t>
        </is>
      </c>
      <c r="S137" s="6" t="inlineStr"/>
      <c r="T137" s="6" t="inlineStr">
        <is>
          <t>Why does retrieval hurt (query, embedder, server granularity, judge)? Generality is not isolated.</t>
        </is>
      </c>
      <c r="U137" s="6" t="inlineStr">
        <is>
          <t>TheMCPCompany shows premiums but conflates retrieval failure with discovery.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7" s="6" t="inlineStr">
        <is>
          <t>Strong-retriever full-catalogue comparison with fixed judge and query variants.</t>
        </is>
      </c>
      <c r="W137" s="6" t="inlineStr">
        <is>
          <t>C-D09, C-D08</t>
        </is>
      </c>
      <c r="X137" s="6" t="inlineStr">
        <is>
          <t>C-S11</t>
        </is>
      </c>
      <c r="Y137" s="6" t="inlineStr"/>
      <c r="Z137" s="6" t="inlineStr">
        <is>
          <t>LITERATURE-DIRECTED, SOURCE-REREAD</t>
        </is>
      </c>
      <c r="AA137" s="6" t="inlineStr">
        <is>
          <t>K12 Selector &amp; need estimation</t>
        </is>
      </c>
      <c r="AB137" s="6" t="inlineStr">
        <is>
          <t>DATA+SOURCE</t>
        </is>
      </c>
      <c r="AC137" s="6" t="inlineStr">
        <is>
          <t>OPEN</t>
        </is>
      </c>
      <c r="AD137" s="6" t="inlineStr">
        <is>
          <t>UNCHANGED</t>
        </is>
      </c>
      <c r="AE137" s="6" t="inlineStr">
        <is>
          <t>2026-10-21</t>
        </is>
      </c>
      <c r="AF137" s="6" t="inlineStr">
        <is>
          <t>FND-0038 (findings/SUM-0040)</t>
        </is>
      </c>
      <c r="AG137" s="6" t="inlineStr"/>
      <c r="AH137" s="6" t="inlineStr">
        <is>
          <t>Yes</t>
        </is>
      </c>
      <c r="AI137" s="6" t="inlineStr"/>
      <c r="AJ137" s="6" t="inlineStr">
        <is>
          <t>SRC-11 canonical</t>
        </is>
      </c>
      <c r="AK137" s="6" t="inlineStr">
        <is>
          <t>SRC-06 S24</t>
        </is>
      </c>
      <c r="AL137" s="6" t="inlineStr">
        <is>
          <t>S13</t>
        </is>
      </c>
    </row>
    <row r="138" ht="28" customHeight="1">
      <c r="A138" s="5" t="inlineStr">
        <is>
          <t>C-S10/RA3</t>
        </is>
      </c>
      <c r="B138" s="6" t="inlineStr">
        <is>
          <t>RA3: appended results do not degrade later steps</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K11 End-to-end comparison</t>
        </is>
      </c>
      <c r="I138" s="6" t="inlineStr">
        <is>
          <t>G4 Before claims</t>
        </is>
      </c>
      <c r="J138" s="6" t="inlineStr">
        <is>
          <t>Normal</t>
        </is>
      </c>
      <c r="K138" s="6" t="n">
        <v>205</v>
      </c>
      <c r="L138" s="6" t="inlineStr">
        <is>
          <t>W4 End-to-end</t>
        </is>
      </c>
      <c r="M138" s="6" t="inlineStr">
        <is>
          <t>S22</t>
        </is>
      </c>
      <c r="N138" s="6" t="inlineStr">
        <is>
          <t>Team</t>
        </is>
      </c>
      <c r="O138" s="6" t="inlineStr">
        <is>
          <t>Needs an AUTH and a protocol</t>
        </is>
      </c>
      <c r="P138" s="6" t="inlineStr">
        <is>
          <t>No</t>
        </is>
      </c>
      <c r="Q138" s="6" t="inlineStr">
        <is>
          <t>Assumption</t>
        </is>
      </c>
      <c r="R138" s="6" t="inlineStr">
        <is>
          <t>Sub-item</t>
        </is>
      </c>
      <c r="S138" s="6" t="inlineStr">
        <is>
          <t>C-S10</t>
        </is>
      </c>
      <c r="T138" s="6" t="inlineStr">
        <is>
          <t>Recovery assumption RA3: appended search results do not degrade later steps.</t>
        </is>
      </c>
      <c r="U138" s="6" t="inlineStr">
        <is>
          <t>Assumption, not assumed true.</t>
        </is>
      </c>
      <c r="V138" s="6" t="inlineStr">
        <is>
          <t>Tested end-to-end (failure of RA1-RA4 is a lost task).</t>
        </is>
      </c>
      <c r="W138" s="6" t="inlineStr">
        <is>
          <t>C-D09, C-D08</t>
        </is>
      </c>
      <c r="X138" s="6" t="inlineStr"/>
      <c r="Y138" s="6" t="inlineStr"/>
      <c r="Z138" s="6" t="inlineStr"/>
      <c r="AA138" s="6" t="inlineStr"/>
      <c r="AB138" s="6" t="inlineStr">
        <is>
          <t>DATA</t>
        </is>
      </c>
      <c r="AC138" s="6" t="inlineStr">
        <is>
          <t>n/a (sub-item)</t>
        </is>
      </c>
      <c r="AD138" s="6" t="inlineStr">
        <is>
          <t>NEW (SRC-11 sub-row)</t>
        </is>
      </c>
      <c r="AE138" s="6" t="inlineStr">
        <is>
          <t>2026-10-19</t>
        </is>
      </c>
      <c r="AF138" s="6" t="inlineStr">
        <is>
          <t>v3-02 section 4 RA1-RA13</t>
        </is>
      </c>
      <c r="AG138" s="6" t="inlineStr"/>
      <c r="AH138" s="6" t="inlineStr">
        <is>
          <t>Yes</t>
        </is>
      </c>
      <c r="AI138" s="6" t="inlineStr"/>
      <c r="AJ138" s="6" t="inlineStr">
        <is>
          <t>repo: v3-02 section 4</t>
        </is>
      </c>
      <c r="AK138" s="6" t="inlineStr">
        <is>
          <t>RA3</t>
        </is>
      </c>
      <c r="AL138" s="6" t="inlineStr">
        <is>
          <t>S13</t>
        </is>
      </c>
    </row>
    <row r="139" ht="103" customHeight="1">
      <c r="A139" s="5" t="inlineStr">
        <is>
          <t>C-S10/RA9</t>
        </is>
      </c>
      <c r="B139" s="6" t="inlineStr">
        <is>
          <t>RA9: appended definitions remain visible for the rest of the trajectory</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K11 End-to-end comparison</t>
        </is>
      </c>
      <c r="I139" s="6" t="inlineStr">
        <is>
          <t>G4 Before claims</t>
        </is>
      </c>
      <c r="J139" s="6" t="inlineStr">
        <is>
          <t>Normal</t>
        </is>
      </c>
      <c r="K139" s="6" t="n">
        <v>206</v>
      </c>
      <c r="L139" s="6" t="inlineStr">
        <is>
          <t>W4 End-to-end</t>
        </is>
      </c>
      <c r="M139" s="6" t="inlineStr">
        <is>
          <t>S22</t>
        </is>
      </c>
      <c r="N139" s="6" t="inlineStr">
        <is>
          <t>Team</t>
        </is>
      </c>
      <c r="O139" s="6" t="inlineStr">
        <is>
          <t>Test only the remainder, in the proof-of-concept loop</t>
        </is>
      </c>
      <c r="P139" s="6" t="inlineStr">
        <is>
          <t>No</t>
        </is>
      </c>
      <c r="Q139" s="6" t="inlineStr">
        <is>
          <t>Assumption</t>
        </is>
      </c>
      <c r="R139" s="6" t="inlineStr">
        <is>
          <t>Sub-item</t>
        </is>
      </c>
      <c r="S139" s="6" t="inlineStr">
        <is>
          <t>C-S10</t>
        </is>
      </c>
      <c r="T139" s="6" t="inlineStr">
        <is>
          <t>Recovery assumption RA9 (design property to verify in the vehicle).</t>
        </is>
      </c>
      <c r="U139" s="6" t="inlineStr">
        <is>
          <t>Assumption, not assumed true.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39" s="6" t="inlineStr">
        <is>
          <t>Tested end-to-end (failure of RA1-RA4 is a lost task).</t>
        </is>
      </c>
      <c r="W139" s="6" t="inlineStr">
        <is>
          <t>C-D09, C-D08</t>
        </is>
      </c>
      <c r="X139" s="6" t="inlineStr"/>
      <c r="Y139" s="6" t="inlineStr"/>
      <c r="Z139" s="6" t="inlineStr"/>
      <c r="AA139" s="6" t="inlineStr"/>
      <c r="AB139" s="6" t="inlineStr">
        <is>
          <t>DATA</t>
        </is>
      </c>
      <c r="AC139" s="6" t="inlineStr">
        <is>
          <t>n/a (sub-item)</t>
        </is>
      </c>
      <c r="AD139" s="6" t="inlineStr">
        <is>
          <t>NEW (SRC-11 sub-row)</t>
        </is>
      </c>
      <c r="AE139" s="6" t="inlineStr">
        <is>
          <t>2026-10-21</t>
        </is>
      </c>
      <c r="AF139" s="6" t="inlineStr">
        <is>
          <t>FND-0038 (findings/SUM-0040)</t>
        </is>
      </c>
      <c r="AG139" s="6" t="inlineStr"/>
      <c r="AH139" s="6" t="inlineStr">
        <is>
          <t>Yes</t>
        </is>
      </c>
      <c r="AI139" s="6" t="inlineStr"/>
      <c r="AJ139" s="6" t="inlineStr">
        <is>
          <t>repo: v3-02 section 4</t>
        </is>
      </c>
      <c r="AK139" s="6" t="inlineStr">
        <is>
          <t>RA9</t>
        </is>
      </c>
      <c r="AL139" s="6" t="inlineStr">
        <is>
          <t>S13</t>
        </is>
      </c>
    </row>
    <row r="140" ht="40.5" customHeight="1">
      <c r="A140" s="5" t="inlineStr">
        <is>
          <t>C-S11</t>
        </is>
      </c>
      <c r="B140" s="6" t="inlineStr">
        <is>
          <t>Does a second filtering stage or a system trigger pay; is dependency-aware discovery useful?</t>
        </is>
      </c>
      <c r="C140" s="6" t="inlineStr">
        <is>
          <t>OPEN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K11 End-to-end comparison</t>
        </is>
      </c>
      <c r="I140" s="6" t="inlineStr">
        <is>
          <t>G4 Before claims</t>
        </is>
      </c>
      <c r="J140" s="6" t="inlineStr">
        <is>
          <t>Normal</t>
        </is>
      </c>
      <c r="K140" s="6" t="n">
        <v>207</v>
      </c>
      <c r="L140" s="6" t="inlineStr">
        <is>
          <t>W4 End-to-end</t>
        </is>
      </c>
      <c r="M140" s="6" t="inlineStr">
        <is>
          <t>S22</t>
        </is>
      </c>
      <c r="N140" s="6" t="inlineStr">
        <is>
          <t>Team</t>
        </is>
      </c>
      <c r="O140" s="6" t="inlineStr">
        <is>
          <t>Needs an AUTH and a protocol</t>
        </is>
      </c>
      <c r="P140" s="6" t="inlineStr">
        <is>
          <t>No</t>
        </is>
      </c>
      <c r="Q140" s="6" t="inlineStr">
        <is>
          <t>Scientific unknown</t>
        </is>
      </c>
      <c r="R140" s="6" t="inlineStr">
        <is>
          <t>Item</t>
        </is>
      </c>
      <c r="S140" s="6" t="inlineStr"/>
      <c r="T140" s="6" t="inlineStr">
        <is>
          <t>Does a second filtering stage or a system trigger pay; is dependency-aware discovery useful?</t>
        </is>
      </c>
      <c r="U140" s="6" t="inlineStr">
        <is>
          <t>No stored source supports a trigger; the only trigger-like result is a termination trigger.</t>
        </is>
      </c>
      <c r="V140" s="6" t="inlineStr">
        <is>
          <t>Cascade vs best single stage; trigger and no-miss overhead measured.</t>
        </is>
      </c>
      <c r="W140" s="6" t="inlineStr">
        <is>
          <t>C-D03, C-D09, C-D08</t>
        </is>
      </c>
      <c r="X140" s="6" t="inlineStr">
        <is>
          <t>C-S08, C-S12</t>
        </is>
      </c>
      <c r="Y140" s="6" t="inlineStr">
        <is>
          <t>Q-J08, Q-J11</t>
        </is>
      </c>
      <c r="Z140" s="6" t="inlineStr">
        <is>
          <t>LITERATURE-DIRECTED</t>
        </is>
      </c>
      <c r="AA140" s="6" t="inlineStr">
        <is>
          <t>K3 Policy form, K8 Search initiation &amp; recovery</t>
        </is>
      </c>
      <c r="AB140" s="6" t="inlineStr">
        <is>
          <t>DATA</t>
        </is>
      </c>
      <c r="AC140" s="6" t="inlineStr">
        <is>
          <t>OPEN</t>
        </is>
      </c>
      <c r="AD140" s="6" t="inlineStr">
        <is>
          <t>UNCHANGED</t>
        </is>
      </c>
      <c r="AE140" s="6" t="inlineStr">
        <is>
          <t>2026-10-19</t>
        </is>
      </c>
      <c r="AF140" s="6" t="inlineStr">
        <is>
          <t>v4-01 sections 4, 6</t>
        </is>
      </c>
      <c r="AG140" s="6" t="inlineStr"/>
      <c r="AH140" s="6" t="inlineStr">
        <is>
          <t>Yes</t>
        </is>
      </c>
      <c r="AI140" s="6" t="inlineStr"/>
      <c r="AJ140" s="6" t="inlineStr">
        <is>
          <t>SRC-11 canonical</t>
        </is>
      </c>
      <c r="AK140" s="6" t="inlineStr">
        <is>
          <t>SRC-06 S25, SRC-06 S26, SRC-07 21, RA5, HYP-0002, HYP-0006, HYP-0012, v3-04 objection 8</t>
        </is>
      </c>
      <c r="AL140" s="6" t="inlineStr">
        <is>
          <t>S13</t>
        </is>
      </c>
    </row>
    <row r="141" ht="28" customHeight="1">
      <c r="A141" s="5" t="inlineStr">
        <is>
          <t>C-S11/CASCADE</t>
        </is>
      </c>
      <c r="B141" s="6" t="inlineStr">
        <is>
          <t>Does a multi-stage cascade dominate the best single stage?</t>
        </is>
      </c>
      <c r="C141" s="6" t="inlineStr">
        <is>
          <t>OPEN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K11 End-to-end comparison</t>
        </is>
      </c>
      <c r="I141" s="6" t="inlineStr">
        <is>
          <t>G4 Before claims</t>
        </is>
      </c>
      <c r="J141" s="6" t="inlineStr">
        <is>
          <t>Normal</t>
        </is>
      </c>
      <c r="K141" s="6" t="n">
        <v>208</v>
      </c>
      <c r="L141" s="6" t="inlineStr">
        <is>
          <t>W4 End-to-end</t>
        </is>
      </c>
      <c r="M141" s="6" t="inlineStr">
        <is>
          <t>S22</t>
        </is>
      </c>
      <c r="N141" s="6" t="inlineStr">
        <is>
          <t>Team</t>
        </is>
      </c>
      <c r="O141" s="6" t="inlineStr">
        <is>
          <t>Needs an AUTH and a protocol</t>
        </is>
      </c>
      <c r="P141" s="6" t="inlineStr">
        <is>
          <t>No</t>
        </is>
      </c>
      <c r="Q141" s="6" t="inlineStr">
        <is>
          <t>Scientific unknown</t>
        </is>
      </c>
      <c r="R141" s="6" t="inlineStr">
        <is>
          <t>Sub-item</t>
        </is>
      </c>
      <c r="S141" s="6" t="inlineStr">
        <is>
          <t>C-S11</t>
        </is>
      </c>
      <c r="T141" s="6" t="inlineStr">
        <is>
          <t>HYP-0002: in the regimes tested no specified cascade dominates the best single-stage policy.</t>
        </is>
      </c>
      <c r="U141" s="6" t="inlineStr">
        <is>
          <t>Proposed; the DMB two-stage router scored 0.7-4.0 below rag:32 inside the +/-8 interval.</t>
        </is>
      </c>
      <c r="V141" s="6" t="inlineStr">
        <is>
          <t>Cascade vs best single stage on one scorer.</t>
        </is>
      </c>
      <c r="W141" s="6" t="inlineStr">
        <is>
          <t>C-D03, C-D09, C-D08</t>
        </is>
      </c>
      <c r="X141" s="6" t="inlineStr"/>
      <c r="Y141" s="6" t="inlineStr">
        <is>
          <t>Q-J08</t>
        </is>
      </c>
      <c r="Z141" s="6" t="inlineStr"/>
      <c r="AA141" s="6" t="inlineStr"/>
      <c r="AB141" s="6" t="inlineStr">
        <is>
          <t>DATA</t>
        </is>
      </c>
      <c r="AC141" s="6" t="inlineStr">
        <is>
          <t>n/a (sub-item)</t>
        </is>
      </c>
      <c r="AD141" s="6" t="inlineStr">
        <is>
          <t>NEW (SRC-11 sub-row)</t>
        </is>
      </c>
      <c r="AE141" s="6" t="inlineStr">
        <is>
          <t>2026-10-19</t>
        </is>
      </c>
      <c r="AF141" s="6" t="inlineStr">
        <is>
          <t>HYP-0002</t>
        </is>
      </c>
      <c r="AG141" s="6" t="inlineStr"/>
      <c r="AH141" s="6" t="inlineStr">
        <is>
          <t>Yes</t>
        </is>
      </c>
      <c r="AI141" s="6" t="inlineStr"/>
      <c r="AJ141" s="6" t="inlineStr">
        <is>
          <t>repo: HYP-0002</t>
        </is>
      </c>
      <c r="AK141" s="6" t="inlineStr">
        <is>
          <t>HYP-0002</t>
        </is>
      </c>
      <c r="AL141" s="6" t="inlineStr">
        <is>
          <t>S13</t>
        </is>
      </c>
    </row>
    <row r="142" ht="53" customHeight="1">
      <c r="A142" s="5" t="inlineStr">
        <is>
          <t>C-S11/TRIG</t>
        </is>
      </c>
      <c r="B142" s="6" t="inlineStr">
        <is>
          <t>System trigger: can it tell that a tool is missing? No source shows it</t>
        </is>
      </c>
      <c r="C142" s="6" t="inlineStr">
        <is>
          <t>OPEN</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K11 End-to-end comparison</t>
        </is>
      </c>
      <c r="I142" s="6" t="inlineStr">
        <is>
          <t>G4 Before claims</t>
        </is>
      </c>
      <c r="J142" s="6" t="inlineStr">
        <is>
          <t>Normal</t>
        </is>
      </c>
      <c r="K142" s="6" t="n">
        <v>209</v>
      </c>
      <c r="L142" s="6" t="inlineStr">
        <is>
          <t>W4 End-to-end</t>
        </is>
      </c>
      <c r="M142" s="6" t="inlineStr">
        <is>
          <t>S22</t>
        </is>
      </c>
      <c r="N142" s="6" t="inlineStr">
        <is>
          <t>Team</t>
        </is>
      </c>
      <c r="O142" s="6" t="inlineStr">
        <is>
          <t>Needs an AUTH and a protocol</t>
        </is>
      </c>
      <c r="P142" s="6" t="inlineStr">
        <is>
          <t>No</t>
        </is>
      </c>
      <c r="Q142" s="6" t="inlineStr">
        <is>
          <t>Scientific unknown</t>
        </is>
      </c>
      <c r="R142" s="6" t="inlineStr">
        <is>
          <t>Sub-item</t>
        </is>
      </c>
      <c r="S142" s="6" t="inlineStr">
        <is>
          <t>C-S11</t>
        </is>
      </c>
      <c r="T142" s="6" t="inlineStr">
        <is>
          <t>HYP-0006/0012 and RA5: a system trigger over runtime-observable signals (model text of inability, termination, repeated failure) is untested; the only trigger-like result is a termination trigger (PlanBench-XL).</t>
        </is>
      </c>
      <c r="U142" s="6" t="inlineStr">
        <is>
          <t>Proposed; no stored source.</t>
        </is>
      </c>
      <c r="V142" s="6" t="inlineStr">
        <is>
          <t>Trigger arms in the end-to-end pilot.</t>
        </is>
      </c>
      <c r="W142" s="6" t="inlineStr">
        <is>
          <t>C-D03, C-D09, C-D08</t>
        </is>
      </c>
      <c r="X142" s="6" t="inlineStr"/>
      <c r="Y142" s="6" t="inlineStr"/>
      <c r="Z142" s="6" t="inlineStr"/>
      <c r="AA142" s="6" t="inlineStr"/>
      <c r="AB142" s="6" t="inlineStr">
        <is>
          <t>DATA</t>
        </is>
      </c>
      <c r="AC142" s="6" t="inlineStr">
        <is>
          <t>n/a (sub-item)</t>
        </is>
      </c>
      <c r="AD142" s="6" t="inlineStr">
        <is>
          <t>NEW (SRC-11 sub-row)</t>
        </is>
      </c>
      <c r="AE142" s="6" t="inlineStr">
        <is>
          <t>2026-10-19</t>
        </is>
      </c>
      <c r="AF142" s="6" t="inlineStr">
        <is>
          <t>v4-01 section 4; HYP-0006</t>
        </is>
      </c>
      <c r="AG142" s="6" t="inlineStr"/>
      <c r="AH142" s="6" t="inlineStr">
        <is>
          <t>Yes</t>
        </is>
      </c>
      <c r="AI142" s="6" t="inlineStr"/>
      <c r="AJ142" s="6" t="inlineStr">
        <is>
          <t>repo: v4-01 section 4; HYP-0006/0012</t>
        </is>
      </c>
      <c r="AK142" s="6" t="inlineStr">
        <is>
          <t>HYP-0006, HYP-0012, RA5, CH-0041</t>
        </is>
      </c>
      <c r="AL142" s="6" t="inlineStr">
        <is>
          <t>S13</t>
        </is>
      </c>
    </row>
    <row r="143" ht="40.5" customHeight="1">
      <c r="A143" s="5" t="inlineStr">
        <is>
          <t>C-S18</t>
        </is>
      </c>
      <c r="B143" s="6" t="inlineStr">
        <is>
          <t>Interaction among needed tools and the residual success-loss term are unbounded; the cited simulation was n...</t>
        </is>
      </c>
      <c r="C143" s="6" t="inlineStr">
        <is>
          <t>PARTLY ANSWERED</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K17 Record repair &amp; procedure error</t>
        </is>
      </c>
      <c r="I143" s="6" t="inlineStr">
        <is>
          <t>G4 Before claims</t>
        </is>
      </c>
      <c r="J143" s="6" t="inlineStr">
        <is>
          <t>Normal</t>
        </is>
      </c>
      <c r="K143" s="6" t="n">
        <v>210</v>
      </c>
      <c r="L143" s="6" t="inlineStr">
        <is>
          <t>W4 End-to-end</t>
        </is>
      </c>
      <c r="M143" s="6" t="inlineStr">
        <is>
          <t>S22</t>
        </is>
      </c>
      <c r="N143" s="6" t="inlineStr">
        <is>
          <t>Lead; team</t>
        </is>
      </c>
      <c r="O143" s="6" t="inlineStr">
        <is>
          <t>Lead computes or writes it (no model runs)</t>
        </is>
      </c>
      <c r="P143" s="6" t="inlineStr">
        <is>
          <t>Partly</t>
        </is>
      </c>
      <c r="Q143" s="6" t="inlineStr">
        <is>
          <t>Scientific unknown</t>
        </is>
      </c>
      <c r="R143" s="6" t="inlineStr">
        <is>
          <t>Item</t>
        </is>
      </c>
      <c r="S143" s="6" t="inlineStr"/>
      <c r="T143" s="6" t="inlineStr">
        <is>
          <t>Interaction among needed tools and the residual success-loss term are unbounded; the cited simulation was not rerun.</t>
        </is>
      </c>
      <c r="U143" s="6" t="inlineStr">
        <is>
          <t>Errata removed the false bound and the greedy-optimality claim; v3 maths not re-derived in v4.</t>
        </is>
      </c>
      <c r="V143" s="6" t="inlineStr">
        <is>
          <t>Simulation rerun; interactions measured on paired trajectories.</t>
        </is>
      </c>
      <c r="W143" s="6" t="inlineStr"/>
      <c r="X143" s="6" t="inlineStr">
        <is>
          <t>C-D08</t>
        </is>
      </c>
      <c r="Y143" s="6" t="inlineStr"/>
      <c r="Z143" s="6" t="inlineStr">
        <is>
          <t>TEST-PILOT</t>
        </is>
      </c>
      <c r="AA143" s="6" t="inlineStr">
        <is>
          <t>K12 Selector &amp; need estimation</t>
        </is>
      </c>
      <c r="AB143" s="6" t="inlineStr">
        <is>
          <t>DATA</t>
        </is>
      </c>
      <c r="AC143" s="6" t="inlineStr">
        <is>
          <t>PARTLY ANSWERED - OPEN</t>
        </is>
      </c>
      <c r="AD143" s="6" t="inlineStr">
        <is>
          <t>UNCHANGED</t>
        </is>
      </c>
      <c r="AE143" s="6" t="inlineStr">
        <is>
          <t>2026-10-19</t>
        </is>
      </c>
      <c r="AF143" s="6" t="inlineStr">
        <is>
          <t>v3-01 sections 2-3; v4-03 section 3</t>
        </is>
      </c>
      <c r="AG143" s="6" t="inlineStr"/>
      <c r="AH143" s="6" t="inlineStr">
        <is>
          <t>Measured part: yes</t>
        </is>
      </c>
      <c r="AI143" s="6" t="inlineStr"/>
      <c r="AJ143" s="6" t="inlineStr">
        <is>
          <t>SRC-11 canonical</t>
        </is>
      </c>
      <c r="AK143" s="6" t="inlineStr">
        <is>
          <t>SRC-06 S36, SRC-06 S37</t>
        </is>
      </c>
      <c r="AL143" s="6" t="inlineStr">
        <is>
          <t>S14</t>
        </is>
      </c>
    </row>
    <row r="144" ht="53" customHeight="1">
      <c r="A144" s="5" t="inlineStr">
        <is>
          <t>C-S07</t>
        </is>
      </c>
      <c r="B144" s="6" t="inlineStr">
        <is>
          <t>Published contrasts confound tool count, total tokens, overlap and position; a full factorial may be imposs...</t>
        </is>
      </c>
      <c r="C144" s="6" t="inlineStr">
        <is>
          <t>DEFERRED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K11 End-to-end comparison</t>
        </is>
      </c>
      <c r="I144" s="6" t="inlineStr">
        <is>
          <t>G4 Before claims</t>
        </is>
      </c>
      <c r="J144" s="6" t="inlineStr">
        <is>
          <t>Normal</t>
        </is>
      </c>
      <c r="K144" s="6" t="n">
        <v>211</v>
      </c>
      <c r="L144" s="6" t="inlineStr">
        <is>
          <t>W4 End-to-end</t>
        </is>
      </c>
      <c r="M144" s="6" t="inlineStr">
        <is>
          <t>S22</t>
        </is>
      </c>
      <c r="N144" s="6" t="inlineStr">
        <is>
          <t>Team</t>
        </is>
      </c>
      <c r="O144" s="6" t="inlineStr">
        <is>
          <t>none until the trigger fires</t>
        </is>
      </c>
      <c r="P144" s="6" t="inlineStr">
        <is>
          <t>No</t>
        </is>
      </c>
      <c r="Q144" s="6" t="inlineStr">
        <is>
          <t>Scientific unknown</t>
        </is>
      </c>
      <c r="R144" s="6" t="inlineStr">
        <is>
          <t>Item</t>
        </is>
      </c>
      <c r="S144" s="6" t="inlineStr"/>
      <c r="T144" s="6" t="inlineStr">
        <is>
          <t>Published contrasts confound tool count, total tokens, overlap and position; a full factorial may be impossible.</t>
        </is>
      </c>
      <c r="U144" s="6" t="inlineStr">
        <is>
          <t>MCP-Universe adds a confounded observation only. 2026-10-21 (AUTH-019): belongs to the end-to-end phase (FND-0038 (findings/SUM-0040); the human's process, INT-T-005 line 7).</t>
        </is>
      </c>
      <c r="V144" s="6" t="inlineStr">
        <is>
          <t>Feasible token-matched contrasts run; what cannot be isolated is stated.</t>
        </is>
      </c>
      <c r="W144" s="6" t="inlineStr">
        <is>
          <t>C-D09, C-D08</t>
        </is>
      </c>
      <c r="X144" s="6" t="inlineStr"/>
      <c r="Y144" s="6" t="inlineStr"/>
      <c r="Z144" s="6" t="inlineStr">
        <is>
          <t>ACCEPT-LIMITATION</t>
        </is>
      </c>
      <c r="AA144" s="6" t="inlineStr"/>
      <c r="AB144" s="6" t="inlineStr">
        <is>
          <t>DATA+BOUND</t>
        </is>
      </c>
      <c r="AC144" s="6" t="inlineStr">
        <is>
          <t>OPEN</t>
        </is>
      </c>
      <c r="AD144" s="6" t="inlineStr">
        <is>
          <t>UNCHANGED</t>
        </is>
      </c>
      <c r="AE144" s="6" t="inlineStr">
        <is>
          <t>2026-10-21</t>
        </is>
      </c>
      <c r="AF144" s="6" t="inlineStr">
        <is>
          <t>FND-0037 (findings/SUM-0039); FND-0038 (findings/SUM-0040)</t>
        </is>
      </c>
      <c r="AG144" s="6" t="inlineStr">
        <is>
          <t>The end-to-end study is designed</t>
        </is>
      </c>
      <c r="AH144" s="6" t="inlineStr">
        <is>
          <t>Yes</t>
        </is>
      </c>
      <c r="AI144" s="6" t="inlineStr"/>
      <c r="AJ144" s="6" t="inlineStr">
        <is>
          <t>SRC-11 canonical</t>
        </is>
      </c>
      <c r="AK144" s="6" t="inlineStr">
        <is>
          <t>SRC-06 S20, SRC-07 19</t>
        </is>
      </c>
      <c r="AL144" s="6" t="inlineStr">
        <is>
          <t>S22</t>
        </is>
      </c>
    </row>
    <row r="145" ht="128" customHeight="1">
      <c r="A145" s="5" t="inlineStr">
        <is>
          <t>C-S14/MULT</t>
        </is>
      </c>
      <c r="B145" s="6" t="inlineStr">
        <is>
          <t>Multiplicity enumeration (CH-0040 a, b) remains open</t>
        </is>
      </c>
      <c r="C145" s="6" t="inlineStr">
        <is>
          <t>DEFERRED</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K5 Evaluation contract</t>
        </is>
      </c>
      <c r="I145" s="6" t="inlineStr">
        <is>
          <t>G3 Before confirmatory study</t>
        </is>
      </c>
      <c r="J145" s="6" t="inlineStr">
        <is>
          <t>Normal</t>
        </is>
      </c>
      <c r="K145" s="6" t="n">
        <v>212</v>
      </c>
      <c r="L145" s="6" t="inlineStr">
        <is>
          <t>W4 End-to-end</t>
        </is>
      </c>
      <c r="M145" s="6" t="inlineStr">
        <is>
          <t>S23</t>
        </is>
      </c>
      <c r="N145" s="6" t="inlineStr">
        <is>
          <t>Lead; team</t>
        </is>
      </c>
      <c r="O145" s="6" t="inlineStr">
        <is>
          <t>none until the trigger fires</t>
        </is>
      </c>
      <c r="P145" s="6" t="inlineStr">
        <is>
          <t>No</t>
        </is>
      </c>
      <c r="Q145" s="6" t="inlineStr">
        <is>
          <t>Scientific unknown</t>
        </is>
      </c>
      <c r="R145" s="6" t="inlineStr">
        <is>
          <t>Sub-item</t>
        </is>
      </c>
      <c r="S145" s="6" t="inlineStr">
        <is>
          <t>C-S14</t>
        </is>
      </c>
      <c r="T145" s="6" t="inlineStr">
        <is>
          <t>The enumeration of contrasts and the multiplicity rule across the arm table are open.</t>
        </is>
      </c>
      <c r="U145"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5" s="6" t="inlineStr">
        <is>
          <t>Contrast list fixed and correction chosen.</t>
        </is>
      </c>
      <c r="W145" s="6" t="inlineStr"/>
      <c r="X145" s="6" t="inlineStr"/>
      <c r="Y145" s="6" t="inlineStr"/>
      <c r="Z145" s="6" t="inlineStr"/>
      <c r="AA145" s="6" t="inlineStr"/>
      <c r="AB145" s="6" t="inlineStr">
        <is>
          <t>DATA</t>
        </is>
      </c>
      <c r="AC145" s="6" t="inlineStr">
        <is>
          <t>n/a (sub-item)</t>
        </is>
      </c>
      <c r="AD145" s="6" t="inlineStr">
        <is>
          <t>NEW (SRC-11 sub-row)</t>
        </is>
      </c>
      <c r="AE145" s="6" t="inlineStr">
        <is>
          <t>2026-10-21</t>
        </is>
      </c>
      <c r="AF145" s="6" t="inlineStr">
        <is>
          <t>INT-T-005 (requirements/intake/2026-10-21-user-decisions-after-meetings.md)</t>
        </is>
      </c>
      <c r="AG145" s="6" t="inlineStr">
        <is>
          <t>The end-to-end study is designed</t>
        </is>
      </c>
      <c r="AH145" s="6" t="inlineStr">
        <is>
          <t>No for simulation; yes for cross-setting</t>
        </is>
      </c>
      <c r="AI145" s="6" t="inlineStr"/>
      <c r="AJ145" s="6" t="inlineStr">
        <is>
          <t>repo: v4-02 section 6 / v4-03 section 5</t>
        </is>
      </c>
      <c r="AK145" s="6" t="inlineStr">
        <is>
          <t>CH-0040</t>
        </is>
      </c>
      <c r="AL145" s="6" t="inlineStr">
        <is>
          <t>S14</t>
        </is>
      </c>
    </row>
    <row r="146" ht="128" customHeight="1">
      <c r="A146" s="5" t="inlineStr">
        <is>
          <t>C-S14/PATHDEP</t>
        </is>
      </c>
      <c r="B146" s="6" t="inlineStr">
        <is>
          <t>Stage-inclusion reading is path-dependent</t>
        </is>
      </c>
      <c r="C146" s="6" t="inlineStr">
        <is>
          <t>DEFERRED</t>
        </is>
      </c>
      <c r="D146" s="6">
        <f>IFERROR(INDEX(Lists!$B$2:$B$14,MATCH(C146,Lists!$A$2:$A$14,0)),"?")</f>
        <v/>
      </c>
      <c r="E146" s="6">
        <f>IF(COUNTIFS(Links!$B$2:$B$600,A146,Links!$E$2:$E$600,"Yes")&gt;0,"REVISE","")</f>
        <v/>
      </c>
      <c r="F146" s="6">
        <f>COUNTIFS(Links!$B$2:$B$600,A146,Links!$D$2:$D$600,"No",Links!$C$2:$C$600,"&lt;&gt;INFORMS")</f>
        <v/>
      </c>
      <c r="G146" s="13" t="inlineStr">
        <is>
          <t>DESK-ANALYSIS</t>
        </is>
      </c>
      <c r="H146" s="6" t="inlineStr">
        <is>
          <t>K5 Evaluation contract</t>
        </is>
      </c>
      <c r="I146" s="6" t="inlineStr">
        <is>
          <t>G3 Before confirmatory study</t>
        </is>
      </c>
      <c r="J146" s="6" t="inlineStr">
        <is>
          <t>Normal</t>
        </is>
      </c>
      <c r="K146" s="6" t="n">
        <v>213</v>
      </c>
      <c r="L146" s="6" t="inlineStr">
        <is>
          <t>W4 End-to-end</t>
        </is>
      </c>
      <c r="M146" s="6" t="inlineStr">
        <is>
          <t>S23</t>
        </is>
      </c>
      <c r="N146" s="6" t="inlineStr">
        <is>
          <t>Lead; team</t>
        </is>
      </c>
      <c r="O146" s="6" t="inlineStr">
        <is>
          <t>none until the trigger fires</t>
        </is>
      </c>
      <c r="P146" s="6" t="inlineStr">
        <is>
          <t>No</t>
        </is>
      </c>
      <c r="Q146" s="6" t="inlineStr">
        <is>
          <t>Scientific unknown</t>
        </is>
      </c>
      <c r="R146" s="6" t="inlineStr">
        <is>
          <t>Sub-item</t>
        </is>
      </c>
      <c r="S146" s="6" t="inlineStr">
        <is>
          <t>C-S14</t>
        </is>
      </c>
      <c r="T146" s="6" t="inlineStr">
        <is>
          <t>A component that pays only in the presence of another is found only if that pair is in the arm table; table size drives multiplicity.</t>
        </is>
      </c>
      <c r="U146"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6" s="6" t="inlineStr">
        <is>
          <t>Matched pairs listed; table size fixed.</t>
        </is>
      </c>
      <c r="W146" s="6" t="inlineStr"/>
      <c r="X146" s="6" t="inlineStr"/>
      <c r="Y146" s="6" t="inlineStr"/>
      <c r="Z146" s="6" t="inlineStr"/>
      <c r="AA146" s="6" t="inlineStr"/>
      <c r="AB146" s="6" t="inlineStr">
        <is>
          <t>DATA</t>
        </is>
      </c>
      <c r="AC146" s="6" t="inlineStr">
        <is>
          <t>n/a (sub-item)</t>
        </is>
      </c>
      <c r="AD146" s="6" t="inlineStr">
        <is>
          <t>NEW (SRC-11 sub-row)</t>
        </is>
      </c>
      <c r="AE146" s="6" t="inlineStr">
        <is>
          <t>2026-10-21</t>
        </is>
      </c>
      <c r="AF146" s="6" t="inlineStr">
        <is>
          <t>INT-T-005 (requirements/intake/2026-10-21-user-decisions-after-meetings.md)</t>
        </is>
      </c>
      <c r="AG146" s="6" t="inlineStr">
        <is>
          <t>The end-to-end study is designed</t>
        </is>
      </c>
      <c r="AH146" s="6" t="inlineStr">
        <is>
          <t>No for simulation; yes for cross-setting</t>
        </is>
      </c>
      <c r="AI146" s="6" t="inlineStr"/>
      <c r="AJ146" s="6" t="inlineStr">
        <is>
          <t>repo: v4-02 section 6 / v4-03 section 5</t>
        </is>
      </c>
      <c r="AK146" s="6" t="inlineStr">
        <is>
          <t>CH-0049, RV-0005 R2</t>
        </is>
      </c>
      <c r="AL146" s="6" t="inlineStr">
        <is>
          <t>S14</t>
        </is>
      </c>
    </row>
    <row r="147" ht="128" customHeight="1">
      <c r="A147" s="5" t="inlineStr">
        <is>
          <t>C-S14/POSTSEL</t>
        </is>
      </c>
      <c r="B147" s="6" t="inlineStr">
        <is>
          <t>S is a post-selection set with unknown coverage</t>
        </is>
      </c>
      <c r="C147" s="6" t="inlineStr">
        <is>
          <t>DEFERRED</t>
        </is>
      </c>
      <c r="D147" s="6">
        <f>IFERROR(INDEX(Lists!$B$2:$B$14,MATCH(C147,Lists!$A$2:$A$14,0)),"?")</f>
        <v/>
      </c>
      <c r="E147" s="6">
        <f>IF(COUNTIFS(Links!$B$2:$B$600,A147,Links!$E$2:$E$600,"Yes")&gt;0,"REVISE","")</f>
        <v/>
      </c>
      <c r="F147" s="6">
        <f>COUNTIFS(Links!$B$2:$B$600,A147,Links!$D$2:$D$600,"No",Links!$C$2:$C$600,"&lt;&gt;INFORMS")</f>
        <v/>
      </c>
      <c r="G147" s="13" t="inlineStr">
        <is>
          <t>DESK-ANALYSIS</t>
        </is>
      </c>
      <c r="H147" s="6" t="inlineStr">
        <is>
          <t>K5 Evaluation contract</t>
        </is>
      </c>
      <c r="I147" s="6" t="inlineStr">
        <is>
          <t>G3 Before confirmatory study</t>
        </is>
      </c>
      <c r="J147" s="6" t="inlineStr">
        <is>
          <t>Normal</t>
        </is>
      </c>
      <c r="K147" s="6" t="n">
        <v>214</v>
      </c>
      <c r="L147" s="6" t="inlineStr">
        <is>
          <t>W4 End-to-end</t>
        </is>
      </c>
      <c r="M147" s="6" t="inlineStr">
        <is>
          <t>S23</t>
        </is>
      </c>
      <c r="N147" s="6" t="inlineStr">
        <is>
          <t>Lead; team</t>
        </is>
      </c>
      <c r="O147" s="6" t="inlineStr">
        <is>
          <t>none until the trigger fires</t>
        </is>
      </c>
      <c r="P147" s="6" t="inlineStr">
        <is>
          <t>No</t>
        </is>
      </c>
      <c r="Q147" s="6" t="inlineStr">
        <is>
          <t>Scientific unknown</t>
        </is>
      </c>
      <c r="R147" s="6" t="inlineStr">
        <is>
          <t>Sub-item</t>
        </is>
      </c>
      <c r="S147" s="6" t="inlineStr">
        <is>
          <t>C-S14</t>
        </is>
      </c>
      <c r="T147" s="6" t="inlineStr">
        <is>
          <t>F and S are estimated on the same split, so S's coverage is not nominal; its error rate is unknown (E6).</t>
        </is>
      </c>
      <c r="U147" s="6" t="inlineStr">
        <is>
          <t>Documented as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7" s="6" t="inlineStr">
        <is>
          <t>Simulation of coverage and sensitivity.</t>
        </is>
      </c>
      <c r="W147" s="6" t="inlineStr"/>
      <c r="X147" s="6" t="inlineStr"/>
      <c r="Y147" s="6" t="inlineStr"/>
      <c r="Z147" s="6" t="inlineStr"/>
      <c r="AA147" s="6" t="inlineStr"/>
      <c r="AB147" s="6" t="inlineStr">
        <is>
          <t>DATA</t>
        </is>
      </c>
      <c r="AC147" s="6" t="inlineStr">
        <is>
          <t>n/a (sub-item)</t>
        </is>
      </c>
      <c r="AD147" s="6" t="inlineStr">
        <is>
          <t>NEW (SRC-11 sub-row)</t>
        </is>
      </c>
      <c r="AE147" s="6" t="inlineStr">
        <is>
          <t>2026-10-21</t>
        </is>
      </c>
      <c r="AF147" s="6" t="inlineStr">
        <is>
          <t>INT-T-005 (requirements/intake/2026-10-21-user-decisions-after-meetings.md)</t>
        </is>
      </c>
      <c r="AG147" s="6" t="inlineStr">
        <is>
          <t>The end-to-end study is designed</t>
        </is>
      </c>
      <c r="AH147" s="6" t="inlineStr">
        <is>
          <t>No for simulation; yes for cross-setting</t>
        </is>
      </c>
      <c r="AI147" s="6" t="inlineStr"/>
      <c r="AJ147" s="6" t="inlineStr">
        <is>
          <t>repo: v4-02 section 6 / v4-03 section 5</t>
        </is>
      </c>
      <c r="AK147" s="6" t="inlineStr">
        <is>
          <t>CH-0050</t>
        </is>
      </c>
      <c r="AL147" s="6" t="inlineStr">
        <is>
          <t>S14</t>
        </is>
      </c>
    </row>
    <row r="148" ht="165.5" customHeight="1">
      <c r="A148" s="5" t="inlineStr">
        <is>
          <t>C-S14</t>
        </is>
      </c>
      <c r="B148" s="6" t="inlineStr">
        <is>
          <t>Error of the arm-selection procedure (multiplicity, strata, tails, power); margins and arm table unset.</t>
        </is>
      </c>
      <c r="C148" s="6" t="inlineStr">
        <is>
          <t>DEFERRED</t>
        </is>
      </c>
      <c r="D148" s="6">
        <f>IFERROR(INDEX(Lists!$B$2:$B$14,MATCH(C148,Lists!$A$2:$A$14,0)),"?")</f>
        <v/>
      </c>
      <c r="E148" s="6">
        <f>IF(COUNTIFS(Links!$B$2:$B$600,A148,Links!$E$2:$E$600,"Yes")&gt;0,"REVISE","")</f>
        <v/>
      </c>
      <c r="F148" s="6">
        <f>COUNTIFS(Links!$B$2:$B$600,A148,Links!$D$2:$D$600,"No",Links!$C$2:$C$600,"&lt;&gt;INFORMS")</f>
        <v/>
      </c>
      <c r="G148" s="13" t="inlineStr">
        <is>
          <t>DESK-ANALYSIS</t>
        </is>
      </c>
      <c r="H148" s="6" t="inlineStr">
        <is>
          <t>K5 Evaluation contract</t>
        </is>
      </c>
      <c r="I148" s="6" t="inlineStr">
        <is>
          <t>G3 Before confirmatory study</t>
        </is>
      </c>
      <c r="J148" s="6" t="inlineStr">
        <is>
          <t>Normal</t>
        </is>
      </c>
      <c r="K148" s="6" t="n">
        <v>215</v>
      </c>
      <c r="L148" s="6" t="inlineStr">
        <is>
          <t>W4 End-to-end</t>
        </is>
      </c>
      <c r="M148" s="6" t="inlineStr">
        <is>
          <t>S23</t>
        </is>
      </c>
      <c r="N148" s="6" t="inlineStr">
        <is>
          <t>Lead (simulation); Joaa/you (parameters)</t>
        </is>
      </c>
      <c r="O148" s="6" t="inlineStr">
        <is>
          <t>none until the trigger fires</t>
        </is>
      </c>
      <c r="P148" s="6" t="inlineStr">
        <is>
          <t>Partly</t>
        </is>
      </c>
      <c r="Q148" s="6" t="inlineStr">
        <is>
          <t>Scientific unknown</t>
        </is>
      </c>
      <c r="R148" s="6" t="inlineStr">
        <is>
          <t>Item</t>
        </is>
      </c>
      <c r="S148" s="6" t="inlineStr"/>
      <c r="T148" s="6" t="inlineStr">
        <is>
          <t>Error of the arm-selection procedure (multiplicity, strata, tails, power); margins and arm table unset.</t>
        </is>
      </c>
      <c r="U148" s="6" t="inlineStr">
        <is>
          <t>Tie rule rewritten (feasible set F, directional set S, human epsilon); power table verified; selection error unmeasured; multiplicity enumeration (CH-0040) open.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8" s="6" t="inlineStr">
        <is>
          <t>Simulation done; cross-setting test run on confirmatory data.</t>
        </is>
      </c>
      <c r="W148" s="6" t="inlineStr">
        <is>
          <t>C-D08, C-D06</t>
        </is>
      </c>
      <c r="X148" s="6" t="inlineStr"/>
      <c r="Y148" s="6" t="inlineStr">
        <is>
          <t>Q-J14, Q-J20, Q-U26</t>
        </is>
      </c>
      <c r="Z148" s="6" t="inlineStr">
        <is>
          <t>JOAA-DECISION, TEST-PILOT</t>
        </is>
      </c>
      <c r="AA148" s="6" t="inlineStr">
        <is>
          <t>K17 Record repair &amp; procedure error</t>
        </is>
      </c>
      <c r="AB148" s="6" t="inlineStr">
        <is>
          <t>DATA+DEC</t>
        </is>
      </c>
      <c r="AC148" s="6" t="inlineStr">
        <is>
          <t>PARTLY ANSWERED - OPEN</t>
        </is>
      </c>
      <c r="AD148" s="6" t="inlineStr">
        <is>
          <t>RE-CHARACTERISED</t>
        </is>
      </c>
      <c r="AE148" s="6" t="inlineStr">
        <is>
          <t>2026-10-21</t>
        </is>
      </c>
      <c r="AF148" s="6" t="inlineStr">
        <is>
          <t>INT-T-005 (requirements/intake/2026-10-21-user-decisions-after-meetings.md)</t>
        </is>
      </c>
      <c r="AG148" s="6" t="inlineStr">
        <is>
          <t>The end-to-end study is designed</t>
        </is>
      </c>
      <c r="AH148" s="6" t="inlineStr">
        <is>
          <t>No for simulation; yes for cross-setting</t>
        </is>
      </c>
      <c r="AI148" s="6" t="inlineStr"/>
      <c r="AJ148" s="6" t="inlineStr">
        <is>
          <t>SRC-11 canonical</t>
        </is>
      </c>
      <c r="AK148" s="6" t="inlineStr">
        <is>
          <t>SRC-06 S32, SRC-06 S38, SRC-06 C01, SRC-06 C12, SRC-07 09, SRC-07 16, SRC-07 17, CH-0040, v3-04 objection 1</t>
        </is>
      </c>
      <c r="AL148" s="6" t="inlineStr">
        <is>
          <t>S14</t>
        </is>
      </c>
    </row>
    <row r="149" ht="128" customHeight="1">
      <c r="A149" s="5" t="inlineStr">
        <is>
          <t>C-X06</t>
        </is>
      </c>
      <c r="B149" s="6" t="inlineStr">
        <is>
          <t>E6: error rates of the arm-selection procedure (simulation plus cross-setting test).</t>
        </is>
      </c>
      <c r="C149" s="6" t="inlineStr">
        <is>
          <t>DEFERRED</t>
        </is>
      </c>
      <c r="D149" s="6">
        <f>IFERROR(INDEX(Lists!$B$2:$B$14,MATCH(C149,Lists!$A$2:$A$14,0)),"?")</f>
        <v/>
      </c>
      <c r="E149" s="6">
        <f>IF(COUNTIFS(Links!$B$2:$B$600,A149,Links!$E$2:$E$600,"Yes")&gt;0,"REVISE","")</f>
        <v/>
      </c>
      <c r="F149" s="6">
        <f>COUNTIFS(Links!$B$2:$B$600,A149,Links!$D$2:$D$600,"No",Links!$C$2:$C$600,"&lt;&gt;INFORMS")</f>
        <v/>
      </c>
      <c r="G149" s="13" t="inlineStr">
        <is>
          <t>DESK-ANALYSIS</t>
        </is>
      </c>
      <c r="H149" s="6" t="inlineStr">
        <is>
          <t>K5 Evaluation contract</t>
        </is>
      </c>
      <c r="I149" s="6" t="inlineStr">
        <is>
          <t>G3 Before confirmatory study</t>
        </is>
      </c>
      <c r="J149" s="6" t="inlineStr">
        <is>
          <t>Normal</t>
        </is>
      </c>
      <c r="K149" s="6" t="n">
        <v>216</v>
      </c>
      <c r="L149" s="6" t="inlineStr">
        <is>
          <t>W4 End-to-end</t>
        </is>
      </c>
      <c r="M149" s="6" t="inlineStr">
        <is>
          <t>S23</t>
        </is>
      </c>
      <c r="N149" s="6" t="inlineStr">
        <is>
          <t>Lead / team</t>
        </is>
      </c>
      <c r="O149" s="6" t="inlineStr">
        <is>
          <t>none until the trigger fires</t>
        </is>
      </c>
      <c r="P149" s="6" t="inlineStr">
        <is>
          <t>No</t>
        </is>
      </c>
      <c r="Q149" s="6" t="inlineStr">
        <is>
          <t>Test</t>
        </is>
      </c>
      <c r="R149" s="6" t="inlineStr">
        <is>
          <t>Check</t>
        </is>
      </c>
      <c r="S149" s="6" t="inlineStr"/>
      <c r="T149" s="6" t="inlineStr">
        <is>
          <t>E6: error rates of the arm-selection procedure (simulation plus cross-setting test).</t>
        </is>
      </c>
      <c r="U149" s="6" t="inlineStr">
        <is>
          <t>Not run. 2026-10-21 (AUTH-019, the human's decisions): deferred to the end-to-end phase: the human's process is research and a drafted policy, then proof-of-concept tests of parts in a loop ('not rigirous tests or full tests'), then an end-to-end study and final findings (INT-T-005 (requirements/intake/2026-10-21-user-decisions-after-meetings.md) line 7); error control, strata and the selection procedure's error rates belong to that last phase.</t>
        </is>
      </c>
      <c r="V149" s="6" t="inlineStr">
        <is>
          <t>Same as C-S14.</t>
        </is>
      </c>
      <c r="W149" s="6" t="inlineStr">
        <is>
          <t>C-D08</t>
        </is>
      </c>
      <c r="X149" s="6" t="inlineStr"/>
      <c r="Y149" s="6" t="inlineStr">
        <is>
          <t>Q-U26</t>
        </is>
      </c>
      <c r="Z149" s="6" t="inlineStr">
        <is>
          <t>TEST-PILOT</t>
        </is>
      </c>
      <c r="AA149" s="6" t="inlineStr">
        <is>
          <t>K17 Record repair &amp; procedure error</t>
        </is>
      </c>
      <c r="AB149" s="6" t="inlineStr">
        <is>
          <t>DATA</t>
        </is>
      </c>
      <c r="AC149" s="6" t="inlineStr">
        <is>
          <t>NO RESULT - OPEN</t>
        </is>
      </c>
      <c r="AD149" s="6" t="inlineStr">
        <is>
          <t>UNCHANGED</t>
        </is>
      </c>
      <c r="AE149" s="6" t="inlineStr">
        <is>
          <t>2026-10-21</t>
        </is>
      </c>
      <c r="AF149" s="6" t="inlineStr">
        <is>
          <t>INT-T-005 (requirements/intake/2026-10-21-user-decisions-after-meetings.md)</t>
        </is>
      </c>
      <c r="AG149" s="6" t="inlineStr">
        <is>
          <t>The end-to-end study is designed</t>
        </is>
      </c>
      <c r="AH149" s="6" t="inlineStr">
        <is>
          <t>Cross-setting part: yes</t>
        </is>
      </c>
      <c r="AI149" s="6" t="inlineStr"/>
      <c r="AJ149" s="6" t="inlineStr">
        <is>
          <t>SRC-11 canonical</t>
        </is>
      </c>
      <c r="AK149" s="6" t="inlineStr">
        <is>
          <t>E6</t>
        </is>
      </c>
      <c r="AL149" s="6" t="inlineStr">
        <is>
          <t>S14</t>
        </is>
      </c>
    </row>
    <row r="150" ht="53" customHeight="1">
      <c r="A150" s="5" t="inlineStr">
        <is>
          <t>N-12</t>
        </is>
      </c>
      <c r="B150" s="6" t="inlineStr">
        <is>
          <t>Does an early-observable quantity predict whether restriction pays?</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K9 Cache &amp; billing</t>
        </is>
      </c>
      <c r="I150" s="6" t="inlineStr">
        <is>
          <t>G3 Before confirmatory study</t>
        </is>
      </c>
      <c r="J150" s="6" t="inlineStr">
        <is>
          <t>Normal</t>
        </is>
      </c>
      <c r="K150" s="6" t="n">
        <v>217</v>
      </c>
      <c r="L150" s="6" t="inlineStr">
        <is>
          <t>W4 End-to-end</t>
        </is>
      </c>
      <c r="M150" s="6" t="inlineStr">
        <is>
          <t>S23</t>
        </is>
      </c>
      <c r="N150" s="6" t="inlineStr">
        <is>
          <t>Team</t>
        </is>
      </c>
      <c r="O150" s="6" t="inlineStr">
        <is>
          <t>Needs an AUTH and a protocol</t>
        </is>
      </c>
      <c r="P150" s="6" t="inlineStr">
        <is>
          <t>No</t>
        </is>
      </c>
      <c r="Q150" s="6" t="inlineStr">
        <is>
          <t>Scientific unknown</t>
        </is>
      </c>
      <c r="R150" s="6" t="inlineStr">
        <is>
          <t>Item</t>
        </is>
      </c>
      <c r="S150" s="6" t="inlineStr"/>
      <c r="T150" s="6" t="inlineStr">
        <is>
          <t>HYP-0001: a quantity observable at or shortly after session start (early cache-read share, request repetition) predicts which exposure arm is non-dominated better than pre-session variables.</t>
        </is>
      </c>
      <c r="U150" s="6" t="inlineStr">
        <is>
          <t>Proposed; falsifier stated.</t>
        </is>
      </c>
      <c r="V150" s="6" t="inlineStr">
        <is>
          <t>Regime grid run with early-observable features; falsifier tested.</t>
        </is>
      </c>
      <c r="W150" s="6" t="inlineStr">
        <is>
          <t>C-D09, C-D08</t>
        </is>
      </c>
      <c r="X150" s="6" t="inlineStr">
        <is>
          <t>N-3</t>
        </is>
      </c>
      <c r="Y150" s="6" t="inlineStr">
        <is>
          <t>Q-J04</t>
        </is>
      </c>
      <c r="Z150" s="6" t="inlineStr"/>
      <c r="AA150" s="6" t="inlineStr"/>
      <c r="AB150" s="6" t="inlineStr">
        <is>
          <t>DATA</t>
        </is>
      </c>
      <c r="AC150" s="6" t="inlineStr">
        <is>
          <t>n/a (new)</t>
        </is>
      </c>
      <c r="AD150" s="6" t="inlineStr">
        <is>
          <t>NEW (repo sweep)</t>
        </is>
      </c>
      <c r="AE150" s="6" t="inlineStr">
        <is>
          <t>2026-10-19</t>
        </is>
      </c>
      <c r="AF150" s="6" t="inlineStr">
        <is>
          <t>HYP-0001 (proposed); untestable on the closest vehicle (no sessions, no cache fields)</t>
        </is>
      </c>
      <c r="AG150" s="6" t="inlineStr"/>
      <c r="AH150" s="6" t="inlineStr">
        <is>
          <t>Yes</t>
        </is>
      </c>
      <c r="AI150" s="6" t="inlineStr"/>
      <c r="AJ150" s="6" t="inlineStr">
        <is>
          <t>repo: hypotheses/HYP-0001.md</t>
        </is>
      </c>
      <c r="AK150" s="6" t="inlineStr">
        <is>
          <t>HYP-0001</t>
        </is>
      </c>
      <c r="AL150" s="6" t="inlineStr">
        <is>
          <t>S18</t>
        </is>
      </c>
    </row>
    <row r="151" ht="90.5" customHeight="1">
      <c r="A151" s="5" t="inlineStr">
        <is>
          <t>C-S02/INVERSION</t>
        </is>
      </c>
      <c r="B151" s="6" t="inlineStr">
        <is>
          <t>Does a regime exist where fewer exposed tokens cost more in billed terms?</t>
        </is>
      </c>
      <c r="C151" s="6" t="inlineStr">
        <is>
          <t>PARTLY ANSWERED</t>
        </is>
      </c>
      <c r="D151" s="6">
        <f>IFERROR(INDEX(Lists!$B$2:$B$14,MATCH(C151,Lists!$A$2:$A$14,0)),"?")</f>
        <v/>
      </c>
      <c r="E151" s="6">
        <f>IF(COUNTIFS(Links!$B$2:$B$600,A151,Links!$E$2:$E$600,"Yes")&gt;0,"REVISE","")</f>
        <v/>
      </c>
      <c r="F151" s="6">
        <f>COUNTIFS(Links!$B$2:$B$600,A151,Links!$D$2:$D$600,"No",Links!$C$2:$C$600,"&lt;&gt;INFORMS")</f>
        <v/>
      </c>
      <c r="G151" s="19" t="inlineStr">
        <is>
          <t>TEST-CONFIRMATORY</t>
        </is>
      </c>
      <c r="H151" s="6" t="inlineStr">
        <is>
          <t>K11 End-to-end comparison</t>
        </is>
      </c>
      <c r="I151" s="6" t="inlineStr">
        <is>
          <t>G4 Before claims</t>
        </is>
      </c>
      <c r="J151" s="6" t="inlineStr">
        <is>
          <t>Normal</t>
        </is>
      </c>
      <c r="K151" s="6" t="n">
        <v>219</v>
      </c>
      <c r="L151" s="6" t="inlineStr">
        <is>
          <t>W4 End-to-end</t>
        </is>
      </c>
      <c r="M151" s="6" t="inlineStr">
        <is>
          <t>S23</t>
        </is>
      </c>
      <c r="N151" s="6" t="inlineStr">
        <is>
          <t>Team</t>
        </is>
      </c>
      <c r="O151" s="6" t="inlineStr">
        <is>
          <t>Test only the remainder, in the proof-of-concept loop</t>
        </is>
      </c>
      <c r="P151" s="6" t="inlineStr">
        <is>
          <t>No</t>
        </is>
      </c>
      <c r="Q151" s="6" t="inlineStr">
        <is>
          <t>Scientific unknown</t>
        </is>
      </c>
      <c r="R151" s="6" t="inlineStr">
        <is>
          <t>Sub-item</t>
        </is>
      </c>
      <c r="S151" s="6" t="inlineStr">
        <is>
          <t>C-S02</t>
        </is>
      </c>
      <c r="T151" s="6" t="inlineStr">
        <is>
          <t>HYP-0005/0008: the exposure-cost relation is not monotone; an inversion arises only via a lower hit rate, longer decision path or higher price of the restricted arm.</t>
        </is>
      </c>
      <c r="U151" s="6" t="inlineStr">
        <is>
          <t>Proposed.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1" s="6" t="inlineStr">
        <is>
          <t>Sweep over cache regimes and surface policies with intervals.</t>
        </is>
      </c>
      <c r="W151" s="6" t="inlineStr">
        <is>
          <t>C-D09, C-D08</t>
        </is>
      </c>
      <c r="X151" s="6" t="inlineStr"/>
      <c r="Y151" s="6" t="inlineStr"/>
      <c r="Z151" s="6" t="inlineStr"/>
      <c r="AA151" s="6" t="inlineStr"/>
      <c r="AB151" s="6" t="inlineStr">
        <is>
          <t>DATA</t>
        </is>
      </c>
      <c r="AC151" s="6" t="inlineStr">
        <is>
          <t>n/a (sub-item)</t>
        </is>
      </c>
      <c r="AD151" s="6" t="inlineStr">
        <is>
          <t>NEW (SRC-11 sub-row)</t>
        </is>
      </c>
      <c r="AE151" s="6" t="inlineStr">
        <is>
          <t>2026-10-21</t>
        </is>
      </c>
      <c r="AF151" s="6" t="inlineStr">
        <is>
          <t>FND-0038 (findings/SUM-0040)</t>
        </is>
      </c>
      <c r="AG151" s="6" t="inlineStr"/>
      <c r="AH151" s="6" t="inlineStr">
        <is>
          <t>Yes</t>
        </is>
      </c>
      <c r="AI151" s="6" t="inlineStr"/>
      <c r="AJ151" s="6" t="inlineStr">
        <is>
          <t>repo: HYP records / CH-0042</t>
        </is>
      </c>
      <c r="AK151" s="6" t="inlineStr">
        <is>
          <t>HYP-0005, HYP-0008</t>
        </is>
      </c>
      <c r="AL151" s="6" t="inlineStr">
        <is>
          <t>S22</t>
        </is>
      </c>
    </row>
    <row r="152" ht="40.5" customHeight="1">
      <c r="A152" s="5" t="inlineStr">
        <is>
          <t>C-S02/PERVERSE</t>
        </is>
      </c>
      <c r="B152" s="6" t="inlineStr">
        <is>
          <t>Perverse optima of the token objective (tail dilution, expensive-task shedding, uncounted compute)</t>
        </is>
      </c>
      <c r="C152" s="6" t="inlineStr">
        <is>
          <t>OPEN</t>
        </is>
      </c>
      <c r="D152" s="6">
        <f>IFERROR(INDEX(Lists!$B$2:$B$14,MATCH(C152,Lists!$A$2:$A$14,0)),"?")</f>
        <v/>
      </c>
      <c r="E152" s="6">
        <f>IF(COUNTIFS(Links!$B$2:$B$600,A152,Links!$E$2:$E$600,"Yes")&gt;0,"REVISE","")</f>
        <v/>
      </c>
      <c r="F152" s="6">
        <f>COUNTIFS(Links!$B$2:$B$600,A152,Links!$D$2:$D$600,"No",Links!$C$2:$C$600,"&lt;&gt;INFORMS")</f>
        <v/>
      </c>
      <c r="G152" s="13" t="inlineStr">
        <is>
          <t>DESK-ANALYSIS</t>
        </is>
      </c>
      <c r="H152" s="6" t="inlineStr">
        <is>
          <t>K11 End-to-end comparison</t>
        </is>
      </c>
      <c r="I152" s="6" t="inlineStr">
        <is>
          <t>G4 Before claims</t>
        </is>
      </c>
      <c r="J152" s="6" t="inlineStr">
        <is>
          <t>Normal</t>
        </is>
      </c>
      <c r="K152" s="6" t="n">
        <v>220</v>
      </c>
      <c r="L152" s="6" t="inlineStr">
        <is>
          <t>W4 End-to-end</t>
        </is>
      </c>
      <c r="M152" s="6" t="inlineStr">
        <is>
          <t>S23</t>
        </is>
      </c>
      <c r="N152" s="6" t="inlineStr">
        <is>
          <t>Team</t>
        </is>
      </c>
      <c r="O152" s="6" t="inlineStr">
        <is>
          <t>Lead computes or writes it (no model runs)</t>
        </is>
      </c>
      <c r="P152" s="6" t="inlineStr">
        <is>
          <t>No</t>
        </is>
      </c>
      <c r="Q152" s="6" t="inlineStr">
        <is>
          <t>Scientific unknown</t>
        </is>
      </c>
      <c r="R152" s="6" t="inlineStr">
        <is>
          <t>Sub-item</t>
        </is>
      </c>
      <c r="S152" s="6" t="inlineStr">
        <is>
          <t>C-S02</t>
        </is>
      </c>
      <c r="T152" s="6" t="inlineStr">
        <is>
          <t>CH-0042: an aggregate noninferiority constraint on tokens can have perverse optima; non-token compute is uncounted.</t>
        </is>
      </c>
      <c r="U152" s="6" t="inlineStr">
        <is>
          <t>Stratum guard added; tokens split by outcome belong to E1.</t>
        </is>
      </c>
      <c r="V152" s="6" t="inlineStr">
        <is>
          <t>Success and tokens reported by stratum and outcome; non-token compute listed.</t>
        </is>
      </c>
      <c r="W152" s="6" t="inlineStr">
        <is>
          <t>C-D09, C-D08</t>
        </is>
      </c>
      <c r="X152" s="6" t="inlineStr"/>
      <c r="Y152" s="6" t="inlineStr"/>
      <c r="Z152" s="6" t="inlineStr"/>
      <c r="AA152" s="6" t="inlineStr"/>
      <c r="AB152" s="6" t="inlineStr">
        <is>
          <t>DATA</t>
        </is>
      </c>
      <c r="AC152" s="6" t="inlineStr">
        <is>
          <t>n/a (sub-item)</t>
        </is>
      </c>
      <c r="AD152" s="6" t="inlineStr">
        <is>
          <t>NEW (SRC-11 sub-row)</t>
        </is>
      </c>
      <c r="AE152" s="6" t="inlineStr">
        <is>
          <t>2026-10-19</t>
        </is>
      </c>
      <c r="AF152" s="6" t="inlineStr">
        <is>
          <t>v3-04 section 1 (CH-0042 residual)</t>
        </is>
      </c>
      <c r="AG152" s="6" t="inlineStr"/>
      <c r="AH152" s="6" t="inlineStr">
        <is>
          <t>Yes</t>
        </is>
      </c>
      <c r="AI152" s="6" t="inlineStr"/>
      <c r="AJ152" s="6" t="inlineStr">
        <is>
          <t>repo: HYP records / CH-0042</t>
        </is>
      </c>
      <c r="AK152" s="6" t="inlineStr">
        <is>
          <t>CH-0042</t>
        </is>
      </c>
      <c r="AL152" s="6" t="inlineStr">
        <is>
          <t>S22</t>
        </is>
      </c>
    </row>
    <row r="153" ht="40.5" customHeight="1">
      <c r="A153" s="5" t="inlineStr">
        <is>
          <t>C-S02/PREV</t>
        </is>
      </c>
      <c r="B153" s="6" t="inlineStr">
        <is>
          <t>Is recovery worth its price as a function of prevalence w of tasks needing non-core tools?</t>
        </is>
      </c>
      <c r="C153" s="6" t="inlineStr">
        <is>
          <t>OPEN</t>
        </is>
      </c>
      <c r="D153" s="6">
        <f>IFERROR(INDEX(Lists!$B$2:$B$14,MATCH(C153,Lists!$A$2:$A$14,0)),"?")</f>
        <v/>
      </c>
      <c r="E153" s="6">
        <f>IF(COUNTIFS(Links!$B$2:$B$600,A153,Links!$E$2:$E$600,"Yes")&gt;0,"REVISE","")</f>
        <v/>
      </c>
      <c r="F153" s="6">
        <f>COUNTIFS(Links!$B$2:$B$600,A153,Links!$D$2:$D$600,"No",Links!$C$2:$C$600,"&lt;&gt;INFORMS")</f>
        <v/>
      </c>
      <c r="G153" s="19" t="inlineStr">
        <is>
          <t>TEST-CONFIRMATORY</t>
        </is>
      </c>
      <c r="H153" s="6" t="inlineStr">
        <is>
          <t>K11 End-to-end comparison</t>
        </is>
      </c>
      <c r="I153" s="6" t="inlineStr">
        <is>
          <t>G4 Before claims</t>
        </is>
      </c>
      <c r="J153" s="6" t="inlineStr">
        <is>
          <t>Normal</t>
        </is>
      </c>
      <c r="K153" s="6" t="n">
        <v>221</v>
      </c>
      <c r="L153" s="6" t="inlineStr">
        <is>
          <t>W4 End-to-end</t>
        </is>
      </c>
      <c r="M153" s="6" t="inlineStr">
        <is>
          <t>S23</t>
        </is>
      </c>
      <c r="N153" s="6" t="inlineStr">
        <is>
          <t>Team</t>
        </is>
      </c>
      <c r="O153" s="6" t="inlineStr">
        <is>
          <t>Only after pilots, decisions and an AUTH</t>
        </is>
      </c>
      <c r="P153" s="6" t="inlineStr">
        <is>
          <t>No</t>
        </is>
      </c>
      <c r="Q153" s="6" t="inlineStr">
        <is>
          <t>Scientific unknown</t>
        </is>
      </c>
      <c r="R153" s="6" t="inlineStr">
        <is>
          <t>Sub-item</t>
        </is>
      </c>
      <c r="S153" s="6" t="inlineStr">
        <is>
          <t>C-S02</t>
        </is>
      </c>
      <c r="T153" s="6" t="inlineStr">
        <is>
          <t>HYP-0011: value accrues only in tasks needing a tool outside the core while price accrues in all tasks.</t>
        </is>
      </c>
      <c r="U153" s="6" t="inlineStr">
        <is>
          <t>Proposed.</t>
        </is>
      </c>
      <c r="V153" s="6" t="inlineStr">
        <is>
          <t>Population net effect w x gain - (1-w) x price estimated; prevalence reported.</t>
        </is>
      </c>
      <c r="W153" s="6" t="inlineStr">
        <is>
          <t>C-D09, C-D08</t>
        </is>
      </c>
      <c r="X153" s="6" t="inlineStr"/>
      <c r="Y153" s="6" t="inlineStr"/>
      <c r="Z153" s="6" t="inlineStr"/>
      <c r="AA153" s="6" t="inlineStr"/>
      <c r="AB153" s="6" t="inlineStr">
        <is>
          <t>DATA</t>
        </is>
      </c>
      <c r="AC153" s="6" t="inlineStr">
        <is>
          <t>n/a (sub-item)</t>
        </is>
      </c>
      <c r="AD153" s="6" t="inlineStr">
        <is>
          <t>NEW (SRC-11 sub-row)</t>
        </is>
      </c>
      <c r="AE153" s="6" t="inlineStr">
        <is>
          <t>2026-10-19</t>
        </is>
      </c>
      <c r="AF153" s="6" t="inlineStr">
        <is>
          <t>HYP-0011</t>
        </is>
      </c>
      <c r="AG153" s="6" t="inlineStr"/>
      <c r="AH153" s="6" t="inlineStr">
        <is>
          <t>Yes</t>
        </is>
      </c>
      <c r="AI153" s="6" t="inlineStr"/>
      <c r="AJ153" s="6" t="inlineStr">
        <is>
          <t>repo: HYP records / CH-0042</t>
        </is>
      </c>
      <c r="AK153" s="6" t="inlineStr">
        <is>
          <t>HYP-0011</t>
        </is>
      </c>
      <c r="AL153" s="6" t="inlineStr">
        <is>
          <t>S22</t>
        </is>
      </c>
    </row>
    <row r="154" ht="300" customHeight="1">
      <c r="A154" s="5" t="inlineStr">
        <is>
          <t>C-S02</t>
        </is>
      </c>
      <c r="B154" s="6" t="inlineStr">
        <is>
          <t>Repeated complete-trajectory success and cache-aware billed cost: deferral/discovery vs cached full exposure.</t>
        </is>
      </c>
      <c r="C154" s="6" t="inlineStr">
        <is>
          <t>PARTLY ANSWERED</t>
        </is>
      </c>
      <c r="D154" s="6">
        <f>IFERROR(INDEX(Lists!$B$2:$B$14,MATCH(C154,Lists!$A$2:$A$14,0)),"?")</f>
        <v/>
      </c>
      <c r="E154" s="6">
        <f>IF(COUNTIFS(Links!$B$2:$B$600,A154,Links!$E$2:$E$600,"Yes")&gt;0,"REVISE","")</f>
        <v/>
      </c>
      <c r="F154" s="6">
        <f>COUNTIFS(Links!$B$2:$B$600,A154,Links!$D$2:$D$600,"No",Links!$C$2:$C$600,"&lt;&gt;INFORMS")</f>
        <v/>
      </c>
      <c r="G154" s="19" t="inlineStr">
        <is>
          <t>TEST-CONFIRMATORY</t>
        </is>
      </c>
      <c r="H154" s="6" t="inlineStr">
        <is>
          <t>K11 End-to-end comparison</t>
        </is>
      </c>
      <c r="I154" s="6" t="inlineStr">
        <is>
          <t>G4 Before claims</t>
        </is>
      </c>
      <c r="J154" s="6" t="inlineStr">
        <is>
          <t>Normal</t>
        </is>
      </c>
      <c r="K154" s="6" t="n">
        <v>222</v>
      </c>
      <c r="L154" s="6" t="inlineStr">
        <is>
          <t>W4 End-to-end</t>
        </is>
      </c>
      <c r="M154" s="6" t="inlineStr">
        <is>
          <t>S23</t>
        </is>
      </c>
      <c r="N154" s="6" t="inlineStr">
        <is>
          <t>Team</t>
        </is>
      </c>
      <c r="O154" s="6" t="inlineStr">
        <is>
          <t>Test only the remainder, in the proof-of-concept loop</t>
        </is>
      </c>
      <c r="P154" s="6" t="inlineStr">
        <is>
          <t>No</t>
        </is>
      </c>
      <c r="Q154" s="6" t="inlineStr">
        <is>
          <t>Scientific unknown</t>
        </is>
      </c>
      <c r="R154" s="6" t="inlineStr">
        <is>
          <t>Item</t>
        </is>
      </c>
      <c r="S154" s="6" t="inlineStr"/>
      <c r="T154" s="6" t="inlineStr">
        <is>
          <t>Repeated complete-trajectory success and cache-aware billed cost: deferral/discovery vs cached full exposure.</t>
        </is>
      </c>
      <c r="U154"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 2026-10-21 (AUTH-019): PARTLY ESTABLISHED under the human's principle: the providers' documented mechanism and prices are adopted without re-test; what stays to test is only the remainder stated in this row's entry in FND-0038 (findings/SUM-0040) (our policy's effect, our trajectories, or a quantity no source measures).</t>
        </is>
      </c>
      <c r="V154" s="6" t="inlineStr">
        <is>
          <t>Feasibility pilot, then an appropriately powered paired comparison with provider usage and invoice reconciliation.</t>
        </is>
      </c>
      <c r="W154" s="6" t="inlineStr">
        <is>
          <t>C-D09, C-D08, C-D02, C-D06, C-E06, C-S01, C-S03, C-S08, C-S14</t>
        </is>
      </c>
      <c r="X154" s="6" t="inlineStr">
        <is>
          <t>C-S12, C-S13, C-S15, C-D11</t>
        </is>
      </c>
      <c r="Y154" s="6" t="inlineStr">
        <is>
          <t>Q-U03</t>
        </is>
      </c>
      <c r="Z154" s="6" t="inlineStr">
        <is>
          <t>TEST-PILOT</t>
        </is>
      </c>
      <c r="AA154" s="6" t="inlineStr">
        <is>
          <t>K9 Cache &amp; billing</t>
        </is>
      </c>
      <c r="AB154" s="6" t="inlineStr">
        <is>
          <t>DATA</t>
        </is>
      </c>
      <c r="AC154" s="6" t="inlineStr">
        <is>
          <t>OPEN</t>
        </is>
      </c>
      <c r="AD154" s="6" t="inlineStr">
        <is>
          <t>UNCHANGED</t>
        </is>
      </c>
      <c r="AE154" s="6" t="inlineStr">
        <is>
          <t>2026-10-21</t>
        </is>
      </c>
      <c r="AF154" s="6" t="inlineStr">
        <is>
          <t>FND-0038 (findings/SUM-0040)</t>
        </is>
      </c>
      <c r="AG154" s="6" t="inlineStr"/>
      <c r="AH154" s="6" t="inlineStr">
        <is>
          <t>Yes</t>
        </is>
      </c>
      <c r="AI154" s="6" t="inlineStr"/>
      <c r="AJ154" s="6" t="inlineStr">
        <is>
          <t>SRC-11 canonical</t>
        </is>
      </c>
      <c r="AK154" s="6" t="inlineStr">
        <is>
          <t>SRC-06 S01, SRC-06 S03, SRC-07 13, SRC-07 22, v3-04 E5, v3-04 E7, HYP-0005, HYP-0008, RA11</t>
        </is>
      </c>
      <c r="AL154" s="6" t="inlineStr">
        <is>
          <t>S22</t>
        </is>
      </c>
    </row>
    <row r="155" ht="65.5" customHeight="1">
      <c r="A155" s="5" t="inlineStr">
        <is>
          <t>C-X05</t>
        </is>
      </c>
      <c r="B155" s="6" t="inlineStr">
        <is>
          <t>E5: repeated end-to-end success/cost sweep that answers C-S02.</t>
        </is>
      </c>
      <c r="C155" s="6" t="inlineStr">
        <is>
          <t>DEFERRED</t>
        </is>
      </c>
      <c r="D155" s="6">
        <f>IFERROR(INDEX(Lists!$B$2:$B$14,MATCH(C155,Lists!$A$2:$A$14,0)),"?")</f>
        <v/>
      </c>
      <c r="E155" s="6">
        <f>IF(COUNTIFS(Links!$B$2:$B$600,A155,Links!$E$2:$E$600,"Yes")&gt;0,"REVISE","")</f>
        <v/>
      </c>
      <c r="F155" s="6">
        <f>COUNTIFS(Links!$B$2:$B$600,A155,Links!$D$2:$D$600,"No",Links!$C$2:$C$600,"&lt;&gt;INFORMS")</f>
        <v/>
      </c>
      <c r="G155" s="19" t="inlineStr">
        <is>
          <t>TEST-CONFIRMATORY</t>
        </is>
      </c>
      <c r="H155" s="6" t="inlineStr">
        <is>
          <t>K11 End-to-end comparison</t>
        </is>
      </c>
      <c r="I155" s="6" t="inlineStr">
        <is>
          <t>G4 Before claims</t>
        </is>
      </c>
      <c r="J155" s="6" t="inlineStr">
        <is>
          <t>Normal</t>
        </is>
      </c>
      <c r="K155" s="6" t="n">
        <v>223</v>
      </c>
      <c r="L155" s="6" t="inlineStr">
        <is>
          <t>W4 End-to-end</t>
        </is>
      </c>
      <c r="M155" s="6" t="inlineStr">
        <is>
          <t>S23</t>
        </is>
      </c>
      <c r="N155" s="6" t="inlineStr">
        <is>
          <t>Team</t>
        </is>
      </c>
      <c r="O155" s="6" t="inlineStr">
        <is>
          <t>none until the trigger fires</t>
        </is>
      </c>
      <c r="P155" s="6" t="inlineStr">
        <is>
          <t>No</t>
        </is>
      </c>
      <c r="Q155" s="6" t="inlineStr">
        <is>
          <t>Test</t>
        </is>
      </c>
      <c r="R155" s="6" t="inlineStr">
        <is>
          <t>Check</t>
        </is>
      </c>
      <c r="S155" s="6" t="inlineStr"/>
      <c r="T155" s="6" t="inlineStr">
        <is>
          <t>E5: repeated end-to-end success/cost sweep that answers C-S02.</t>
        </is>
      </c>
      <c r="U155" s="6" t="inlineStr">
        <is>
          <t>Power arithmetic only: about 495 pairs for a single five-point contrast; 800-2,300 for several contrasts or strata. 2026-10-21 (AUTH-019): belongs to the end-to-end phase (FND-0038 (findings/SUM-0040); the human's process, INT-T-005 line 7).</t>
        </is>
      </c>
      <c r="V155" s="6" t="inlineStr">
        <is>
          <t>Same as C-S02.</t>
        </is>
      </c>
      <c r="W155" s="6" t="inlineStr">
        <is>
          <t>C-D09, C-D08, C-D02, C-D06, C-E06, C-S01, C-S03, C-S08</t>
        </is>
      </c>
      <c r="X155" s="6" t="inlineStr">
        <is>
          <t>C-D11</t>
        </is>
      </c>
      <c r="Y155" s="6" t="inlineStr"/>
      <c r="Z155" s="6" t="inlineStr">
        <is>
          <t>TEST-PILOT</t>
        </is>
      </c>
      <c r="AA155" s="6" t="inlineStr"/>
      <c r="AB155" s="6" t="inlineStr">
        <is>
          <t>DATA</t>
        </is>
      </c>
      <c r="AC155" s="6" t="inlineStr">
        <is>
          <t>NO RESULT - OPEN</t>
        </is>
      </c>
      <c r="AD155" s="6" t="inlineStr">
        <is>
          <t>UNCHANGED</t>
        </is>
      </c>
      <c r="AE155" s="6" t="inlineStr">
        <is>
          <t>2026-10-21</t>
        </is>
      </c>
      <c r="AF155" s="6" t="inlineStr">
        <is>
          <t>FND-0037 (findings/SUM-0039); FND-0038 (findings/SUM-0040)</t>
        </is>
      </c>
      <c r="AG155" s="6" t="inlineStr">
        <is>
          <t>The end-to-end study is designed</t>
        </is>
      </c>
      <c r="AH155" s="6" t="inlineStr">
        <is>
          <t>Yes</t>
        </is>
      </c>
      <c r="AI155" s="6" t="inlineStr"/>
      <c r="AJ155" s="6" t="inlineStr">
        <is>
          <t>SRC-11 canonical</t>
        </is>
      </c>
      <c r="AK155" s="6" t="inlineStr">
        <is>
          <t>E5</t>
        </is>
      </c>
      <c r="AL155" s="6" t="inlineStr">
        <is>
          <t>S22</t>
        </is>
      </c>
    </row>
    <row r="156" ht="253" customHeight="1">
      <c r="A156" s="5" t="inlineStr">
        <is>
          <t>C-E03</t>
        </is>
      </c>
      <c r="B156" s="6" t="inlineStr">
        <is>
          <t>Version drift, vendor arithmetic and evaluator error need version labels and primary checks.</t>
        </is>
      </c>
      <c r="C156" s="6" t="inlineStr">
        <is>
          <t>PARTLY ANSWERED</t>
        </is>
      </c>
      <c r="D156" s="6">
        <f>IFERROR(INDEX(Lists!$B$2:$B$14,MATCH(C156,Lists!$A$2:$A$14,0)),"?")</f>
        <v/>
      </c>
      <c r="E156" s="6">
        <f>IF(COUNTIFS(Links!$B$2:$B$600,A156,Links!$E$2:$E$600,"Yes")&gt;0,"REVISE","")</f>
        <v/>
      </c>
      <c r="F156" s="6">
        <f>COUNTIFS(Links!$B$2:$B$600,A156,Links!$D$2:$D$600,"No",Links!$C$2:$C$600,"&lt;&gt;INFORMS")</f>
        <v/>
      </c>
      <c r="G156" s="14" t="inlineStr">
        <is>
          <t>SOURCE-REREAD</t>
        </is>
      </c>
      <c r="H156" s="6" t="inlineStr">
        <is>
          <t>K14 Source &amp; vendor verification</t>
        </is>
      </c>
      <c r="I156" s="6" t="inlineStr">
        <is>
          <t>G4 Before claims</t>
        </is>
      </c>
      <c r="J156" s="6" t="inlineStr">
        <is>
          <t>Normal</t>
        </is>
      </c>
      <c r="K156" s="6" t="n">
        <v>224</v>
      </c>
      <c r="L156" s="6" t="inlineStr">
        <is>
          <t>W5 Claim-time</t>
        </is>
      </c>
      <c r="M156" s="6" t="inlineStr">
        <is>
          <t>S24</t>
        </is>
      </c>
      <c r="N156" s="6" t="inlineStr">
        <is>
          <t>Lead</t>
        </is>
      </c>
      <c r="O156" s="6" t="inlineStr">
        <is>
          <t>You approve the pointer sentence (06 row 3.29); then this row can close</t>
        </is>
      </c>
      <c r="P156" s="6" t="inlineStr">
        <is>
          <t>Yes - stored text, unread</t>
        </is>
      </c>
      <c r="Q156" s="6" t="inlineStr">
        <is>
          <t>Source check</t>
        </is>
      </c>
      <c r="R156" s="6" t="inlineStr">
        <is>
          <t>Item</t>
        </is>
      </c>
      <c r="S156" s="6" t="inlineStr"/>
      <c r="T156" s="6" t="inlineStr">
        <is>
          <t>Version drift, vendor arithmetic and evaluator error need version labels and primary checks.</t>
        </is>
      </c>
      <c r="U156"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56" s="6" t="inlineStr">
        <is>
          <t>Every quoted number carries its version and date.</t>
        </is>
      </c>
      <c r="W156" s="6" t="inlineStr"/>
      <c r="X156" s="6" t="inlineStr">
        <is>
          <t>C-D01</t>
        </is>
      </c>
      <c r="Y156" s="6" t="inlineStr"/>
      <c r="Z156" s="6" t="inlineStr">
        <is>
          <t>TIME-RECHECK</t>
        </is>
      </c>
      <c r="AA156" s="6" t="inlineStr">
        <is>
          <t>K15 Expiring provider facts</t>
        </is>
      </c>
      <c r="AB156" s="6" t="inlineStr">
        <is>
          <t>SOURCE+TIME+DATA</t>
        </is>
      </c>
      <c r="AC156" s="6" t="inlineStr">
        <is>
          <t>OPEN</t>
        </is>
      </c>
      <c r="AD156" s="6" t="inlineStr">
        <is>
          <t>UNCHANGED</t>
        </is>
      </c>
      <c r="AE156" s="6" t="inlineStr">
        <is>
          <t>2026-10-20</t>
        </is>
      </c>
      <c r="AF156" s="6" t="inlineStr">
        <is>
          <t>FND-0033 (findings/SUM-0035); FND-0034 (findings/SUM-0036); EXT-0177, EXT-0220..0223</t>
        </is>
      </c>
      <c r="AG156" s="6" t="inlineStr">
        <is>
          <t>When a claim is used in the thesis</t>
        </is>
      </c>
      <c r="AH156" s="6" t="inlineStr">
        <is>
          <t>No</t>
        </is>
      </c>
      <c r="AI156" s="6" t="inlineStr"/>
      <c r="AJ156" s="6" t="inlineStr">
        <is>
          <t>SRC-11 canonical</t>
        </is>
      </c>
      <c r="AK156" s="6" t="inlineStr">
        <is>
          <t>SRC-06 E03, SRC-06 E40, SRC-07 25-27, CAVEATS 7, CAVEATS 8, CAVEATS 9</t>
        </is>
      </c>
      <c r="AL156" s="6" t="inlineStr">
        <is>
          <t>S11</t>
        </is>
      </c>
    </row>
    <row r="157" ht="290.5" customHeight="1">
      <c r="A157" s="5" t="inlineStr">
        <is>
          <t>C-E03/E40</t>
        </is>
      </c>
      <c r="B157" s="6" t="inlineStr">
        <is>
          <t>MCPVerse, MCP-Atlas, LiveMCPBench version-sensitive numbers</t>
        </is>
      </c>
      <c r="C157" s="6" t="inlineStr">
        <is>
          <t>PARTLY ANSWERED</t>
        </is>
      </c>
      <c r="D157" s="6">
        <f>IFERROR(INDEX(Lists!$B$2:$B$14,MATCH(C157,Lists!$A$2:$A$14,0)),"?")</f>
        <v/>
      </c>
      <c r="E157" s="6">
        <f>IF(COUNTIFS(Links!$B$2:$B$600,A157,Links!$E$2:$E$600,"Yes")&gt;0,"REVISE","")</f>
        <v/>
      </c>
      <c r="F157" s="6">
        <f>COUNTIFS(Links!$B$2:$B$600,A157,Links!$D$2:$D$600,"No",Links!$C$2:$C$600,"&lt;&gt;INFORMS")</f>
        <v/>
      </c>
      <c r="G157" s="14" t="inlineStr">
        <is>
          <t>SOURCE-REREAD</t>
        </is>
      </c>
      <c r="H157" s="6" t="inlineStr">
        <is>
          <t>K14 Source &amp; vendor verification</t>
        </is>
      </c>
      <c r="I157" s="6" t="inlineStr">
        <is>
          <t>G4 Before claims</t>
        </is>
      </c>
      <c r="J157" s="6" t="inlineStr">
        <is>
          <t>Normal</t>
        </is>
      </c>
      <c r="K157" s="6" t="n">
        <v>225</v>
      </c>
      <c r="L157" s="6" t="inlineStr">
        <is>
          <t>W5 Claim-time</t>
        </is>
      </c>
      <c r="M157" s="6" t="inlineStr">
        <is>
          <t>S24</t>
        </is>
      </c>
      <c r="N157" s="6" t="inlineStr">
        <is>
          <t>Lead</t>
        </is>
      </c>
      <c r="O157" s="6" t="inlineStr">
        <is>
          <t>Apply version tags at claim time (thesis text) or approve 06 row 3.29</t>
        </is>
      </c>
      <c r="P157" s="6" t="inlineStr">
        <is>
          <t>Yes - stored text, unread</t>
        </is>
      </c>
      <c r="Q157" s="6" t="inlineStr">
        <is>
          <t>Source check</t>
        </is>
      </c>
      <c r="R157" s="6" t="inlineStr">
        <is>
          <t>Sub-item</t>
        </is>
      </c>
      <c r="S157" s="6" t="inlineStr">
        <is>
          <t>C-E03</t>
        </is>
      </c>
      <c r="T157" s="6" t="inlineStr">
        <is>
          <t>SRC-06 E40 / SRC-07 25: MCPVerse, MCP-Atlas and LiveMCPBench numbers and attribution are version-sensitive.</t>
        </is>
      </c>
      <c r="U157"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57" s="6" t="inlineStr">
        <is>
          <t>Every quoted number carries version and date.</t>
        </is>
      </c>
      <c r="W157" s="6" t="inlineStr"/>
      <c r="X157" s="6" t="inlineStr"/>
      <c r="Y157" s="6" t="inlineStr"/>
      <c r="Z157" s="6" t="inlineStr"/>
      <c r="AA157" s="6" t="inlineStr"/>
      <c r="AB157" s="6" t="inlineStr">
        <is>
          <t>SOURCE+TIME</t>
        </is>
      </c>
      <c r="AC157" s="6" t="inlineStr">
        <is>
          <t>n/a (sub-item)</t>
        </is>
      </c>
      <c r="AD157" s="6" t="inlineStr">
        <is>
          <t>NARROWED</t>
        </is>
      </c>
      <c r="AE157" s="6" t="inlineStr">
        <is>
          <t>2026-10-20</t>
        </is>
      </c>
      <c r="AF157" s="6" t="inlineStr">
        <is>
          <t>FND-0033, FND-0034</t>
        </is>
      </c>
      <c r="AG157" s="6" t="inlineStr"/>
      <c r="AH157" s="6" t="inlineStr">
        <is>
          <t>No</t>
        </is>
      </c>
      <c r="AI157" s="6" t="inlineStr"/>
      <c r="AJ157" s="6" t="inlineStr">
        <is>
          <t>SRC-11 section D1</t>
        </is>
      </c>
      <c r="AK157" s="6" t="inlineStr">
        <is>
          <t>SRC-06 E40, SRC-07 25, CAVEATS 7</t>
        </is>
      </c>
      <c r="AL157" s="6" t="inlineStr">
        <is>
          <t>S11</t>
        </is>
      </c>
    </row>
    <row r="158" ht="300" customHeight="1">
      <c r="A158" s="5" t="inlineStr">
        <is>
          <t>C-E03/O7-27</t>
        </is>
      </c>
      <c r="B158" s="6" t="inlineStr">
        <is>
          <t>Evaluator-human disagreement and incomplete LLM-judge answers</t>
        </is>
      </c>
      <c r="C158" s="6" t="inlineStr">
        <is>
          <t>PARTLY ANSWERED</t>
        </is>
      </c>
      <c r="D158" s="6">
        <f>IFERROR(INDEX(Lists!$B$2:$B$14,MATCH(C158,Lists!$A$2:$A$14,0)),"?")</f>
        <v/>
      </c>
      <c r="E158" s="6">
        <f>IF(COUNTIFS(Links!$B$2:$B$600,A158,Links!$E$2:$E$600,"Yes")&gt;0,"REVISE","")</f>
        <v/>
      </c>
      <c r="F158" s="6">
        <f>COUNTIFS(Links!$B$2:$B$600,A158,Links!$D$2:$D$600,"No",Links!$C$2:$C$600,"&lt;&gt;INFORMS")</f>
        <v/>
      </c>
      <c r="G158" s="14" t="inlineStr">
        <is>
          <t>SOURCE-REREAD</t>
        </is>
      </c>
      <c r="H158" s="6" t="inlineStr">
        <is>
          <t>K14 Source &amp; vendor verification</t>
        </is>
      </c>
      <c r="I158" s="6" t="inlineStr">
        <is>
          <t>G4 Before claims</t>
        </is>
      </c>
      <c r="J158" s="6" t="inlineStr">
        <is>
          <t>Normal</t>
        </is>
      </c>
      <c r="K158" s="6" t="n">
        <v>227</v>
      </c>
      <c r="L158" s="6" t="inlineStr">
        <is>
          <t>W5 Claim-time</t>
        </is>
      </c>
      <c r="M158" s="6" t="inlineStr">
        <is>
          <t>S24</t>
        </is>
      </c>
      <c r="N158" s="6" t="inlineStr">
        <is>
          <t>Team</t>
        </is>
      </c>
      <c r="O158" s="6" t="inlineStr">
        <is>
          <t>You send the drafted ask (design/ledger/notes/AUTHOR-ASKS-DRAFT-20261020.md, section 2) and record the reply; until then it waits on the authors</t>
        </is>
      </c>
      <c r="P158" s="6" t="inlineStr">
        <is>
          <t>Yes - stored text, unread</t>
        </is>
      </c>
      <c r="Q158" s="6" t="inlineStr">
        <is>
          <t>Source check</t>
        </is>
      </c>
      <c r="R158" s="6" t="inlineStr">
        <is>
          <t>Sub-item</t>
        </is>
      </c>
      <c r="S158" s="6" t="inlineStr">
        <is>
          <t>C-E03</t>
        </is>
      </c>
      <c r="T158" s="6" t="inlineStr">
        <is>
          <t>SRC-07 27: evaluator-human disagreement (18.5% in one audit) and plausible but incomplete LLM-judge answers.</t>
        </is>
      </c>
      <c r="U158"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58" s="6" t="inlineStr">
        <is>
          <t>Source figure verified; scorer chosen; a sample audited against humans.</t>
        </is>
      </c>
      <c r="W158" s="6" t="inlineStr"/>
      <c r="X158" s="6" t="inlineStr"/>
      <c r="Y158" s="6" t="inlineStr"/>
      <c r="Z158" s="6" t="inlineStr"/>
      <c r="AA158" s="6" t="inlineStr"/>
      <c r="AB158" s="6" t="inlineStr">
        <is>
          <t>DATA+SOURCE</t>
        </is>
      </c>
      <c r="AC158" s="6" t="inlineStr">
        <is>
          <t>n/a (sub-item)</t>
        </is>
      </c>
      <c r="AD158" s="6" t="inlineStr">
        <is>
          <t>NEW (SRC-11 sub-row)</t>
        </is>
      </c>
      <c r="AE158" s="6" t="inlineStr">
        <is>
          <t>2026-10-20</t>
        </is>
      </c>
      <c r="AF158" s="6" t="inlineStr">
        <is>
          <t>FND-0021 (findings/SUM-0023); EXT-0184, EXT-0186, EXT-0187, EXT-0190, EXT-0156, EXT-0159</t>
        </is>
      </c>
      <c r="AG158" s="6" t="inlineStr"/>
      <c r="AH158" s="6" t="inlineStr">
        <is>
          <t>No</t>
        </is>
      </c>
      <c r="AI158" s="6" t="inlineStr"/>
      <c r="AJ158" s="6" t="inlineStr">
        <is>
          <t>SRC-11 section D1</t>
        </is>
      </c>
      <c r="AK158" s="6" t="inlineStr">
        <is>
          <t>SRC-07 27, CAVEATS 9</t>
        </is>
      </c>
      <c r="AL158" s="6" t="inlineStr">
        <is>
          <t>S11</t>
        </is>
      </c>
    </row>
    <row r="159" ht="53" customHeight="1">
      <c r="A159" s="5" t="inlineStr">
        <is>
          <t>N-23</t>
        </is>
      </c>
      <c r="B159" s="6" t="inlineStr">
        <is>
          <t>Move the review and this ledger into tracked docs; record an AUTH row for the review</t>
        </is>
      </c>
      <c r="C159" s="6" t="inlineStr">
        <is>
          <t>PARTLY ANSWERED</t>
        </is>
      </c>
      <c r="D159" s="6">
        <f>IFERROR(INDEX(Lists!$B$2:$B$14,MATCH(C159,Lists!$A$2:$A$14,0)),"?")</f>
        <v/>
      </c>
      <c r="E159" s="6">
        <f>IF(COUNTIFS(Links!$B$2:$B$600,A159,Links!$E$2:$E$600,"Yes")&gt;0,"REVISE","")</f>
        <v/>
      </c>
      <c r="F159" s="6">
        <f>COUNTIFS(Links!$B$2:$B$600,A159,Links!$D$2:$D$600,"No",Links!$C$2:$C$600,"&lt;&gt;INFORMS")</f>
        <v/>
      </c>
      <c r="G159" s="9" t="inlineStr">
        <is>
          <t>USER-DECISION</t>
        </is>
      </c>
      <c r="H159" s="6" t="inlineStr">
        <is>
          <t>K16 Limits &amp; provenance</t>
        </is>
      </c>
      <c r="I159" s="6" t="inlineStr">
        <is>
          <t>G5 Housekeeping / no block</t>
        </is>
      </c>
      <c r="J159" s="6" t="inlineStr">
        <is>
          <t>Low</t>
        </is>
      </c>
      <c r="K159" s="6" t="n">
        <v>236</v>
      </c>
      <c r="L159" s="6" t="inlineStr">
        <is>
          <t>W5 Claim-time</t>
        </is>
      </c>
      <c r="M159" s="6" t="inlineStr">
        <is>
          <t>S25</t>
        </is>
      </c>
      <c r="N159" s="6" t="inlineStr">
        <is>
          <t>You</t>
        </is>
      </c>
      <c r="O159" s="6" t="inlineStr">
        <is>
          <t>Answer Q-U18</t>
        </is>
      </c>
      <c r="P159" s="6" t="inlineStr">
        <is>
          <t>n/a</t>
        </is>
      </c>
      <c r="Q159" s="6" t="inlineStr">
        <is>
          <t>Decision</t>
        </is>
      </c>
      <c r="R159" s="6" t="inlineStr">
        <is>
          <t>Item</t>
        </is>
      </c>
      <c r="S159" s="6" t="inlineStr"/>
      <c r="T159" s="6" t="inlineStr">
        <is>
          <t>Review section 9: no AUTH covers the review or the ledger; moving them into tracked documentation needs your approval; SRC-11/12 would need an intake route if they become inputs; the .workspace folder is untracked and not in the remote backup.</t>
        </is>
      </c>
      <c r="U159" s="6" t="inlineStr">
        <is>
          <t>Ledger workbook is tracked at design/ledger/ under AUTH-016 (CSV export alongside). The review report and SRC-11/12 remain untracked in .workspace; admitting them is undecided.</t>
        </is>
      </c>
      <c r="V159" s="6" t="inlineStr">
        <is>
          <t>Review report and SRC-11/12 either admitted (review as SUM; SRC-11/12 via the intake route with provenance) or explicitly kept outside.</t>
        </is>
      </c>
      <c r="W159" s="6" t="inlineStr"/>
      <c r="X159" s="6" t="inlineStr"/>
      <c r="Y159" s="6" t="inlineStr">
        <is>
          <t>Q-U18</t>
        </is>
      </c>
      <c r="Z159" s="6" t="inlineStr"/>
      <c r="AA159" s="6" t="inlineStr"/>
      <c r="AB159" s="6" t="inlineStr">
        <is>
          <t>DEC+RECORD</t>
        </is>
      </c>
      <c r="AC159" s="6" t="inlineStr">
        <is>
          <t>n/a (new)</t>
        </is>
      </c>
      <c r="AD159" s="6" t="inlineStr">
        <is>
          <t>NEW (repo sweep)</t>
        </is>
      </c>
      <c r="AE159" s="6" t="inlineStr">
        <is>
          <t>2026-10-19</t>
        </is>
      </c>
      <c r="AF159" s="6" t="inlineStr">
        <is>
          <t>ops/AUTHORIZATIONS.md AUTH-016; Questions Q-U18 answer</t>
        </is>
      </c>
      <c r="AG159" s="6" t="inlineStr"/>
      <c r="AH159" s="6" t="inlineStr">
        <is>
          <t>Yes (AUTH row)</t>
        </is>
      </c>
      <c r="AI159" s="6" t="inlineStr"/>
      <c r="AJ159" s="6" t="inlineStr">
        <is>
          <t>review 19 Oct section 9</t>
        </is>
      </c>
      <c r="AK159" s="6" t="inlineStr"/>
      <c r="AL159" s="6" t="inlineStr">
        <is>
          <t>S03</t>
        </is>
      </c>
    </row>
    <row r="160" ht="278" customHeight="1">
      <c r="A160" s="5" t="inlineStr">
        <is>
          <t>AS-02</t>
        </is>
      </c>
      <c r="B160" s="6" t="inlineStr">
        <is>
          <t>Supervisor assertion A2: No symbolic algorithm can beat the LLM across all cases</t>
        </is>
      </c>
      <c r="C160" s="6" t="inlineStr">
        <is>
          <t>PARTLY ANSWERED</t>
        </is>
      </c>
      <c r="D160" s="6">
        <f>IFERROR(INDEX(Lists!$B$2:$B$14,MATCH(C160,Lists!$A$2:$A$14,0)),"?")</f>
        <v/>
      </c>
      <c r="E160" s="6">
        <f>IF(COUNTIFS(Links!$B$2:$B$600,A160,Links!$E$2:$E$600,"Yes")&gt;0,"REVISE","")</f>
        <v/>
      </c>
      <c r="F160" s="6">
        <f>COUNTIFS(Links!$B$2:$B$600,A160,Links!$D$2:$D$600,"No",Links!$C$2:$C$600,"&lt;&gt;INFORMS")</f>
        <v/>
      </c>
      <c r="G160" s="12" t="inlineStr">
        <is>
          <t>ACCEPT-LIMITATION</t>
        </is>
      </c>
      <c r="H160" s="6" t="inlineStr">
        <is>
          <t>K14 Source &amp; vendor verification</t>
        </is>
      </c>
      <c r="I160" s="6" t="inlineStr">
        <is>
          <t>G5 Housekeeping / no block</t>
        </is>
      </c>
      <c r="J160" s="6" t="inlineStr">
        <is>
          <t>Low</t>
        </is>
      </c>
      <c r="K160" s="6" t="n">
        <v>237</v>
      </c>
      <c r="L160" s="6" t="inlineStr">
        <is>
          <t>W5 Claim-time</t>
        </is>
      </c>
      <c r="M160" s="6" t="inlineStr">
        <is>
          <t>S25</t>
        </is>
      </c>
      <c r="N160" s="6" t="inlineStr">
        <is>
          <t>Lead / team</t>
        </is>
      </c>
      <c r="O160" s="6" t="inlineStr">
        <is>
          <t>Q-J29; the testable version would need a pilot arm</t>
        </is>
      </c>
      <c r="P160" s="6" t="inlineStr">
        <is>
          <t>No</t>
        </is>
      </c>
      <c r="Q160" s="6" t="inlineStr">
        <is>
          <t>Claim to test</t>
        </is>
      </c>
      <c r="R160" s="6" t="inlineStr">
        <is>
          <t>Item</t>
        </is>
      </c>
      <c r="S160" s="6" t="inlineStr"/>
      <c r="T160" s="6" t="inlineStr">
        <is>
          <t>REQ-A1 A2: No symbolic algorithm can beat the LLM across all cases. Universal, partly definitional claim; hard to test as stated.</t>
        </is>
      </c>
      <c r="U160"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60" s="6" t="inlineStr">
        <is>
          <t>Universal, partly definitional claim; hard to test as stated.</t>
        </is>
      </c>
      <c r="W160" s="6" t="inlineStr"/>
      <c r="X160" s="6" t="inlineStr"/>
      <c r="Y160" s="6" t="inlineStr">
        <is>
          <t>Q-J29</t>
        </is>
      </c>
      <c r="Z160" s="6" t="inlineStr"/>
      <c r="AA160" s="6" t="inlineStr"/>
      <c r="AB160" s="6" t="inlineStr">
        <is>
          <t>SOURCE</t>
        </is>
      </c>
      <c r="AC160" s="6" t="inlineStr">
        <is>
          <t>n/a (REGISTER E)</t>
        </is>
      </c>
      <c r="AD160" s="6" t="inlineStr">
        <is>
          <t>NEW (repo sweep)</t>
        </is>
      </c>
      <c r="AE160" s="6" t="inlineStr">
        <is>
          <t>2026-10-20</t>
        </is>
      </c>
      <c r="AF160" s="6" t="inlineStr">
        <is>
          <t>FND-0031 (findings/SUM-0033); EXT-0207, EXT-0208</t>
        </is>
      </c>
      <c r="AG160" s="6" t="inlineStr"/>
      <c r="AH160" s="6" t="inlineStr">
        <is>
          <t>No</t>
        </is>
      </c>
      <c r="AI160" s="6" t="inlineStr"/>
      <c r="AJ160" s="6" t="inlineStr">
        <is>
          <t>repo: REGISTER section E / EXT-0004</t>
        </is>
      </c>
      <c r="AK160" s="6" t="inlineStr">
        <is>
          <t>REQ-A1 A2</t>
        </is>
      </c>
      <c r="AL160" s="6" t="inlineStr">
        <is>
          <t>S11</t>
        </is>
      </c>
    </row>
    <row r="161" ht="103" customHeight="1">
      <c r="A161" s="5" t="inlineStr">
        <is>
          <t>AS-08</t>
        </is>
      </c>
      <c r="B161" s="6" t="inlineStr">
        <is>
          <t>Supervisor assertion A8: Industry has tried to solve LLM interpretability for years without a solution</t>
        </is>
      </c>
      <c r="C161" s="6" t="inlineStr">
        <is>
          <t>DEFERRED</t>
        </is>
      </c>
      <c r="D161" s="6">
        <f>IFERROR(INDEX(Lists!$B$2:$B$14,MATCH(C161,Lists!$A$2:$A$14,0)),"?")</f>
        <v/>
      </c>
      <c r="E161" s="6">
        <f>IF(COUNTIFS(Links!$B$2:$B$600,A161,Links!$E$2:$E$600,"Yes")&gt;0,"REVISE","")</f>
        <v/>
      </c>
      <c r="F161" s="6">
        <f>COUNTIFS(Links!$B$2:$B$600,A161,Links!$D$2:$D$600,"No",Links!$C$2:$C$600,"&lt;&gt;INFORMS")</f>
        <v/>
      </c>
      <c r="G161" s="12" t="inlineStr">
        <is>
          <t>ACCEPT-LIMITATION</t>
        </is>
      </c>
      <c r="H161" s="6" t="inlineStr">
        <is>
          <t>K14 Source &amp; vendor verification</t>
        </is>
      </c>
      <c r="I161" s="6" t="inlineStr">
        <is>
          <t>G5 Housekeeping / no block</t>
        </is>
      </c>
      <c r="J161" s="6" t="inlineStr">
        <is>
          <t>Low</t>
        </is>
      </c>
      <c r="K161" s="6" t="n">
        <v>238</v>
      </c>
      <c r="L161" s="6" t="inlineStr">
        <is>
          <t>W5 Claim-time</t>
        </is>
      </c>
      <c r="M161" s="6" t="inlineStr">
        <is>
          <t>S25</t>
        </is>
      </c>
      <c r="N161" s="6" t="inlineStr">
        <is>
          <t>Lead / team</t>
        </is>
      </c>
      <c r="O161" s="6" t="inlineStr">
        <is>
          <t>none</t>
        </is>
      </c>
      <c r="P161" s="6" t="inlineStr">
        <is>
          <t>No</t>
        </is>
      </c>
      <c r="Q161" s="6" t="inlineStr">
        <is>
          <t>Claim to test</t>
        </is>
      </c>
      <c r="R161" s="6" t="inlineStr">
        <is>
          <t>Item</t>
        </is>
      </c>
      <c r="S161" s="6" t="inlineStr"/>
      <c r="T161" s="6" t="inlineStr">
        <is>
          <t>REQ-A1 A8: Industry has tried to solve LLM interpretability for years without a solution. Background claim; low priority.</t>
        </is>
      </c>
      <c r="U161"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61" s="6" t="inlineStr">
        <is>
          <t>Background claim; low priority.</t>
        </is>
      </c>
      <c r="W161" s="6" t="inlineStr"/>
      <c r="X161" s="6" t="inlineStr"/>
      <c r="Y161" s="6" t="inlineStr"/>
      <c r="Z161" s="6" t="inlineStr"/>
      <c r="AA161" s="6" t="inlineStr"/>
      <c r="AB161" s="6" t="inlineStr">
        <is>
          <t>SOURCE</t>
        </is>
      </c>
      <c r="AC161" s="6" t="inlineStr">
        <is>
          <t>n/a (REGISTER E)</t>
        </is>
      </c>
      <c r="AD161" s="6" t="inlineStr">
        <is>
          <t>NEW (repo sweep)</t>
        </is>
      </c>
      <c r="AE161" s="6" t="inlineStr">
        <is>
          <t>2026-10-20</t>
        </is>
      </c>
      <c r="AF161" s="6" t="inlineStr">
        <is>
          <t>this row; ledger README (status DEFERRED)</t>
        </is>
      </c>
      <c r="AG161" s="6" t="inlineStr">
        <is>
          <t>The supervisor or a reviewer asks for evidence on it, or a thesis sentence relies on it</t>
        </is>
      </c>
      <c r="AH161" s="6" t="inlineStr">
        <is>
          <t>No</t>
        </is>
      </c>
      <c r="AI161" s="6" t="inlineStr"/>
      <c r="AJ161" s="6" t="inlineStr">
        <is>
          <t>repo: REGISTER section E / EXT-0004</t>
        </is>
      </c>
      <c r="AK161" s="6" t="inlineStr">
        <is>
          <t>REQ-A1 A8</t>
        </is>
      </c>
      <c r="AL161" s="6" t="inlineStr">
        <is>
          <t>S11</t>
        </is>
      </c>
    </row>
    <row r="162" ht="240.5" customHeight="1">
      <c r="A162" s="5" t="inlineStr">
        <is>
          <t>AS-10</t>
        </is>
      </c>
      <c r="B162" s="6" t="inlineStr">
        <is>
          <t>Supervisor assertion A10: Synonyms get the same embedding; keyword search is 'a layer before' semantic search</t>
        </is>
      </c>
      <c r="C162" s="6" t="inlineStr">
        <is>
          <t>PARTLY ANSWERED</t>
        </is>
      </c>
      <c r="D162" s="6">
        <f>IFERROR(INDEX(Lists!$B$2:$B$14,MATCH(C162,Lists!$A$2:$A$14,0)),"?")</f>
        <v/>
      </c>
      <c r="E162" s="6">
        <f>IF(COUNTIFS(Links!$B$2:$B$600,A162,Links!$E$2:$E$600,"Yes")&gt;0,"REVISE","")</f>
        <v/>
      </c>
      <c r="F162" s="6">
        <f>COUNTIFS(Links!$B$2:$B$600,A162,Links!$D$2:$D$600,"No",Links!$C$2:$C$600,"&lt;&gt;INFORMS")</f>
        <v/>
      </c>
      <c r="G162" s="12" t="inlineStr">
        <is>
          <t>ACCEPT-LIMITATION</t>
        </is>
      </c>
      <c r="H162" s="6" t="inlineStr">
        <is>
          <t>K14 Source &amp; vendor verification</t>
        </is>
      </c>
      <c r="I162" s="6" t="inlineStr">
        <is>
          <t>G5 Housekeeping / no block</t>
        </is>
      </c>
      <c r="J162" s="6" t="inlineStr">
        <is>
          <t>Low</t>
        </is>
      </c>
      <c r="K162" s="6" t="n">
        <v>239</v>
      </c>
      <c r="L162" s="6" t="inlineStr">
        <is>
          <t>W5 Claim-time</t>
        </is>
      </c>
      <c r="M162" s="6" t="inlineStr">
        <is>
          <t>S25</t>
        </is>
      </c>
      <c r="N162" s="6" t="inlineStr">
        <is>
          <t>Lead / team</t>
        </is>
      </c>
      <c r="O162" s="6" t="inlineStr">
        <is>
          <t>low priority; Q-J29 covers the mixed reading</t>
        </is>
      </c>
      <c r="P162" s="6" t="inlineStr">
        <is>
          <t>No</t>
        </is>
      </c>
      <c r="Q162" s="6" t="inlineStr">
        <is>
          <t>Claim to test</t>
        </is>
      </c>
      <c r="R162" s="6" t="inlineStr">
        <is>
          <t>Item</t>
        </is>
      </c>
      <c r="S162" s="6" t="inlineStr"/>
      <c r="T162" s="6" t="inlineStr">
        <is>
          <t>REQ-A1 A10: Synonyms get the same embedding; keyword search is 'a layer before' semantic search. Simplification; low priority.</t>
        </is>
      </c>
      <c r="U162"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62" s="6" t="inlineStr">
        <is>
          <t>Simplification; low priority.</t>
        </is>
      </c>
      <c r="W162" s="6" t="inlineStr"/>
      <c r="X162" s="6" t="inlineStr"/>
      <c r="Y162" s="6" t="inlineStr"/>
      <c r="Z162" s="6" t="inlineStr"/>
      <c r="AA162" s="6" t="inlineStr"/>
      <c r="AB162" s="6" t="inlineStr">
        <is>
          <t>SOURCE</t>
        </is>
      </c>
      <c r="AC162" s="6" t="inlineStr">
        <is>
          <t>n/a (REGISTER E)</t>
        </is>
      </c>
      <c r="AD162" s="6" t="inlineStr">
        <is>
          <t>NEW (repo sweep)</t>
        </is>
      </c>
      <c r="AE162" s="6" t="inlineStr">
        <is>
          <t>2026-10-20</t>
        </is>
      </c>
      <c r="AF162" s="6" t="inlineStr">
        <is>
          <t>FND-0031 (findings/SUM-0033)</t>
        </is>
      </c>
      <c r="AG162" s="6" t="inlineStr"/>
      <c r="AH162" s="6" t="inlineStr">
        <is>
          <t>No</t>
        </is>
      </c>
      <c r="AI162" s="6" t="inlineStr"/>
      <c r="AJ162" s="6" t="inlineStr">
        <is>
          <t>repo: REGISTER section E / EXT-0004</t>
        </is>
      </c>
      <c r="AK162" s="6" t="inlineStr">
        <is>
          <t>REQ-A1 A10</t>
        </is>
      </c>
      <c r="AL162" s="6" t="inlineStr">
        <is>
          <t>S11</t>
        </is>
      </c>
    </row>
    <row r="163" ht="228" customHeight="1">
      <c r="A163" s="5" t="inlineStr">
        <is>
          <t>AS-11</t>
        </is>
      </c>
      <c r="B163" s="6" t="inlineStr">
        <is>
          <t>Supervisor assertion A11: 'Semantic is doing the same thing LLM is doing'</t>
        </is>
      </c>
      <c r="C163" s="6" t="inlineStr">
        <is>
          <t>PARTLY ANSWERED</t>
        </is>
      </c>
      <c r="D163" s="6">
        <f>IFERROR(INDEX(Lists!$B$2:$B$14,MATCH(C163,Lists!$A$2:$A$14,0)),"?")</f>
        <v/>
      </c>
      <c r="E163" s="6">
        <f>IF(COUNTIFS(Links!$B$2:$B$600,A163,Links!$E$2:$E$600,"Yes")&gt;0,"REVISE","")</f>
        <v/>
      </c>
      <c r="F163" s="6">
        <f>COUNTIFS(Links!$B$2:$B$600,A163,Links!$D$2:$D$600,"No",Links!$C$2:$C$600,"&lt;&gt;INFORMS")</f>
        <v/>
      </c>
      <c r="G163" s="12" t="inlineStr">
        <is>
          <t>ACCEPT-LIMITATION</t>
        </is>
      </c>
      <c r="H163" s="6" t="inlineStr">
        <is>
          <t>K14 Source &amp; vendor verification</t>
        </is>
      </c>
      <c r="I163" s="6" t="inlineStr">
        <is>
          <t>G5 Housekeeping / no block</t>
        </is>
      </c>
      <c r="J163" s="6" t="inlineStr">
        <is>
          <t>Low</t>
        </is>
      </c>
      <c r="K163" s="6" t="n">
        <v>240</v>
      </c>
      <c r="L163" s="6" t="inlineStr">
        <is>
          <t>W5 Claim-time</t>
        </is>
      </c>
      <c r="M163" s="6" t="inlineStr">
        <is>
          <t>S25</t>
        </is>
      </c>
      <c r="N163" s="6" t="inlineStr">
        <is>
          <t>Lead / team</t>
        </is>
      </c>
      <c r="O163" s="6" t="inlineStr">
        <is>
          <t>low priority; Q-J29 covers it</t>
        </is>
      </c>
      <c r="P163" s="6" t="inlineStr">
        <is>
          <t>No</t>
        </is>
      </c>
      <c r="Q163" s="6" t="inlineStr">
        <is>
          <t>Claim to test</t>
        </is>
      </c>
      <c r="R163" s="6" t="inlineStr">
        <is>
          <t>Item</t>
        </is>
      </c>
      <c r="S163" s="6" t="inlineStr"/>
      <c r="T163" s="6" t="inlineStr">
        <is>
          <t>REQ-A1 A11: 'Semantic is doing the same thing LLM is doing'. Analogy, not an established claim.</t>
        </is>
      </c>
      <c r="U163"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63" s="6" t="inlineStr">
        <is>
          <t>Analogy, not an established claim.</t>
        </is>
      </c>
      <c r="W163" s="6" t="inlineStr"/>
      <c r="X163" s="6" t="inlineStr"/>
      <c r="Y163" s="6" t="inlineStr">
        <is>
          <t>Q-J29</t>
        </is>
      </c>
      <c r="Z163" s="6" t="inlineStr"/>
      <c r="AA163" s="6" t="inlineStr"/>
      <c r="AB163" s="6" t="inlineStr">
        <is>
          <t>SOURCE</t>
        </is>
      </c>
      <c r="AC163" s="6" t="inlineStr">
        <is>
          <t>n/a (REGISTER E)</t>
        </is>
      </c>
      <c r="AD163" s="6" t="inlineStr">
        <is>
          <t>NEW (repo sweep)</t>
        </is>
      </c>
      <c r="AE163" s="6" t="inlineStr">
        <is>
          <t>2026-10-20</t>
        </is>
      </c>
      <c r="AF163" s="6" t="inlineStr">
        <is>
          <t>FND-0031 (findings/SUM-0033); page images complexmcp p7-p8</t>
        </is>
      </c>
      <c r="AG163" s="6" t="inlineStr"/>
      <c r="AH163" s="6" t="inlineStr">
        <is>
          <t>No</t>
        </is>
      </c>
      <c r="AI163" s="6" t="inlineStr"/>
      <c r="AJ163" s="6" t="inlineStr">
        <is>
          <t>repo: REGISTER section E / EXT-0004</t>
        </is>
      </c>
      <c r="AK163" s="6" t="inlineStr">
        <is>
          <t>REQ-A1 A11</t>
        </is>
      </c>
      <c r="AL163" s="6" t="inlineStr">
        <is>
          <t>S11</t>
        </is>
      </c>
    </row>
    <row r="164" ht="28" customHeight="1">
      <c r="A164" s="5" t="inlineStr">
        <is>
          <t>C-D12</t>
        </is>
      </c>
      <c r="B164" s="6" t="inlineStr">
        <is>
          <t>Whether to commission a further independent replication track.</t>
        </is>
      </c>
      <c r="C164" s="6" t="inlineStr">
        <is>
          <t>OPEN</t>
        </is>
      </c>
      <c r="D164" s="6">
        <f>IFERROR(INDEX(Lists!$B$2:$B$14,MATCH(C164,Lists!$A$2:$A$14,0)),"?")</f>
        <v/>
      </c>
      <c r="E164" s="6">
        <f>IF(COUNTIFS(Links!$B$2:$B$600,A164,Links!$E$2:$E$600,"Yes")&gt;0,"REVISE","")</f>
        <v/>
      </c>
      <c r="F164" s="6">
        <f>COUNTIFS(Links!$B$2:$B$600,A164,Links!$D$2:$D$600,"No",Links!$C$2:$C$600,"&lt;&gt;INFORMS")</f>
        <v/>
      </c>
      <c r="G164" s="9" t="inlineStr">
        <is>
          <t>USER-DECISION</t>
        </is>
      </c>
      <c r="H164" s="6" t="inlineStr">
        <is>
          <t>K16 Limits &amp; provenance</t>
        </is>
      </c>
      <c r="I164" s="6" t="inlineStr">
        <is>
          <t>G5 Housekeeping / no block</t>
        </is>
      </c>
      <c r="J164" s="6" t="inlineStr">
        <is>
          <t>Low</t>
        </is>
      </c>
      <c r="K164" s="6" t="n">
        <v>241</v>
      </c>
      <c r="L164" s="6" t="inlineStr">
        <is>
          <t>W5 Claim-time</t>
        </is>
      </c>
      <c r="M164" s="6" t="inlineStr">
        <is>
          <t>S25</t>
        </is>
      </c>
      <c r="N164" s="6" t="inlineStr">
        <is>
          <t>You</t>
        </is>
      </c>
      <c r="O164" s="6" t="inlineStr">
        <is>
          <t>You decide (Q-U13, Q-U15)</t>
        </is>
      </c>
      <c r="P164" s="6" t="inlineStr">
        <is>
          <t>n/a</t>
        </is>
      </c>
      <c r="Q164" s="6" t="inlineStr">
        <is>
          <t>Decision</t>
        </is>
      </c>
      <c r="R164" s="6" t="inlineStr">
        <is>
          <t>Item</t>
        </is>
      </c>
      <c r="S164" s="6" t="inlineStr"/>
      <c r="T164" s="6" t="inlineStr">
        <is>
          <t>Whether to commission a further independent replication track.</t>
        </is>
      </c>
      <c r="U164" s="6" t="inlineStr">
        <is>
          <t>Phase 1/2/2b exist outside the repo; this is a separate decision.</t>
        </is>
      </c>
      <c r="V164" s="6" t="inlineStr">
        <is>
          <t>Decide after checking existing Project A evidence.</t>
        </is>
      </c>
      <c r="W164" s="6" t="inlineStr"/>
      <c r="X164" s="6" t="inlineStr"/>
      <c r="Y164" s="6" t="inlineStr">
        <is>
          <t>Q-U13, Q-U15</t>
        </is>
      </c>
      <c r="Z164" s="6" t="inlineStr"/>
      <c r="AA164" s="6" t="inlineStr"/>
      <c r="AB164" s="6" t="inlineStr">
        <is>
          <t>DEC</t>
        </is>
      </c>
      <c r="AC164" s="6" t="inlineStr">
        <is>
          <t>OPEN</t>
        </is>
      </c>
      <c r="AD164" s="6" t="inlineStr">
        <is>
          <t>UNCHANGED</t>
        </is>
      </c>
      <c r="AE164" s="6" t="inlineStr">
        <is>
          <t>2026-10-19</t>
        </is>
      </c>
      <c r="AF164" s="6" t="inlineStr">
        <is>
          <t>STATE; AUTH-007..009</t>
        </is>
      </c>
      <c r="AG164" s="6" t="inlineStr">
        <is>
          <t>After existing Project A evidence is checked</t>
        </is>
      </c>
      <c r="AH164" s="6" t="inlineStr">
        <is>
          <t>No</t>
        </is>
      </c>
      <c r="AI164" s="6" t="inlineStr"/>
      <c r="AJ164" s="6" t="inlineStr">
        <is>
          <t>SRC-11 canonical</t>
        </is>
      </c>
      <c r="AK164" s="6" t="inlineStr">
        <is>
          <t>SRC-06 D15</t>
        </is>
      </c>
      <c r="AL164" s="6" t="inlineStr">
        <is>
          <t>S25</t>
        </is>
      </c>
    </row>
    <row r="165" ht="28" customHeight="1">
      <c r="A165" s="5" t="inlineStr">
        <is>
          <t>C-D14</t>
        </is>
      </c>
      <c r="B165" s="6" t="inlineStr">
        <is>
          <t>Optional dated near-miss-source note: add or decline.</t>
        </is>
      </c>
      <c r="C165" s="6" t="inlineStr">
        <is>
          <t>OPEN</t>
        </is>
      </c>
      <c r="D165" s="6">
        <f>IFERROR(INDEX(Lists!$B$2:$B$14,MATCH(C165,Lists!$A$2:$A$14,0)),"?")</f>
        <v/>
      </c>
      <c r="E165" s="6">
        <f>IF(COUNTIFS(Links!$B$2:$B$600,A165,Links!$E$2:$E$600,"Yes")&gt;0,"REVISE","")</f>
        <v/>
      </c>
      <c r="F165" s="6">
        <f>COUNTIFS(Links!$B$2:$B$600,A165,Links!$D$2:$D$600,"No",Links!$C$2:$C$600,"&lt;&gt;INFORMS")</f>
        <v/>
      </c>
      <c r="G165" s="9" t="inlineStr">
        <is>
          <t>USER-DECISION</t>
        </is>
      </c>
      <c r="H165" s="6" t="inlineStr">
        <is>
          <t>K16 Limits &amp; provenance</t>
        </is>
      </c>
      <c r="I165" s="6" t="inlineStr">
        <is>
          <t>G5 Housekeeping / no block</t>
        </is>
      </c>
      <c r="J165" s="6" t="inlineStr">
        <is>
          <t>Low</t>
        </is>
      </c>
      <c r="K165" s="6" t="n">
        <v>242</v>
      </c>
      <c r="L165" s="6" t="inlineStr">
        <is>
          <t>W5 Claim-time</t>
        </is>
      </c>
      <c r="M165" s="6" t="inlineStr">
        <is>
          <t>S25</t>
        </is>
      </c>
      <c r="N165" s="6" t="inlineStr">
        <is>
          <t>You</t>
        </is>
      </c>
      <c r="O165" s="6" t="inlineStr">
        <is>
          <t>You decide (Q-U16)</t>
        </is>
      </c>
      <c r="P165" s="6" t="inlineStr">
        <is>
          <t>n/a</t>
        </is>
      </c>
      <c r="Q165" s="6" t="inlineStr">
        <is>
          <t>Decision</t>
        </is>
      </c>
      <c r="R165" s="6" t="inlineStr">
        <is>
          <t>Item</t>
        </is>
      </c>
      <c r="S165" s="6" t="inlineStr"/>
      <c r="T165" s="6" t="inlineStr">
        <is>
          <t>Optional dated near-miss-source note: add or decline.</t>
        </is>
      </c>
      <c r="U165" s="6" t="inlineStr">
        <is>
          <t>No decision found.</t>
        </is>
      </c>
      <c r="V165" s="6" t="inlineStr">
        <is>
          <t>Added or explicitly declined.</t>
        </is>
      </c>
      <c r="W165" s="6" t="inlineStr"/>
      <c r="X165" s="6" t="inlineStr"/>
      <c r="Y165" s="6" t="inlineStr">
        <is>
          <t>Q-U16</t>
        </is>
      </c>
      <c r="Z165" s="6" t="inlineStr"/>
      <c r="AA165" s="6" t="inlineStr"/>
      <c r="AB165" s="6" t="inlineStr">
        <is>
          <t>DEC+RECORD</t>
        </is>
      </c>
      <c r="AC165" s="6" t="inlineStr">
        <is>
          <t>OPEN</t>
        </is>
      </c>
      <c r="AD165" s="6" t="inlineStr">
        <is>
          <t>UNCHANGED</t>
        </is>
      </c>
      <c r="AE165" s="6" t="inlineStr">
        <is>
          <t>2026-10-19</t>
        </is>
      </c>
      <c r="AF165" s="6" t="inlineStr">
        <is>
          <t>not found</t>
        </is>
      </c>
      <c r="AG165" s="6" t="inlineStr">
        <is>
          <t>Before the final literature audit</t>
        </is>
      </c>
      <c r="AH165" s="6" t="inlineStr">
        <is>
          <t>No</t>
        </is>
      </c>
      <c r="AI165" s="6" t="inlineStr"/>
      <c r="AJ165" s="6" t="inlineStr">
        <is>
          <t>SRC-11 canonical</t>
        </is>
      </c>
      <c r="AK165" s="6" t="inlineStr">
        <is>
          <t>SRC-06 D17</t>
        </is>
      </c>
      <c r="AL165" s="6" t="inlineStr">
        <is>
          <t>S25</t>
        </is>
      </c>
    </row>
    <row r="166" ht="40.5" customHeight="1">
      <c r="A166" s="5" t="inlineStr">
        <is>
          <t>C-P01</t>
        </is>
      </c>
      <c r="B166" s="6" t="inlineStr">
        <is>
          <t>Aborted launch attempts are provenance, not findings; two copied thesis workspaces remain in the parent tree.</t>
        </is>
      </c>
      <c r="C166" s="6" t="inlineStr">
        <is>
          <t>OPEN</t>
        </is>
      </c>
      <c r="D166" s="6">
        <f>IFERROR(INDEX(Lists!$B$2:$B$14,MATCH(C166,Lists!$A$2:$A$14,0)),"?")</f>
        <v/>
      </c>
      <c r="E166" s="6">
        <f>IF(COUNTIFS(Links!$B$2:$B$600,A166,Links!$E$2:$E$600,"Yes")&gt;0,"REVISE","")</f>
        <v/>
      </c>
      <c r="F166" s="6">
        <f>COUNTIFS(Links!$B$2:$B$600,A166,Links!$D$2:$D$600,"No",Links!$C$2:$C$600,"&lt;&gt;INFORMS")</f>
        <v/>
      </c>
      <c r="G166" s="9" t="inlineStr">
        <is>
          <t>USER-DECISION</t>
        </is>
      </c>
      <c r="H166" s="6" t="inlineStr">
        <is>
          <t>K16 Limits &amp; provenance</t>
        </is>
      </c>
      <c r="I166" s="6" t="inlineStr">
        <is>
          <t>G5 Housekeeping / no block</t>
        </is>
      </c>
      <c r="J166" s="6" t="inlineStr">
        <is>
          <t>Low</t>
        </is>
      </c>
      <c r="K166" s="6" t="n">
        <v>244</v>
      </c>
      <c r="L166" s="6" t="inlineStr">
        <is>
          <t>W5 Claim-time</t>
        </is>
      </c>
      <c r="M166" s="6" t="inlineStr">
        <is>
          <t>S25</t>
        </is>
      </c>
      <c r="N166" s="6" t="inlineStr">
        <is>
          <t>You</t>
        </is>
      </c>
      <c r="O166" s="6" t="inlineStr">
        <is>
          <t>You decide (Q-U17)</t>
        </is>
      </c>
      <c r="P166" s="6" t="inlineStr">
        <is>
          <t>No</t>
        </is>
      </c>
      <c r="Q166" s="6" t="inlineStr">
        <is>
          <t>Decision</t>
        </is>
      </c>
      <c r="R166" s="6" t="inlineStr">
        <is>
          <t>Item</t>
        </is>
      </c>
      <c r="S166" s="6" t="inlineStr"/>
      <c r="T166" s="6" t="inlineStr">
        <is>
          <t>Aborted launch attempts are provenance, not findings; two copied thesis workspaces remain in the parent tree.</t>
        </is>
      </c>
      <c r="U166" s="6" t="inlineStr">
        <is>
          <t>Outside the repo.</t>
        </is>
      </c>
      <c r="V166" s="6" t="inlineStr">
        <is>
          <t>Keep/move/remove decided; provenance preserved.</t>
        </is>
      </c>
      <c r="W166" s="6" t="inlineStr"/>
      <c r="X166" s="6" t="inlineStr"/>
      <c r="Y166" s="6" t="inlineStr">
        <is>
          <t>Q-U17</t>
        </is>
      </c>
      <c r="Z166" s="6" t="inlineStr">
        <is>
          <t>ACCEPT-LIMITATION</t>
        </is>
      </c>
      <c r="AA166" s="6" t="inlineStr"/>
      <c r="AB166" s="6" t="inlineStr">
        <is>
          <t>RECORD+DEC</t>
        </is>
      </c>
      <c r="AC166" s="6" t="inlineStr">
        <is>
          <t>BOUNDARY - OPEN</t>
        </is>
      </c>
      <c r="AD166" s="6" t="inlineStr">
        <is>
          <t>UNCHANGED</t>
        </is>
      </c>
      <c r="AE166" s="6" t="inlineStr">
        <is>
          <t>2026-10-19</t>
        </is>
      </c>
      <c r="AF166" s="6" t="inlineStr">
        <is>
          <t>SRC-11 C-P01</t>
        </is>
      </c>
      <c r="AG166" s="6" t="inlineStr"/>
      <c r="AH166" s="6" t="inlineStr">
        <is>
          <t>No</t>
        </is>
      </c>
      <c r="AI166" s="6" t="inlineStr"/>
      <c r="AJ166" s="6" t="inlineStr">
        <is>
          <t>SRC-11 canonical</t>
        </is>
      </c>
      <c r="AK166" s="6" t="inlineStr">
        <is>
          <t>SRC-06 P01-P02</t>
        </is>
      </c>
      <c r="AL166" s="6" t="inlineStr">
        <is>
          <t>S25</t>
        </is>
      </c>
    </row>
    <row r="167" ht="28" customHeight="1">
      <c r="A167" s="5" t="inlineStr">
        <is>
          <t>C-P01/P01</t>
        </is>
      </c>
      <c r="B167" s="6" t="inlineStr">
        <is>
          <t>Four aborted/unfinished launch attempts</t>
        </is>
      </c>
      <c r="C167" s="6" t="inlineStr">
        <is>
          <t>OPEN</t>
        </is>
      </c>
      <c r="D167" s="6">
        <f>IFERROR(INDEX(Lists!$B$2:$B$14,MATCH(C167,Lists!$A$2:$A$14,0)),"?")</f>
        <v/>
      </c>
      <c r="E167" s="6">
        <f>IF(COUNTIFS(Links!$B$2:$B$600,A167,Links!$E$2:$E$600,"Yes")&gt;0,"REVISE","")</f>
        <v/>
      </c>
      <c r="F167" s="6">
        <f>COUNTIFS(Links!$B$2:$B$600,A167,Links!$D$2:$D$600,"No",Links!$C$2:$C$600,"&lt;&gt;INFORMS")</f>
        <v/>
      </c>
      <c r="G167" s="9" t="inlineStr">
        <is>
          <t>USER-DECISION</t>
        </is>
      </c>
      <c r="H167" s="6" t="inlineStr">
        <is>
          <t>K16 Limits &amp; provenance</t>
        </is>
      </c>
      <c r="I167" s="6" t="inlineStr">
        <is>
          <t>G5 Housekeeping / no block</t>
        </is>
      </c>
      <c r="J167" s="6" t="inlineStr">
        <is>
          <t>Low</t>
        </is>
      </c>
      <c r="K167" s="6" t="n">
        <v>245</v>
      </c>
      <c r="L167" s="6" t="inlineStr">
        <is>
          <t>W5 Claim-time</t>
        </is>
      </c>
      <c r="M167" s="6" t="inlineStr">
        <is>
          <t>S25</t>
        </is>
      </c>
      <c r="N167" s="6" t="inlineStr">
        <is>
          <t>You</t>
        </is>
      </c>
      <c r="O167" s="6" t="inlineStr">
        <is>
          <t>You decide (Q-U17)</t>
        </is>
      </c>
      <c r="P167" s="6" t="inlineStr">
        <is>
          <t>No</t>
        </is>
      </c>
      <c r="Q167" s="6" t="inlineStr">
        <is>
          <t>Record fix</t>
        </is>
      </c>
      <c r="R167" s="6" t="inlineStr">
        <is>
          <t>Sub-item</t>
        </is>
      </c>
      <c r="S167" s="6" t="inlineStr">
        <is>
          <t>C-P01</t>
        </is>
      </c>
      <c r="T167" s="6" t="inlineStr">
        <is>
          <t>SRC-06 P01: four aborted or unfinished launch attempts are provenance, not independent findings.</t>
        </is>
      </c>
      <c r="U167" s="6" t="inlineStr">
        <is>
          <t>Outside the repo.</t>
        </is>
      </c>
      <c r="V167" s="6" t="inlineStr">
        <is>
          <t>Repaired or disclosed.</t>
        </is>
      </c>
      <c r="W167" s="6" t="inlineStr"/>
      <c r="X167" s="6" t="inlineStr"/>
      <c r="Y167" s="6" t="inlineStr">
        <is>
          <t>Q-U17</t>
        </is>
      </c>
      <c r="Z167" s="6" t="inlineStr"/>
      <c r="AA167" s="6" t="inlineStr"/>
      <c r="AB167" s="6" t="inlineStr">
        <is>
          <t>RECORD+DEC</t>
        </is>
      </c>
      <c r="AC167" s="6" t="inlineStr">
        <is>
          <t>n/a (sub-item)</t>
        </is>
      </c>
      <c r="AD167" s="6" t="inlineStr">
        <is>
          <t>NEW (SRC-11 sub-row)</t>
        </is>
      </c>
      <c r="AE167" s="6" t="inlineStr">
        <is>
          <t>2026-10-19</t>
        </is>
      </c>
      <c r="AF167" s="6" t="inlineStr">
        <is>
          <t>Outside repo (SRC-11 D5)</t>
        </is>
      </c>
      <c r="AG167" s="6" t="inlineStr"/>
      <c r="AH167" s="6" t="inlineStr">
        <is>
          <t>No</t>
        </is>
      </c>
      <c r="AI167" s="6" t="inlineStr"/>
      <c r="AJ167" s="6" t="inlineStr">
        <is>
          <t>SRC-11 section D5</t>
        </is>
      </c>
      <c r="AK167" s="6" t="inlineStr">
        <is>
          <t>SRC-06 P01</t>
        </is>
      </c>
      <c r="AL167" s="6" t="inlineStr">
        <is>
          <t>S25</t>
        </is>
      </c>
    </row>
    <row r="168" ht="28" customHeight="1">
      <c r="A168" s="5" t="inlineStr">
        <is>
          <t>C-P01/P02</t>
        </is>
      </c>
      <c r="B168" s="6" t="inlineStr">
        <is>
          <t>Two copied thesis workspaces remain in the parent tree</t>
        </is>
      </c>
      <c r="C168" s="6" t="inlineStr">
        <is>
          <t>OPEN</t>
        </is>
      </c>
      <c r="D168" s="6">
        <f>IFERROR(INDEX(Lists!$B$2:$B$14,MATCH(C168,Lists!$A$2:$A$14,0)),"?")</f>
        <v/>
      </c>
      <c r="E168" s="6">
        <f>IF(COUNTIFS(Links!$B$2:$B$600,A168,Links!$E$2:$E$600,"Yes")&gt;0,"REVISE","")</f>
        <v/>
      </c>
      <c r="F168" s="6">
        <f>COUNTIFS(Links!$B$2:$B$600,A168,Links!$D$2:$D$600,"No",Links!$C$2:$C$600,"&lt;&gt;INFORMS")</f>
        <v/>
      </c>
      <c r="G168" s="9" t="inlineStr">
        <is>
          <t>USER-DECISION</t>
        </is>
      </c>
      <c r="H168" s="6" t="inlineStr">
        <is>
          <t>K16 Limits &amp; provenance</t>
        </is>
      </c>
      <c r="I168" s="6" t="inlineStr">
        <is>
          <t>G5 Housekeeping / no block</t>
        </is>
      </c>
      <c r="J168" s="6" t="inlineStr">
        <is>
          <t>Low</t>
        </is>
      </c>
      <c r="K168" s="6" t="n">
        <v>246</v>
      </c>
      <c r="L168" s="6" t="inlineStr">
        <is>
          <t>W5 Claim-time</t>
        </is>
      </c>
      <c r="M168" s="6" t="inlineStr">
        <is>
          <t>S25</t>
        </is>
      </c>
      <c r="N168" s="6" t="inlineStr">
        <is>
          <t>You</t>
        </is>
      </c>
      <c r="O168" s="6" t="inlineStr">
        <is>
          <t>You decide (Q-U17)</t>
        </is>
      </c>
      <c r="P168" s="6" t="inlineStr">
        <is>
          <t>No</t>
        </is>
      </c>
      <c r="Q168" s="6" t="inlineStr">
        <is>
          <t>Record fix</t>
        </is>
      </c>
      <c r="R168" s="6" t="inlineStr">
        <is>
          <t>Sub-item</t>
        </is>
      </c>
      <c r="S168" s="6" t="inlineStr">
        <is>
          <t>C-P01</t>
        </is>
      </c>
      <c r="T168" s="6" t="inlineStr">
        <is>
          <t>SRC-06 P02: two copied thesis workspaces remain in the parent tree; moving them cannot retroactively create independence.</t>
        </is>
      </c>
      <c r="U168" s="6" t="inlineStr">
        <is>
          <t>Outside the repo.</t>
        </is>
      </c>
      <c r="V168" s="6" t="inlineStr">
        <is>
          <t>Repaired or disclosed.</t>
        </is>
      </c>
      <c r="W168" s="6" t="inlineStr"/>
      <c r="X168" s="6" t="inlineStr"/>
      <c r="Y168" s="6" t="inlineStr">
        <is>
          <t>Q-U17</t>
        </is>
      </c>
      <c r="Z168" s="6" t="inlineStr"/>
      <c r="AA168" s="6" t="inlineStr"/>
      <c r="AB168" s="6" t="inlineStr">
        <is>
          <t>RECORD+DEC</t>
        </is>
      </c>
      <c r="AC168" s="6" t="inlineStr">
        <is>
          <t>n/a (sub-item)</t>
        </is>
      </c>
      <c r="AD168" s="6" t="inlineStr">
        <is>
          <t>NEW (SRC-11 sub-row)</t>
        </is>
      </c>
      <c r="AE168" s="6" t="inlineStr">
        <is>
          <t>2026-10-19</t>
        </is>
      </c>
      <c r="AF168" s="6" t="inlineStr">
        <is>
          <t>Outside repo (SRC-11 D5)</t>
        </is>
      </c>
      <c r="AG168" s="6" t="inlineStr"/>
      <c r="AH168" s="6" t="inlineStr">
        <is>
          <t>No</t>
        </is>
      </c>
      <c r="AI168" s="6" t="inlineStr"/>
      <c r="AJ168" s="6" t="inlineStr">
        <is>
          <t>SRC-11 section D5</t>
        </is>
      </c>
      <c r="AK168" s="6" t="inlineStr">
        <is>
          <t>SRC-06 P02</t>
        </is>
      </c>
      <c r="AL168" s="6" t="inlineStr">
        <is>
          <t>S25</t>
        </is>
      </c>
    </row>
    <row r="169" ht="140.5" customHeight="1">
      <c r="A169" s="5" t="inlineStr">
        <is>
          <t>C-P02</t>
        </is>
      </c>
      <c r="B169" s="6" t="inlineStr">
        <is>
          <t>Hash gaps, wrong boilerplate, same-model/operator/source risk, asymmetric coverage in the independent track.</t>
        </is>
      </c>
      <c r="C169" s="6" t="inlineStr">
        <is>
          <t>PARTLY ANSWERED</t>
        </is>
      </c>
      <c r="D169" s="6">
        <f>IFERROR(INDEX(Lists!$B$2:$B$14,MATCH(C169,Lists!$A$2:$A$14,0)),"?")</f>
        <v/>
      </c>
      <c r="E169" s="6">
        <f>IF(COUNTIFS(Links!$B$2:$B$600,A169,Links!$E$2:$E$600,"Yes")&gt;0,"REVISE","")</f>
        <v/>
      </c>
      <c r="F169" s="6">
        <f>COUNTIFS(Links!$B$2:$B$600,A169,Links!$D$2:$D$600,"No",Links!$C$2:$C$600,"&lt;&gt;INFORMS")</f>
        <v/>
      </c>
      <c r="G169" s="8" t="inlineStr">
        <is>
          <t>RECORDS-AT-HAND</t>
        </is>
      </c>
      <c r="H169" s="6" t="inlineStr">
        <is>
          <t>K16 Limits &amp; provenance</t>
        </is>
      </c>
      <c r="I169" s="6" t="inlineStr">
        <is>
          <t>G5 Housekeeping / no block</t>
        </is>
      </c>
      <c r="J169" s="6" t="inlineStr">
        <is>
          <t>Low</t>
        </is>
      </c>
      <c r="K169" s="6" t="n">
        <v>247</v>
      </c>
      <c r="L169" s="6" t="inlineStr">
        <is>
          <t>W5 Claim-time</t>
        </is>
      </c>
      <c r="M169" s="6" t="inlineStr">
        <is>
          <t>S25</t>
        </is>
      </c>
      <c r="N169" s="6" t="inlineStr">
        <is>
          <t>You</t>
        </is>
      </c>
      <c r="O169" s="6" t="inlineStr">
        <is>
          <t>Repairs P03, P04, P06, P10 need the human (files outside the repo)</t>
        </is>
      </c>
      <c r="P169" s="6" t="inlineStr">
        <is>
          <t>No</t>
        </is>
      </c>
      <c r="Q169" s="6" t="inlineStr">
        <is>
          <t>Record fix</t>
        </is>
      </c>
      <c r="R169" s="6" t="inlineStr">
        <is>
          <t>Item</t>
        </is>
      </c>
      <c r="S169" s="6" t="inlineStr"/>
      <c r="T169" s="6" t="inlineStr">
        <is>
          <t>Hash gaps, wrong boilerplate, same-model/operator/source risk, asymmetric coverage in the independent track.</t>
        </is>
      </c>
      <c r="U169"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69" s="6" t="inlineStr">
        <is>
          <t>Repairs made where cheap; independence claims qualified.</t>
        </is>
      </c>
      <c r="W169" s="6" t="inlineStr"/>
      <c r="X169" s="6" t="inlineStr"/>
      <c r="Y169" s="6" t="inlineStr">
        <is>
          <t>Q-U20</t>
        </is>
      </c>
      <c r="Z169" s="6" t="inlineStr">
        <is>
          <t>ACCEPT-LIMITATION</t>
        </is>
      </c>
      <c r="AA169" s="6" t="inlineStr"/>
      <c r="AB169" s="6" t="inlineStr">
        <is>
          <t>RECORD+BOUND</t>
        </is>
      </c>
      <c r="AC169" s="6" t="inlineStr">
        <is>
          <t>BOUNDARY - OPEN</t>
        </is>
      </c>
      <c r="AD169" s="6" t="inlineStr">
        <is>
          <t>UNCHANGED</t>
        </is>
      </c>
      <c r="AE169" s="6" t="inlineStr">
        <is>
          <t>2026-10-20</t>
        </is>
      </c>
      <c r="AF169" s="6" t="inlineStr">
        <is>
          <t>Questions Q-U20; chat message of 2026-10-20</t>
        </is>
      </c>
      <c r="AG169" s="6" t="inlineStr"/>
      <c r="AH169" s="6" t="inlineStr">
        <is>
          <t>No</t>
        </is>
      </c>
      <c r="AI169" s="6" t="inlineStr"/>
      <c r="AJ169" s="6" t="inlineStr">
        <is>
          <t>SRC-11 canonical</t>
        </is>
      </c>
      <c r="AK169" s="6" t="inlineStr">
        <is>
          <t>SRC-06 P03-P10</t>
        </is>
      </c>
      <c r="AL169" s="6" t="inlineStr">
        <is>
          <t>S25</t>
        </is>
      </c>
    </row>
    <row r="170" ht="28" customHeight="1">
      <c r="A170" s="5" t="inlineStr">
        <is>
          <t>C-P02/P03</t>
        </is>
      </c>
      <c r="B170" s="6" t="inlineStr">
        <is>
          <t>Incomplete externally held hashes</t>
        </is>
      </c>
      <c r="C170" s="6" t="inlineStr">
        <is>
          <t>OPEN</t>
        </is>
      </c>
      <c r="D170" s="6">
        <f>IFERROR(INDEX(Lists!$B$2:$B$14,MATCH(C170,Lists!$A$2:$A$14,0)),"?")</f>
        <v/>
      </c>
      <c r="E170" s="6">
        <f>IF(COUNTIFS(Links!$B$2:$B$600,A170,Links!$E$2:$E$600,"Yes")&gt;0,"REVISE","")</f>
        <v/>
      </c>
      <c r="F170" s="6">
        <f>COUNTIFS(Links!$B$2:$B$600,A170,Links!$D$2:$D$600,"No",Links!$C$2:$C$600,"&lt;&gt;INFORMS")</f>
        <v/>
      </c>
      <c r="G170" s="8" t="inlineStr">
        <is>
          <t>RECORDS-AT-HAND</t>
        </is>
      </c>
      <c r="H170" s="6" t="inlineStr">
        <is>
          <t>K16 Limits &amp; provenance</t>
        </is>
      </c>
      <c r="I170" s="6" t="inlineStr">
        <is>
          <t>G5 Housekeeping / no block</t>
        </is>
      </c>
      <c r="J170" s="6" t="inlineStr">
        <is>
          <t>Low</t>
        </is>
      </c>
      <c r="K170" s="6" t="n">
        <v>248</v>
      </c>
      <c r="L170" s="6" t="inlineStr">
        <is>
          <t>W5 Claim-time</t>
        </is>
      </c>
      <c r="M170" s="6" t="inlineStr">
        <is>
          <t>S25</t>
        </is>
      </c>
      <c r="N170" s="6" t="inlineStr">
        <is>
          <t>You</t>
        </is>
      </c>
      <c r="O170" s="6" t="inlineStr">
        <is>
          <t>Lead drafts the fix; you approve</t>
        </is>
      </c>
      <c r="P170" s="6" t="inlineStr">
        <is>
          <t>No</t>
        </is>
      </c>
      <c r="Q170" s="6" t="inlineStr">
        <is>
          <t>Record fix</t>
        </is>
      </c>
      <c r="R170" s="6" t="inlineStr">
        <is>
          <t>Sub-item</t>
        </is>
      </c>
      <c r="S170" s="6" t="inlineStr">
        <is>
          <t>C-P02</t>
        </is>
      </c>
      <c r="T170" s="6" t="inlineStr">
        <is>
          <t>SRC-06 P03: externally held hashes are incomplete.</t>
        </is>
      </c>
      <c r="U170" s="6" t="inlineStr">
        <is>
          <t>Outside the repo.</t>
        </is>
      </c>
      <c r="V170" s="6" t="inlineStr">
        <is>
          <t>Repaired or disclosed.</t>
        </is>
      </c>
      <c r="W170" s="6" t="inlineStr"/>
      <c r="X170" s="6" t="inlineStr"/>
      <c r="Y170" s="6" t="inlineStr"/>
      <c r="Z170" s="6" t="inlineStr"/>
      <c r="AA170" s="6" t="inlineStr"/>
      <c r="AB170" s="6" t="inlineStr">
        <is>
          <t>RECORD</t>
        </is>
      </c>
      <c r="AC170" s="6" t="inlineStr">
        <is>
          <t>n/a (sub-item)</t>
        </is>
      </c>
      <c r="AD170" s="6" t="inlineStr">
        <is>
          <t>NEW (SRC-11 sub-row)</t>
        </is>
      </c>
      <c r="AE170" s="6" t="inlineStr">
        <is>
          <t>2026-10-19</t>
        </is>
      </c>
      <c r="AF170" s="6" t="inlineStr">
        <is>
          <t>Outside repo (SRC-11 D5)</t>
        </is>
      </c>
      <c r="AG170" s="6" t="inlineStr"/>
      <c r="AH170" s="6" t="inlineStr">
        <is>
          <t>No</t>
        </is>
      </c>
      <c r="AI170" s="6" t="inlineStr"/>
      <c r="AJ170" s="6" t="inlineStr">
        <is>
          <t>SRC-11 section D5</t>
        </is>
      </c>
      <c r="AK170" s="6" t="inlineStr">
        <is>
          <t>SRC-06 P03</t>
        </is>
      </c>
      <c r="AL170" s="6" t="inlineStr">
        <is>
          <t>S25</t>
        </is>
      </c>
    </row>
    <row r="171" ht="28" customHeight="1">
      <c r="A171" s="5" t="inlineStr">
        <is>
          <t>C-P02/P04</t>
        </is>
      </c>
      <c r="B171" s="6" t="inlineStr">
        <is>
          <t>Wrong freeze boilerplate; missing authorizations in inspected files</t>
        </is>
      </c>
      <c r="C171" s="6" t="inlineStr">
        <is>
          <t>OPEN</t>
        </is>
      </c>
      <c r="D171" s="6">
        <f>IFERROR(INDEX(Lists!$B$2:$B$14,MATCH(C171,Lists!$A$2:$A$14,0)),"?")</f>
        <v/>
      </c>
      <c r="E171" s="6">
        <f>IF(COUNTIFS(Links!$B$2:$B$600,A171,Links!$E$2:$E$600,"Yes")&gt;0,"REVISE","")</f>
        <v/>
      </c>
      <c r="F171" s="6">
        <f>COUNTIFS(Links!$B$2:$B$600,A171,Links!$D$2:$D$600,"No",Links!$C$2:$C$600,"&lt;&gt;INFORMS")</f>
        <v/>
      </c>
      <c r="G171" s="8" t="inlineStr">
        <is>
          <t>RECORDS-AT-HAND</t>
        </is>
      </c>
      <c r="H171" s="6" t="inlineStr">
        <is>
          <t>K16 Limits &amp; provenance</t>
        </is>
      </c>
      <c r="I171" s="6" t="inlineStr">
        <is>
          <t>G5 Housekeeping / no block</t>
        </is>
      </c>
      <c r="J171" s="6" t="inlineStr">
        <is>
          <t>Low</t>
        </is>
      </c>
      <c r="K171" s="6" t="n">
        <v>249</v>
      </c>
      <c r="L171" s="6" t="inlineStr">
        <is>
          <t>W5 Claim-time</t>
        </is>
      </c>
      <c r="M171" s="6" t="inlineStr">
        <is>
          <t>S25</t>
        </is>
      </c>
      <c r="N171" s="6" t="inlineStr">
        <is>
          <t>You</t>
        </is>
      </c>
      <c r="O171" s="6" t="inlineStr">
        <is>
          <t>Lead drafts the fix; you approve</t>
        </is>
      </c>
      <c r="P171" s="6" t="inlineStr">
        <is>
          <t>No</t>
        </is>
      </c>
      <c r="Q171" s="6" t="inlineStr">
        <is>
          <t>Record fix</t>
        </is>
      </c>
      <c r="R171" s="6" t="inlineStr">
        <is>
          <t>Sub-item</t>
        </is>
      </c>
      <c r="S171" s="6" t="inlineStr">
        <is>
          <t>C-P02</t>
        </is>
      </c>
      <c r="T171" s="6" t="inlineStr">
        <is>
          <t>SRC-06 P04: wrong freeze boilerplate and missing authorizations in inspected files.</t>
        </is>
      </c>
      <c r="U171" s="6" t="inlineStr">
        <is>
          <t>Outside the repo.</t>
        </is>
      </c>
      <c r="V171" s="6" t="inlineStr">
        <is>
          <t>Repaired or disclosed.</t>
        </is>
      </c>
      <c r="W171" s="6" t="inlineStr"/>
      <c r="X171" s="6" t="inlineStr"/>
      <c r="Y171" s="6" t="inlineStr"/>
      <c r="Z171" s="6" t="inlineStr"/>
      <c r="AA171" s="6" t="inlineStr"/>
      <c r="AB171" s="6" t="inlineStr">
        <is>
          <t>RECORD</t>
        </is>
      </c>
      <c r="AC171" s="6" t="inlineStr">
        <is>
          <t>n/a (sub-item)</t>
        </is>
      </c>
      <c r="AD171" s="6" t="inlineStr">
        <is>
          <t>NEW (SRC-11 sub-row)</t>
        </is>
      </c>
      <c r="AE171" s="6" t="inlineStr">
        <is>
          <t>2026-10-19</t>
        </is>
      </c>
      <c r="AF171" s="6" t="inlineStr">
        <is>
          <t>Outside repo (SRC-11 D5)</t>
        </is>
      </c>
      <c r="AG171" s="6" t="inlineStr"/>
      <c r="AH171" s="6" t="inlineStr">
        <is>
          <t>No</t>
        </is>
      </c>
      <c r="AI171" s="6" t="inlineStr"/>
      <c r="AJ171" s="6" t="inlineStr">
        <is>
          <t>SRC-11 section D5</t>
        </is>
      </c>
      <c r="AK171" s="6" t="inlineStr">
        <is>
          <t>SRC-06 P04</t>
        </is>
      </c>
      <c r="AL171" s="6" t="inlineStr">
        <is>
          <t>S25</t>
        </is>
      </c>
    </row>
    <row r="172" ht="28" customHeight="1">
      <c r="A172" s="5" t="inlineStr">
        <is>
          <t>C-P02/P06</t>
        </is>
      </c>
      <c r="B172" s="6" t="inlineStr">
        <is>
          <t>Two out-of-folder reads lacking a human check</t>
        </is>
      </c>
      <c r="C172" s="6" t="inlineStr">
        <is>
          <t>OPEN</t>
        </is>
      </c>
      <c r="D172" s="6">
        <f>IFERROR(INDEX(Lists!$B$2:$B$14,MATCH(C172,Lists!$A$2:$A$14,0)),"?")</f>
        <v/>
      </c>
      <c r="E172" s="6">
        <f>IF(COUNTIFS(Links!$B$2:$B$600,A172,Links!$E$2:$E$600,"Yes")&gt;0,"REVISE","")</f>
        <v/>
      </c>
      <c r="F172" s="6">
        <f>COUNTIFS(Links!$B$2:$B$600,A172,Links!$D$2:$D$600,"No",Links!$C$2:$C$600,"&lt;&gt;INFORMS")</f>
        <v/>
      </c>
      <c r="G172" s="8" t="inlineStr">
        <is>
          <t>RECORDS-AT-HAND</t>
        </is>
      </c>
      <c r="H172" s="6" t="inlineStr">
        <is>
          <t>K16 Limits &amp; provenance</t>
        </is>
      </c>
      <c r="I172" s="6" t="inlineStr">
        <is>
          <t>G5 Housekeeping / no block</t>
        </is>
      </c>
      <c r="J172" s="6" t="inlineStr">
        <is>
          <t>Low</t>
        </is>
      </c>
      <c r="K172" s="6" t="n">
        <v>251</v>
      </c>
      <c r="L172" s="6" t="inlineStr">
        <is>
          <t>W5 Claim-time</t>
        </is>
      </c>
      <c r="M172" s="6" t="inlineStr">
        <is>
          <t>S25</t>
        </is>
      </c>
      <c r="N172" s="6" t="inlineStr">
        <is>
          <t>You</t>
        </is>
      </c>
      <c r="O172" s="6" t="inlineStr">
        <is>
          <t>Lead drafts the fix; you approve</t>
        </is>
      </c>
      <c r="P172" s="6" t="inlineStr">
        <is>
          <t>No</t>
        </is>
      </c>
      <c r="Q172" s="6" t="inlineStr">
        <is>
          <t>Record fix</t>
        </is>
      </c>
      <c r="R172" s="6" t="inlineStr">
        <is>
          <t>Sub-item</t>
        </is>
      </c>
      <c r="S172" s="6" t="inlineStr">
        <is>
          <t>C-P02</t>
        </is>
      </c>
      <c r="T172" s="6" t="inlineStr">
        <is>
          <t>SRC-06 P06: two out-of-folder reads occurred without a human check.</t>
        </is>
      </c>
      <c r="U172" s="6" t="inlineStr">
        <is>
          <t>Outside the repo.</t>
        </is>
      </c>
      <c r="V172" s="6" t="inlineStr">
        <is>
          <t>Repaired or disclosed.</t>
        </is>
      </c>
      <c r="W172" s="6" t="inlineStr"/>
      <c r="X172" s="6" t="inlineStr"/>
      <c r="Y172" s="6" t="inlineStr"/>
      <c r="Z172" s="6" t="inlineStr"/>
      <c r="AA172" s="6" t="inlineStr"/>
      <c r="AB172" s="6" t="inlineStr">
        <is>
          <t>RECORD</t>
        </is>
      </c>
      <c r="AC172" s="6" t="inlineStr">
        <is>
          <t>n/a (sub-item)</t>
        </is>
      </c>
      <c r="AD172" s="6" t="inlineStr">
        <is>
          <t>NEW (SRC-11 sub-row)</t>
        </is>
      </c>
      <c r="AE172" s="6" t="inlineStr">
        <is>
          <t>2026-10-19</t>
        </is>
      </c>
      <c r="AF172" s="6" t="inlineStr">
        <is>
          <t>Outside repo (SRC-11 D5)</t>
        </is>
      </c>
      <c r="AG172" s="6" t="inlineStr"/>
      <c r="AH172" s="6" t="inlineStr">
        <is>
          <t>No</t>
        </is>
      </c>
      <c r="AI172" s="6" t="inlineStr"/>
      <c r="AJ172" s="6" t="inlineStr">
        <is>
          <t>SRC-11 section D5</t>
        </is>
      </c>
      <c r="AK172" s="6" t="inlineStr">
        <is>
          <t>SRC-06 P06</t>
        </is>
      </c>
      <c r="AL172" s="6" t="inlineStr">
        <is>
          <t>S25</t>
        </is>
      </c>
    </row>
    <row r="173" ht="28" customHeight="1">
      <c r="A173" s="5" t="inlineStr">
        <is>
          <t>C-P02/P10</t>
        </is>
      </c>
      <c r="B173" s="6" t="inlineStr">
        <is>
          <t>Small glyph/denominator/extract limits</t>
        </is>
      </c>
      <c r="C173" s="6" t="inlineStr">
        <is>
          <t>OPEN</t>
        </is>
      </c>
      <c r="D173" s="6">
        <f>IFERROR(INDEX(Lists!$B$2:$B$14,MATCH(C173,Lists!$A$2:$A$14,0)),"?")</f>
        <v/>
      </c>
      <c r="E173" s="6">
        <f>IF(COUNTIFS(Links!$B$2:$B$600,A173,Links!$E$2:$E$600,"Yes")&gt;0,"REVISE","")</f>
        <v/>
      </c>
      <c r="F173" s="6">
        <f>COUNTIFS(Links!$B$2:$B$600,A173,Links!$D$2:$D$600,"No",Links!$C$2:$C$600,"&lt;&gt;INFORMS")</f>
        <v/>
      </c>
      <c r="G173" s="8" t="inlineStr">
        <is>
          <t>RECORDS-AT-HAND</t>
        </is>
      </c>
      <c r="H173" s="6" t="inlineStr">
        <is>
          <t>K16 Limits &amp; provenance</t>
        </is>
      </c>
      <c r="I173" s="6" t="inlineStr">
        <is>
          <t>G5 Housekeeping / no block</t>
        </is>
      </c>
      <c r="J173" s="6" t="inlineStr">
        <is>
          <t>Low</t>
        </is>
      </c>
      <c r="K173" s="6" t="n">
        <v>255</v>
      </c>
      <c r="L173" s="6" t="inlineStr">
        <is>
          <t>W5 Claim-time</t>
        </is>
      </c>
      <c r="M173" s="6" t="inlineStr">
        <is>
          <t>S25</t>
        </is>
      </c>
      <c r="N173" s="6" t="inlineStr">
        <is>
          <t>You</t>
        </is>
      </c>
      <c r="O173" s="6" t="inlineStr">
        <is>
          <t>Lead drafts the fix; you approve</t>
        </is>
      </c>
      <c r="P173" s="6" t="inlineStr">
        <is>
          <t>No</t>
        </is>
      </c>
      <c r="Q173" s="6" t="inlineStr">
        <is>
          <t>Record fix</t>
        </is>
      </c>
      <c r="R173" s="6" t="inlineStr">
        <is>
          <t>Sub-item</t>
        </is>
      </c>
      <c r="S173" s="6" t="inlineStr">
        <is>
          <t>C-P02</t>
        </is>
      </c>
      <c r="T173" s="6" t="inlineStr">
        <is>
          <t>SRC-06 P10: small glyph, denominator and extract limits.</t>
        </is>
      </c>
      <c r="U173" s="6" t="inlineStr">
        <is>
          <t>Outside the repo.</t>
        </is>
      </c>
      <c r="V173" s="6" t="inlineStr">
        <is>
          <t>Repaired or disclosed.</t>
        </is>
      </c>
      <c r="W173" s="6" t="inlineStr"/>
      <c r="X173" s="6" t="inlineStr"/>
      <c r="Y173" s="6" t="inlineStr"/>
      <c r="Z173" s="6" t="inlineStr"/>
      <c r="AA173" s="6" t="inlineStr"/>
      <c r="AB173" s="6" t="inlineStr">
        <is>
          <t>RECORD</t>
        </is>
      </c>
      <c r="AC173" s="6" t="inlineStr">
        <is>
          <t>n/a (sub-item)</t>
        </is>
      </c>
      <c r="AD173" s="6" t="inlineStr">
        <is>
          <t>NEW (SRC-11 sub-row)</t>
        </is>
      </c>
      <c r="AE173" s="6" t="inlineStr">
        <is>
          <t>2026-10-19</t>
        </is>
      </c>
      <c r="AF173" s="6" t="inlineStr">
        <is>
          <t>Outside repo (SRC-11 D5)</t>
        </is>
      </c>
      <c r="AG173" s="6" t="inlineStr"/>
      <c r="AH173" s="6" t="inlineStr">
        <is>
          <t>No</t>
        </is>
      </c>
      <c r="AI173" s="6" t="inlineStr"/>
      <c r="AJ173" s="6" t="inlineStr">
        <is>
          <t>SRC-11 section D5</t>
        </is>
      </c>
      <c r="AK173" s="6" t="inlineStr">
        <is>
          <t>SRC-06 P10</t>
        </is>
      </c>
      <c r="AL173" s="6" t="inlineStr">
        <is>
          <t>S25</t>
        </is>
      </c>
    </row>
    <row r="174" ht="40.5" customHeight="1">
      <c r="A174" s="5" t="inlineStr">
        <is>
          <t>C-P03</t>
        </is>
      </c>
      <c r="B174" s="6" t="inlineStr">
        <is>
          <t>First-session reconciliation not executed; safeguards untested; evidence ledger partly spot-checked; ASR pr...</t>
        </is>
      </c>
      <c r="C174" s="6" t="inlineStr">
        <is>
          <t>OPEN</t>
        </is>
      </c>
      <c r="D174" s="6">
        <f>IFERROR(INDEX(Lists!$B$2:$B$14,MATCH(C174,Lists!$A$2:$A$14,0)),"?")</f>
        <v/>
      </c>
      <c r="E174" s="6">
        <f>IF(COUNTIFS(Links!$B$2:$B$600,A174,Links!$E$2:$E$600,"Yes")&gt;0,"REVISE","")</f>
        <v/>
      </c>
      <c r="F174" s="6">
        <f>COUNTIFS(Links!$B$2:$B$600,A174,Links!$D$2:$D$600,"No",Links!$C$2:$C$600,"&lt;&gt;INFORMS")</f>
        <v/>
      </c>
      <c r="G174" s="9" t="inlineStr">
        <is>
          <t>USER-DECISION</t>
        </is>
      </c>
      <c r="H174" s="6" t="inlineStr">
        <is>
          <t>K16 Limits &amp; provenance</t>
        </is>
      </c>
      <c r="I174" s="6" t="inlineStr">
        <is>
          <t>G5 Housekeeping / no block</t>
        </is>
      </c>
      <c r="J174" s="6" t="inlineStr">
        <is>
          <t>Low</t>
        </is>
      </c>
      <c r="K174" s="6" t="n">
        <v>256</v>
      </c>
      <c r="L174" s="6" t="inlineStr">
        <is>
          <t>W5 Claim-time</t>
        </is>
      </c>
      <c r="M174" s="6" t="inlineStr">
        <is>
          <t>S25</t>
        </is>
      </c>
      <c r="N174" s="6" t="inlineStr">
        <is>
          <t>You</t>
        </is>
      </c>
      <c r="O174" s="6" t="inlineStr">
        <is>
          <t>You decide (Q-U03)</t>
        </is>
      </c>
      <c r="P174" s="6" t="inlineStr">
        <is>
          <t>No</t>
        </is>
      </c>
      <c r="Q174" s="6" t="inlineStr">
        <is>
          <t>Decision</t>
        </is>
      </c>
      <c r="R174" s="6" t="inlineStr">
        <is>
          <t>Item</t>
        </is>
      </c>
      <c r="S174" s="6" t="inlineStr"/>
      <c r="T174" s="6" t="inlineStr">
        <is>
          <t>First-session reconciliation not executed; safeguards untested; evidence ledger partly spot-checked; ASR provenance.</t>
        </is>
      </c>
      <c r="U174" s="6" t="inlineStr">
        <is>
          <t>Reconciliation still out of scope until a separate authorization.</t>
        </is>
      </c>
      <c r="V174" s="6" t="inlineStr">
        <is>
          <t>Reconciliation run only with Project A records and an AUTH; safeguards tested or accepted.</t>
        </is>
      </c>
      <c r="W174" s="6" t="inlineStr"/>
      <c r="X174" s="6" t="inlineStr">
        <is>
          <t>C-D11</t>
        </is>
      </c>
      <c r="Y174" s="6" t="inlineStr">
        <is>
          <t>Q-U03</t>
        </is>
      </c>
      <c r="Z174" s="6" t="inlineStr">
        <is>
          <t>RECORDS-AT-HAND</t>
        </is>
      </c>
      <c r="AA174" s="6" t="inlineStr">
        <is>
          <t>K0 Earlier results</t>
        </is>
      </c>
      <c r="AB174" s="6" t="inlineStr">
        <is>
          <t>ACCESS+RECORD+DEC</t>
        </is>
      </c>
      <c r="AC174" s="6" t="inlineStr">
        <is>
          <t>BOUNDARY - OPEN</t>
        </is>
      </c>
      <c r="AD174" s="6" t="inlineStr">
        <is>
          <t>UNCHANGED</t>
        </is>
      </c>
      <c r="AE174" s="6" t="inlineStr">
        <is>
          <t>2026-10-19</t>
        </is>
      </c>
      <c r="AF174" s="6" t="inlineStr">
        <is>
          <t>CLAUDE.md; CAVEATS row 14</t>
        </is>
      </c>
      <c r="AG174" s="6" t="inlineStr"/>
      <c r="AH174" s="6" t="inlineStr">
        <is>
          <t>Yes (reconciliation)</t>
        </is>
      </c>
      <c r="AI174" s="6" t="inlineStr"/>
      <c r="AJ174" s="6" t="inlineStr">
        <is>
          <t>SRC-11 canonical</t>
        </is>
      </c>
      <c r="AK174" s="6" t="inlineStr">
        <is>
          <t>SRC-06 P11-P14</t>
        </is>
      </c>
      <c r="AL174" s="6" t="inlineStr">
        <is>
          <t>S25</t>
        </is>
      </c>
    </row>
    <row r="175" ht="28" customHeight="1">
      <c r="A175" s="5" t="inlineStr">
        <is>
          <t>C-P03/P13</t>
        </is>
      </c>
      <c r="B175" s="6" t="inlineStr">
        <is>
          <t>Evidence ledger only partly spot-checked</t>
        </is>
      </c>
      <c r="C175" s="6" t="inlineStr">
        <is>
          <t>PARTLY ANSWERED</t>
        </is>
      </c>
      <c r="D175" s="6">
        <f>IFERROR(INDEX(Lists!$B$2:$B$14,MATCH(C175,Lists!$A$2:$A$14,0)),"?")</f>
        <v/>
      </c>
      <c r="E175" s="6">
        <f>IF(COUNTIFS(Links!$B$2:$B$600,A175,Links!$E$2:$E$600,"Yes")&gt;0,"REVISE","")</f>
        <v/>
      </c>
      <c r="F175" s="6">
        <f>COUNTIFS(Links!$B$2:$B$600,A175,Links!$D$2:$D$600,"No",Links!$C$2:$C$600,"&lt;&gt;INFORMS")</f>
        <v/>
      </c>
      <c r="G175" s="8" t="inlineStr">
        <is>
          <t>RECORDS-AT-HAND</t>
        </is>
      </c>
      <c r="H175" s="6" t="inlineStr">
        <is>
          <t>K16 Limits &amp; provenance</t>
        </is>
      </c>
      <c r="I175" s="6" t="inlineStr">
        <is>
          <t>G5 Housekeeping / no block</t>
        </is>
      </c>
      <c r="J175" s="6" t="inlineStr">
        <is>
          <t>Low</t>
        </is>
      </c>
      <c r="K175" s="6" t="n">
        <v>257</v>
      </c>
      <c r="L175" s="6" t="inlineStr">
        <is>
          <t>W5 Claim-time</t>
        </is>
      </c>
      <c r="M175" s="6" t="inlineStr">
        <is>
          <t>S25</t>
        </is>
      </c>
      <c r="N175" s="6" t="inlineStr">
        <is>
          <t>You</t>
        </is>
      </c>
      <c r="O175" s="6" t="inlineStr">
        <is>
          <t>Lead drafts the fix; you approve</t>
        </is>
      </c>
      <c r="P175" s="6" t="inlineStr">
        <is>
          <t>Partly</t>
        </is>
      </c>
      <c r="Q175" s="6" t="inlineStr">
        <is>
          <t>Record fix</t>
        </is>
      </c>
      <c r="R175" s="6" t="inlineStr">
        <is>
          <t>Sub-item</t>
        </is>
      </c>
      <c r="S175" s="6" t="inlineStr">
        <is>
          <t>C-P03</t>
        </is>
      </c>
      <c r="T175" s="6" t="inlineStr">
        <is>
          <t>SRC-06 P13: the evidence ledger was partly spot-checked.</t>
        </is>
      </c>
      <c r="U175" s="6" t="inlineStr">
        <is>
          <t>Hash integrity is checked mechanically; content was not verified.</t>
        </is>
      </c>
      <c r="V175" s="6" t="inlineStr">
        <is>
          <t>Repaired or disclosed.</t>
        </is>
      </c>
      <c r="W175" s="6" t="inlineStr"/>
      <c r="X175" s="6" t="inlineStr"/>
      <c r="Y175" s="6" t="inlineStr"/>
      <c r="Z175" s="6" t="inlineStr"/>
      <c r="AA175" s="6" t="inlineStr"/>
      <c r="AB175" s="6" t="inlineStr">
        <is>
          <t>RECORD+DEC</t>
        </is>
      </c>
      <c r="AC175" s="6" t="inlineStr">
        <is>
          <t>n/a (sub-item)</t>
        </is>
      </c>
      <c r="AD175" s="6" t="inlineStr">
        <is>
          <t>NEW (SRC-11 sub-row)</t>
        </is>
      </c>
      <c r="AE175" s="6" t="inlineStr">
        <is>
          <t>2026-10-19</t>
        </is>
      </c>
      <c r="AF175" s="6" t="inlineStr">
        <is>
          <t>verify_workspace.py (hash integrity, pass 875)</t>
        </is>
      </c>
      <c r="AG175" s="6" t="inlineStr"/>
      <c r="AH175" s="6" t="inlineStr">
        <is>
          <t>Yes (reconciliation)</t>
        </is>
      </c>
      <c r="AI175" s="6" t="inlineStr"/>
      <c r="AJ175" s="6" t="inlineStr">
        <is>
          <t>SRC-11 section D5</t>
        </is>
      </c>
      <c r="AK175" s="6" t="inlineStr">
        <is>
          <t>SRC-06 P13</t>
        </is>
      </c>
      <c r="AL175" s="6" t="inlineStr">
        <is>
          <t>S25</t>
        </is>
      </c>
    </row>
    <row r="176" ht="15" customHeight="1">
      <c r="A176" s="5" t="n"/>
      <c r="B176" s="6" t="n"/>
      <c r="C176" s="6" t="n"/>
      <c r="D176" s="6" t="n"/>
      <c r="E176" s="6" t="n"/>
      <c r="F176" s="6" t="n"/>
      <c r="G176" s="9" t="n"/>
      <c r="H176" s="6" t="n"/>
      <c r="I176" s="6" t="n"/>
      <c r="J176" s="6" t="n"/>
      <c r="K176" s="6" t="n"/>
      <c r="L176" s="6" t="n"/>
      <c r="M176" s="6" t="n"/>
      <c r="N176" s="6" t="n"/>
      <c r="O176" s="6" t="n"/>
      <c r="P176" s="6" t="n"/>
      <c r="Q176" s="6" t="n"/>
      <c r="R176" s="6" t="n"/>
      <c r="S176" s="6" t="n"/>
      <c r="T176" s="6" t="n"/>
      <c r="U176" s="6" t="n"/>
      <c r="V176" s="6" t="n"/>
      <c r="W176" s="6" t="n"/>
      <c r="X176" s="6" t="n"/>
      <c r="Y176" s="6" t="n"/>
      <c r="Z176" s="6" t="n"/>
      <c r="AA176" s="6" t="n"/>
      <c r="AB176" s="6" t="n"/>
      <c r="AC176" s="6" t="n"/>
      <c r="AD176" s="6" t="n"/>
      <c r="AE176" s="6" t="n"/>
      <c r="AF176" s="6" t="n"/>
      <c r="AG176" s="6" t="n"/>
      <c r="AH176" s="6" t="n"/>
      <c r="AI176" s="6" t="n"/>
      <c r="AJ176" s="6" t="n"/>
      <c r="AK176" s="6" t="n"/>
      <c r="AL176" s="6" t="n"/>
    </row>
    <row r="177" ht="15" customHeight="1">
      <c r="A177" s="5" t="n"/>
      <c r="B177" s="6" t="n"/>
      <c r="C177" s="6" t="n"/>
      <c r="D177" s="6" t="n"/>
      <c r="E177" s="6" t="n"/>
      <c r="F177" s="6" t="n"/>
      <c r="G177" s="8" t="n"/>
      <c r="H177" s="6" t="n"/>
      <c r="I177" s="6" t="n"/>
      <c r="J177" s="6" t="n"/>
      <c r="K177" s="6" t="n"/>
      <c r="L177" s="6" t="n"/>
      <c r="M177" s="6" t="n"/>
      <c r="N177" s="6" t="n"/>
      <c r="O177" s="6" t="n"/>
      <c r="P177" s="6" t="n"/>
      <c r="Q177" s="6" t="n"/>
      <c r="R177" s="6" t="n"/>
      <c r="S177" s="6" t="n"/>
      <c r="T177" s="6" t="n"/>
      <c r="U177" s="6" t="n"/>
      <c r="V177" s="6" t="n"/>
      <c r="W177" s="6" t="n"/>
      <c r="X177" s="6" t="n"/>
      <c r="Y177" s="6" t="n"/>
      <c r="Z177" s="6" t="n"/>
      <c r="AA177" s="6" t="n"/>
      <c r="AB177" s="6" t="n"/>
      <c r="AC177" s="6" t="n"/>
      <c r="AD177" s="6" t="n"/>
      <c r="AE177" s="6" t="n"/>
      <c r="AF177" s="6" t="n"/>
      <c r="AG177" s="6" t="n"/>
      <c r="AH177" s="6" t="n"/>
      <c r="AI177" s="6" t="n"/>
      <c r="AJ177" s="6" t="n"/>
      <c r="AK177" s="6" t="n"/>
      <c r="AL177" s="6" t="n"/>
    </row>
    <row r="178" ht="15" customHeight="1">
      <c r="A178" s="5" t="n"/>
      <c r="B178" s="6" t="n"/>
      <c r="C178" s="6" t="n"/>
      <c r="D178" s="6" t="n"/>
      <c r="E178" s="6" t="n"/>
      <c r="F178" s="6" t="n"/>
      <c r="G178" s="9" t="n"/>
      <c r="H178" s="6" t="n"/>
      <c r="I178" s="6" t="n"/>
      <c r="J178" s="6" t="n"/>
      <c r="K178" s="6" t="n"/>
      <c r="L178" s="6" t="n"/>
      <c r="M178" s="6" t="n"/>
      <c r="N178" s="6" t="n"/>
      <c r="O178" s="6" t="n"/>
      <c r="P178" s="6" t="n"/>
      <c r="Q178" s="6" t="n"/>
      <c r="R178" s="6" t="n"/>
      <c r="S178" s="6" t="n"/>
      <c r="T178" s="6" t="n"/>
      <c r="U178" s="6" t="n"/>
      <c r="V178" s="6" t="n"/>
      <c r="W178" s="6" t="n"/>
      <c r="X178" s="6" t="n"/>
      <c r="Y178" s="6" t="n"/>
      <c r="Z178" s="6" t="n"/>
      <c r="AA178" s="6" t="n"/>
      <c r="AB178" s="6" t="n"/>
      <c r="AC178" s="6" t="n"/>
      <c r="AD178" s="6" t="n"/>
      <c r="AE178" s="6" t="n"/>
      <c r="AF178" s="6" t="n"/>
      <c r="AG178" s="6" t="n"/>
      <c r="AH178" s="6" t="n"/>
      <c r="AI178" s="6" t="n"/>
      <c r="AJ178" s="6" t="n"/>
      <c r="AK178" s="6" t="n"/>
      <c r="AL178" s="6" t="n"/>
    </row>
    <row r="179" ht="15" customHeight="1">
      <c r="A179" s="5" t="n"/>
      <c r="B179" s="6" t="n"/>
      <c r="C179" s="6" t="n"/>
      <c r="D179" s="6" t="n"/>
      <c r="E179" s="6" t="n"/>
      <c r="F179" s="6" t="n"/>
      <c r="G179" s="8" t="n"/>
      <c r="H179" s="6" t="n"/>
      <c r="I179" s="6" t="n"/>
      <c r="J179" s="6" t="n"/>
      <c r="K179" s="6" t="n"/>
      <c r="L179" s="6" t="n"/>
      <c r="M179" s="6" t="n"/>
      <c r="N179" s="6" t="n"/>
      <c r="O179" s="6" t="n"/>
      <c r="P179" s="6" t="n"/>
      <c r="Q179" s="6" t="n"/>
      <c r="R179" s="6" t="n"/>
      <c r="S179" s="6" t="n"/>
      <c r="T179" s="6" t="n"/>
      <c r="U179" s="6" t="n"/>
      <c r="V179" s="6" t="n"/>
      <c r="W179" s="6" t="n"/>
      <c r="X179" s="6" t="n"/>
      <c r="Y179" s="6" t="n"/>
      <c r="Z179" s="6" t="n"/>
      <c r="AA179" s="6" t="n"/>
      <c r="AB179" s="6" t="n"/>
      <c r="AC179" s="6" t="n"/>
      <c r="AD179" s="6" t="n"/>
      <c r="AE179" s="6" t="n"/>
      <c r="AF179" s="6" t="n"/>
      <c r="AG179" s="6" t="n"/>
      <c r="AH179" s="6" t="n"/>
      <c r="AI179" s="6" t="n"/>
      <c r="AJ179" s="6" t="n"/>
      <c r="AK179" s="6" t="n"/>
      <c r="AL179" s="6" t="n"/>
    </row>
    <row r="180" ht="15" customHeight="1">
      <c r="A180" s="5" t="n"/>
      <c r="B180" s="6" t="n"/>
      <c r="C180" s="6" t="n"/>
      <c r="D180" s="6" t="n"/>
      <c r="E180" s="6" t="n"/>
      <c r="F180" s="6" t="n"/>
      <c r="G180" s="12" t="n"/>
      <c r="H180" s="6" t="n"/>
      <c r="I180" s="6" t="n"/>
      <c r="J180" s="6" t="n"/>
      <c r="K180" s="6" t="n"/>
      <c r="L180" s="6" t="n"/>
      <c r="M180" s="6" t="n"/>
      <c r="N180" s="6" t="n"/>
      <c r="O180" s="6" t="n"/>
      <c r="P180" s="6" t="n"/>
      <c r="Q180" s="6" t="n"/>
      <c r="R180" s="6" t="n"/>
      <c r="S180" s="6" t="n"/>
      <c r="T180" s="6" t="n"/>
      <c r="U180" s="6" t="n"/>
      <c r="V180" s="6" t="n"/>
      <c r="W180" s="6" t="n"/>
      <c r="X180" s="6" t="n"/>
      <c r="Y180" s="6" t="n"/>
      <c r="Z180" s="6" t="n"/>
      <c r="AA180" s="6" t="n"/>
      <c r="AB180" s="6" t="n"/>
      <c r="AC180" s="6" t="n"/>
      <c r="AD180" s="6" t="n"/>
      <c r="AE180" s="6" t="n"/>
      <c r="AF180" s="6" t="n"/>
      <c r="AG180" s="6" t="n"/>
      <c r="AH180" s="6" t="n"/>
      <c r="AI180" s="6" t="n"/>
      <c r="AJ180" s="6" t="n"/>
      <c r="AK180" s="6" t="n"/>
      <c r="AL180" s="6" t="n"/>
    </row>
    <row r="181" ht="15" customHeight="1">
      <c r="A181" s="5" t="n"/>
      <c r="B181" s="6" t="n"/>
      <c r="C181" s="6" t="n"/>
      <c r="D181" s="6" t="n"/>
      <c r="E181" s="6" t="n"/>
      <c r="F181" s="6" t="n"/>
      <c r="G181" s="9" t="n"/>
      <c r="H181" s="6" t="n"/>
      <c r="I181" s="6" t="n"/>
      <c r="J181" s="6" t="n"/>
      <c r="K181" s="6" t="n"/>
      <c r="L181" s="6" t="n"/>
      <c r="M181" s="6" t="n"/>
      <c r="N181" s="6" t="n"/>
      <c r="O181" s="6" t="n"/>
      <c r="P181" s="6" t="n"/>
      <c r="Q181" s="6" t="n"/>
      <c r="R181" s="6" t="n"/>
      <c r="S181" s="6" t="n"/>
      <c r="T181" s="6" t="n"/>
      <c r="U181" s="6" t="n"/>
      <c r="V181" s="6" t="n"/>
      <c r="W181" s="6" t="n"/>
      <c r="X181" s="6" t="n"/>
      <c r="Y181" s="6" t="n"/>
      <c r="Z181" s="6" t="n"/>
      <c r="AA181" s="6" t="n"/>
      <c r="AB181" s="6" t="n"/>
      <c r="AC181" s="6" t="n"/>
      <c r="AD181" s="6" t="n"/>
      <c r="AE181" s="6" t="n"/>
      <c r="AF181" s="6" t="n"/>
      <c r="AG181" s="6" t="n"/>
      <c r="AH181" s="6" t="n"/>
      <c r="AI181" s="6" t="n"/>
      <c r="AJ181" s="6" t="n"/>
      <c r="AK181" s="6" t="n"/>
      <c r="AL181" s="6" t="n"/>
    </row>
    <row r="182" ht="15" customHeight="1">
      <c r="A182" s="5" t="n"/>
      <c r="B182" s="6" t="n"/>
      <c r="C182" s="6" t="n"/>
      <c r="D182" s="6" t="n"/>
      <c r="E182" s="6" t="n"/>
      <c r="F182" s="6" t="n"/>
      <c r="G182" s="9" t="n"/>
      <c r="H182" s="6" t="n"/>
      <c r="I182" s="6" t="n"/>
      <c r="J182" s="6" t="n"/>
      <c r="K182" s="6" t="n"/>
      <c r="L182" s="6" t="n"/>
      <c r="M182" s="6" t="n"/>
      <c r="N182" s="6" t="n"/>
      <c r="O182" s="6" t="n"/>
      <c r="P182" s="6" t="n"/>
      <c r="Q182" s="6" t="n"/>
      <c r="R182" s="6" t="n"/>
      <c r="S182" s="6" t="n"/>
      <c r="T182" s="6" t="n"/>
      <c r="U182" s="6" t="n"/>
      <c r="V182" s="6" t="n"/>
      <c r="W182" s="6" t="n"/>
      <c r="X182" s="6" t="n"/>
      <c r="Y182" s="6" t="n"/>
      <c r="Z182" s="6" t="n"/>
      <c r="AA182" s="6" t="n"/>
      <c r="AB182" s="6" t="n"/>
      <c r="AC182" s="6" t="n"/>
      <c r="AD182" s="6" t="n"/>
      <c r="AE182" s="6" t="n"/>
      <c r="AF182" s="6" t="n"/>
      <c r="AG182" s="6" t="n"/>
      <c r="AH182" s="6" t="n"/>
      <c r="AI182" s="6" t="n"/>
      <c r="AJ182" s="6" t="n"/>
      <c r="AK182" s="6" t="n"/>
      <c r="AL182" s="6" t="n"/>
    </row>
    <row r="183" ht="15" customHeight="1">
      <c r="A183" s="5" t="n"/>
      <c r="B183" s="6" t="n"/>
      <c r="C183" s="6" t="n"/>
      <c r="D183" s="6" t="n"/>
      <c r="E183" s="6" t="n"/>
      <c r="F183" s="6" t="n"/>
      <c r="G183" s="9" t="n"/>
      <c r="H183" s="6" t="n"/>
      <c r="I183" s="6" t="n"/>
      <c r="J183" s="6" t="n"/>
      <c r="K183" s="6" t="n"/>
      <c r="L183" s="6" t="n"/>
      <c r="M183" s="6" t="n"/>
      <c r="N183" s="6" t="n"/>
      <c r="O183" s="6" t="n"/>
      <c r="P183" s="6" t="n"/>
      <c r="Q183" s="6" t="n"/>
      <c r="R183" s="6" t="n"/>
      <c r="S183" s="6" t="n"/>
      <c r="T183" s="6" t="n"/>
      <c r="U183" s="6" t="n"/>
      <c r="V183" s="6" t="n"/>
      <c r="W183" s="6" t="n"/>
      <c r="X183" s="6" t="n"/>
      <c r="Y183" s="6" t="n"/>
      <c r="Z183" s="6" t="n"/>
      <c r="AA183" s="6" t="n"/>
      <c r="AB183" s="6" t="n"/>
      <c r="AC183" s="6" t="n"/>
      <c r="AD183" s="6" t="n"/>
      <c r="AE183" s="6" t="n"/>
      <c r="AF183" s="6" t="n"/>
      <c r="AG183" s="6" t="n"/>
      <c r="AH183" s="6" t="n"/>
      <c r="AI183" s="6" t="n"/>
      <c r="AJ183" s="6" t="n"/>
      <c r="AK183" s="6" t="n"/>
      <c r="AL183" s="6" t="n"/>
    </row>
    <row r="184" ht="15" customHeight="1">
      <c r="A184" s="5" t="n"/>
      <c r="B184" s="6" t="n"/>
      <c r="C184" s="6" t="n"/>
      <c r="D184" s="6" t="n"/>
      <c r="E184" s="6" t="n"/>
      <c r="F184" s="6" t="n"/>
      <c r="G184" s="9" t="n"/>
      <c r="H184" s="6" t="n"/>
      <c r="I184" s="6" t="n"/>
      <c r="J184" s="6" t="n"/>
      <c r="K184" s="6" t="n"/>
      <c r="L184" s="6" t="n"/>
      <c r="M184" s="6" t="n"/>
      <c r="N184" s="6" t="n"/>
      <c r="O184" s="6" t="n"/>
      <c r="P184" s="6" t="n"/>
      <c r="Q184" s="6" t="n"/>
      <c r="R184" s="6" t="n"/>
      <c r="S184" s="6" t="n"/>
      <c r="T184" s="6" t="n"/>
      <c r="U184" s="6" t="n"/>
      <c r="V184" s="6" t="n"/>
      <c r="W184" s="6" t="n"/>
      <c r="X184" s="6" t="n"/>
      <c r="Y184" s="6" t="n"/>
      <c r="Z184" s="6" t="n"/>
      <c r="AA184" s="6" t="n"/>
      <c r="AB184" s="6" t="n"/>
      <c r="AC184" s="6" t="n"/>
      <c r="AD184" s="6" t="n"/>
      <c r="AE184" s="6" t="n"/>
      <c r="AF184" s="6" t="n"/>
      <c r="AG184" s="6" t="n"/>
      <c r="AH184" s="6" t="n"/>
      <c r="AI184" s="6" t="n"/>
      <c r="AJ184" s="6" t="n"/>
      <c r="AK184" s="6" t="n"/>
      <c r="AL184" s="6" t="n"/>
    </row>
    <row r="185" ht="15" customHeight="1">
      <c r="A185" s="5" t="n"/>
      <c r="B185" s="6" t="n"/>
      <c r="C185" s="6" t="n"/>
      <c r="D185" s="6" t="n"/>
      <c r="E185" s="6" t="n"/>
      <c r="F185" s="6" t="n"/>
      <c r="G185" s="9" t="n"/>
      <c r="H185" s="6" t="n"/>
      <c r="I185" s="6" t="n"/>
      <c r="J185" s="6" t="n"/>
      <c r="K185" s="6" t="n"/>
      <c r="L185" s="6" t="n"/>
      <c r="M185" s="6" t="n"/>
      <c r="N185" s="6" t="n"/>
      <c r="O185" s="6" t="n"/>
      <c r="P185" s="6" t="n"/>
      <c r="Q185" s="6" t="n"/>
      <c r="R185" s="6" t="n"/>
      <c r="S185" s="6" t="n"/>
      <c r="T185" s="6" t="n"/>
      <c r="U185" s="6" t="n"/>
      <c r="V185" s="6" t="n"/>
      <c r="W185" s="6" t="n"/>
      <c r="X185" s="6" t="n"/>
      <c r="Y185" s="6" t="n"/>
      <c r="Z185" s="6" t="n"/>
      <c r="AA185" s="6" t="n"/>
      <c r="AB185" s="6" t="n"/>
      <c r="AC185" s="6" t="n"/>
      <c r="AD185" s="6" t="n"/>
      <c r="AE185" s="6" t="n"/>
      <c r="AF185" s="6" t="n"/>
      <c r="AG185" s="6" t="n"/>
      <c r="AH185" s="6" t="n"/>
      <c r="AI185" s="6" t="n"/>
      <c r="AJ185" s="6" t="n"/>
      <c r="AK185" s="6" t="n"/>
      <c r="AL185" s="6" t="n"/>
    </row>
    <row r="186" ht="15" customHeight="1">
      <c r="A186" s="5" t="n"/>
      <c r="B186" s="6" t="n"/>
      <c r="C186" s="6" t="n"/>
      <c r="D186" s="6" t="n"/>
      <c r="E186" s="6" t="n"/>
      <c r="F186" s="6" t="n"/>
      <c r="G186" s="8" t="n"/>
      <c r="H186" s="6" t="n"/>
      <c r="I186" s="6" t="n"/>
      <c r="J186" s="6" t="n"/>
      <c r="K186" s="6" t="n"/>
      <c r="L186" s="6" t="n"/>
      <c r="M186" s="6" t="n"/>
      <c r="N186" s="6" t="n"/>
      <c r="O186" s="6" t="n"/>
      <c r="P186" s="6" t="n"/>
      <c r="Q186" s="6" t="n"/>
      <c r="R186" s="6" t="n"/>
      <c r="S186" s="6" t="n"/>
      <c r="T186" s="6" t="n"/>
      <c r="U186" s="6" t="n"/>
      <c r="V186" s="6" t="n"/>
      <c r="W186" s="6" t="n"/>
      <c r="X186" s="6" t="n"/>
      <c r="Y186" s="6" t="n"/>
      <c r="Z186" s="6" t="n"/>
      <c r="AA186" s="6" t="n"/>
      <c r="AB186" s="6" t="n"/>
      <c r="AC186" s="6" t="n"/>
      <c r="AD186" s="6" t="n"/>
      <c r="AE186" s="6" t="n"/>
      <c r="AF186" s="6" t="n"/>
      <c r="AG186" s="6" t="n"/>
      <c r="AH186" s="6" t="n"/>
      <c r="AI186" s="6" t="n"/>
      <c r="AJ186" s="6" t="n"/>
      <c r="AK186" s="6" t="n"/>
      <c r="AL186" s="6" t="n"/>
    </row>
    <row r="187" ht="15" customHeight="1">
      <c r="A187" s="5" t="n"/>
      <c r="B187" s="6" t="n"/>
      <c r="C187" s="6" t="n"/>
      <c r="D187" s="6" t="n"/>
      <c r="E187" s="6" t="n"/>
      <c r="F187" s="6" t="n"/>
      <c r="G187" s="8" t="n"/>
      <c r="H187" s="6" t="n"/>
      <c r="I187" s="6" t="n"/>
      <c r="J187" s="6" t="n"/>
      <c r="K187" s="6" t="n"/>
      <c r="L187" s="6" t="n"/>
      <c r="M187" s="6" t="n"/>
      <c r="N187" s="6" t="n"/>
      <c r="O187" s="6" t="n"/>
      <c r="P187" s="6" t="n"/>
      <c r="Q187" s="6" t="n"/>
      <c r="R187" s="6" t="n"/>
      <c r="S187" s="6" t="n"/>
      <c r="T187" s="6" t="n"/>
      <c r="U187" s="6" t="n"/>
      <c r="V187" s="6" t="n"/>
      <c r="W187" s="6" t="n"/>
      <c r="X187" s="6" t="n"/>
      <c r="Y187" s="6" t="n"/>
      <c r="Z187" s="6" t="n"/>
      <c r="AA187" s="6" t="n"/>
      <c r="AB187" s="6" t="n"/>
      <c r="AC187" s="6" t="n"/>
      <c r="AD187" s="6" t="n"/>
      <c r="AE187" s="6" t="n"/>
      <c r="AF187" s="6" t="n"/>
      <c r="AG187" s="6" t="n"/>
      <c r="AH187" s="6" t="n"/>
      <c r="AI187" s="6" t="n"/>
      <c r="AJ187" s="6" t="n"/>
      <c r="AK187" s="6" t="n"/>
      <c r="AL187" s="6" t="n"/>
    </row>
    <row r="188" ht="15" customHeight="1">
      <c r="A188" s="5" t="n"/>
      <c r="B188" s="6" t="n"/>
      <c r="C188" s="6" t="n"/>
      <c r="D188" s="6" t="n"/>
      <c r="E188" s="6" t="n"/>
      <c r="F188" s="6" t="n"/>
      <c r="G188" s="8" t="n"/>
      <c r="H188" s="6" t="n"/>
      <c r="I188" s="6" t="n"/>
      <c r="J188" s="6" t="n"/>
      <c r="K188" s="6" t="n"/>
      <c r="L188" s="6" t="n"/>
      <c r="M188" s="6" t="n"/>
      <c r="N188" s="6" t="n"/>
      <c r="O188" s="6" t="n"/>
      <c r="P188" s="6" t="n"/>
      <c r="Q188" s="6" t="n"/>
      <c r="R188" s="6" t="n"/>
      <c r="S188" s="6" t="n"/>
      <c r="T188" s="6" t="n"/>
      <c r="U188" s="6" t="n"/>
      <c r="V188" s="6" t="n"/>
      <c r="W188" s="6" t="n"/>
      <c r="X188" s="6" t="n"/>
      <c r="Y188" s="6" t="n"/>
      <c r="Z188" s="6" t="n"/>
      <c r="AA188" s="6" t="n"/>
      <c r="AB188" s="6" t="n"/>
      <c r="AC188" s="6" t="n"/>
      <c r="AD188" s="6" t="n"/>
      <c r="AE188" s="6" t="n"/>
      <c r="AF188" s="6" t="n"/>
      <c r="AG188" s="6" t="n"/>
      <c r="AH188" s="6" t="n"/>
      <c r="AI188" s="6" t="n"/>
      <c r="AJ188" s="6" t="n"/>
      <c r="AK188" s="6" t="n"/>
      <c r="AL188" s="6" t="n"/>
    </row>
    <row r="189" ht="15" customHeight="1">
      <c r="A189" s="5" t="n"/>
      <c r="B189" s="6" t="n"/>
      <c r="C189" s="6" t="n"/>
      <c r="D189" s="6" t="n"/>
      <c r="E189" s="6" t="n"/>
      <c r="F189" s="6" t="n"/>
      <c r="G189" s="8" t="n"/>
      <c r="H189" s="6" t="n"/>
      <c r="I189" s="6" t="n"/>
      <c r="J189" s="6" t="n"/>
      <c r="K189" s="6" t="n"/>
      <c r="L189" s="6" t="n"/>
      <c r="M189" s="6" t="n"/>
      <c r="N189" s="6" t="n"/>
      <c r="O189" s="6" t="n"/>
      <c r="P189" s="6" t="n"/>
      <c r="Q189" s="6" t="n"/>
      <c r="R189" s="6" t="n"/>
      <c r="S189" s="6" t="n"/>
      <c r="T189" s="6" t="n"/>
      <c r="U189" s="6" t="n"/>
      <c r="V189" s="6" t="n"/>
      <c r="W189" s="6" t="n"/>
      <c r="X189" s="6" t="n"/>
      <c r="Y189" s="6" t="n"/>
      <c r="Z189" s="6" t="n"/>
      <c r="AA189" s="6" t="n"/>
      <c r="AB189" s="6" t="n"/>
      <c r="AC189" s="6" t="n"/>
      <c r="AD189" s="6" t="n"/>
      <c r="AE189" s="6" t="n"/>
      <c r="AF189" s="6" t="n"/>
      <c r="AG189" s="6" t="n"/>
      <c r="AH189" s="6" t="n"/>
      <c r="AI189" s="6" t="n"/>
      <c r="AJ189" s="6" t="n"/>
      <c r="AK189" s="6" t="n"/>
      <c r="AL189" s="6" t="n"/>
    </row>
    <row r="190" ht="15" customHeight="1">
      <c r="A190" s="5" t="n"/>
      <c r="B190" s="6" t="n"/>
      <c r="C190" s="6" t="n"/>
      <c r="D190" s="6" t="n"/>
      <c r="E190" s="6" t="n"/>
      <c r="F190" s="6" t="n"/>
      <c r="G190" s="8" t="n"/>
      <c r="H190" s="6" t="n"/>
      <c r="I190" s="6" t="n"/>
      <c r="J190" s="6" t="n"/>
      <c r="K190" s="6" t="n"/>
      <c r="L190" s="6" t="n"/>
      <c r="M190" s="6" t="n"/>
      <c r="N190" s="6" t="n"/>
      <c r="O190" s="6" t="n"/>
      <c r="P190" s="6" t="n"/>
      <c r="Q190" s="6" t="n"/>
      <c r="R190" s="6" t="n"/>
      <c r="S190" s="6" t="n"/>
      <c r="T190" s="6" t="n"/>
      <c r="U190" s="6" t="n"/>
      <c r="V190" s="6" t="n"/>
      <c r="W190" s="6" t="n"/>
      <c r="X190" s="6" t="n"/>
      <c r="Y190" s="6" t="n"/>
      <c r="Z190" s="6" t="n"/>
      <c r="AA190" s="6" t="n"/>
      <c r="AB190" s="6" t="n"/>
      <c r="AC190" s="6" t="n"/>
      <c r="AD190" s="6" t="n"/>
      <c r="AE190" s="6" t="n"/>
      <c r="AF190" s="6" t="n"/>
      <c r="AG190" s="6" t="n"/>
      <c r="AH190" s="6" t="n"/>
      <c r="AI190" s="6" t="n"/>
      <c r="AJ190" s="6" t="n"/>
      <c r="AK190" s="6" t="n"/>
      <c r="AL190" s="6" t="n"/>
    </row>
    <row r="191" ht="15" customHeight="1">
      <c r="A191" s="5" t="n"/>
      <c r="B191" s="6" t="n"/>
      <c r="C191" s="6" t="n"/>
      <c r="D191" s="6" t="n"/>
      <c r="E191" s="6" t="n"/>
      <c r="F191" s="6" t="n"/>
      <c r="G191" s="9" t="n"/>
      <c r="H191" s="6" t="n"/>
      <c r="I191" s="6" t="n"/>
      <c r="J191" s="6" t="n"/>
      <c r="K191" s="6" t="n"/>
      <c r="L191" s="6" t="n"/>
      <c r="M191" s="6" t="n"/>
      <c r="N191" s="6" t="n"/>
      <c r="O191" s="6" t="n"/>
      <c r="P191" s="6" t="n"/>
      <c r="Q191" s="6" t="n"/>
      <c r="R191" s="6" t="n"/>
      <c r="S191" s="6" t="n"/>
      <c r="T191" s="6" t="n"/>
      <c r="U191" s="6" t="n"/>
      <c r="V191" s="6" t="n"/>
      <c r="W191" s="6" t="n"/>
      <c r="X191" s="6" t="n"/>
      <c r="Y191" s="6" t="n"/>
      <c r="Z191" s="6" t="n"/>
      <c r="AA191" s="6" t="n"/>
      <c r="AB191" s="6" t="n"/>
      <c r="AC191" s="6" t="n"/>
      <c r="AD191" s="6" t="n"/>
      <c r="AE191" s="6" t="n"/>
      <c r="AF191" s="6" t="n"/>
      <c r="AG191" s="6" t="n"/>
      <c r="AH191" s="6" t="n"/>
      <c r="AI191" s="6" t="n"/>
      <c r="AJ191" s="6" t="n"/>
      <c r="AK191" s="6" t="n"/>
      <c r="AL191" s="6" t="n"/>
    </row>
    <row r="192" ht="15" customHeight="1">
      <c r="A192" s="5" t="n"/>
      <c r="B192" s="6" t="n"/>
      <c r="C192" s="6" t="n"/>
      <c r="D192" s="6" t="n"/>
      <c r="E192" s="6" t="n"/>
      <c r="F192" s="6" t="n"/>
      <c r="G192" s="8" t="n"/>
      <c r="H192" s="6" t="n"/>
      <c r="I192" s="6" t="n"/>
      <c r="J192" s="6" t="n"/>
      <c r="K192" s="6" t="n"/>
      <c r="L192" s="6" t="n"/>
      <c r="M192" s="6" t="n"/>
      <c r="N192" s="6" t="n"/>
      <c r="O192" s="6" t="n"/>
      <c r="P192" s="6" t="n"/>
      <c r="Q192" s="6" t="n"/>
      <c r="R192" s="6" t="n"/>
      <c r="S192" s="6" t="n"/>
      <c r="T192" s="6" t="n"/>
      <c r="U192" s="6" t="n"/>
      <c r="V192" s="6" t="n"/>
      <c r="W192" s="6" t="n"/>
      <c r="X192" s="6" t="n"/>
      <c r="Y192" s="6" t="n"/>
      <c r="Z192" s="6" t="n"/>
      <c r="AA192" s="6" t="n"/>
      <c r="AB192" s="6" t="n"/>
      <c r="AC192" s="6" t="n"/>
      <c r="AD192" s="6" t="n"/>
      <c r="AE192" s="6" t="n"/>
      <c r="AF192" s="6" t="n"/>
      <c r="AG192" s="6" t="n"/>
      <c r="AH192" s="6" t="n"/>
      <c r="AI192" s="6" t="n"/>
      <c r="AJ192" s="6" t="n"/>
      <c r="AK192" s="6" t="n"/>
      <c r="AL192" s="6" t="n"/>
    </row>
    <row r="193" ht="15" customHeight="1">
      <c r="A193" s="5" t="n"/>
      <c r="B193" s="6" t="n"/>
      <c r="C193" s="6" t="n"/>
      <c r="D193" s="6" t="n"/>
      <c r="E193" s="6" t="n"/>
      <c r="F193" s="6" t="n"/>
      <c r="G193" s="8"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8"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9"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8"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9"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8"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8"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9"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17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8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165.5" customHeight="1">
      <c r="A14" s="5" t="inlineStr">
        <is>
          <t>C-D01</t>
        </is>
      </c>
      <c r="B14" s="6" t="inlineStr">
        <is>
          <t>Which text governs Project A: the June expose, the October staged-policy wording, or V3?</t>
        </is>
      </c>
      <c r="C14" s="6" t="inlineStr">
        <is>
          <t>CLOSED - BY DECISION</t>
        </is>
      </c>
      <c r="D14" s="6" t="inlineStr">
        <is>
          <t>No</t>
        </is>
      </c>
      <c r="E14" s="6" t="inlineStr"/>
      <c r="F14" s="6" t="inlineStr"/>
      <c r="G14" s="10" t="inlineStr">
        <is>
          <t>JOAA-DECISION</t>
        </is>
      </c>
      <c r="H14" s="6" t="inlineStr">
        <is>
          <t>K1 Scope: what Project A is</t>
        </is>
      </c>
      <c r="I14" s="6" t="inlineStr">
        <is>
          <t>G1 Before any implementation</t>
        </is>
      </c>
      <c r="J14" s="6" t="inlineStr">
        <is>
          <t>High</t>
        </is>
      </c>
      <c r="K14" s="6" t="n">
        <v>23</v>
      </c>
      <c r="L14" s="6" t="inlineStr">
        <is>
          <t>W1 Decide</t>
        </is>
      </c>
      <c r="M14" s="6" t="inlineStr">
        <is>
          <t>S05</t>
        </is>
      </c>
      <c r="N14" s="6" t="inlineStr">
        <is>
          <t>Joaa (you supply SRC-03 and the acceptance record)</t>
        </is>
      </c>
      <c r="O14" s="6" t="inlineStr">
        <is>
          <t>Closed; moved to Archive</t>
        </is>
      </c>
      <c r="P14" s="6" t="inlineStr">
        <is>
          <t>No</t>
        </is>
      </c>
      <c r="Q14" s="6" t="inlineStr">
        <is>
          <t>Decision</t>
        </is>
      </c>
      <c r="R14" s="6" t="inlineStr">
        <is>
          <t>Item</t>
        </is>
      </c>
      <c r="S14" s="6" t="inlineStr"/>
      <c r="T14" s="6" t="inlineStr">
        <is>
          <t>Which text governs Project A: the June expose, the October staged-policy wording, or V3? Joaa's acceptance of the June expose is only your account.</t>
        </is>
      </c>
      <c r="U14" s="6" t="inlineStr">
        <is>
          <t>Repo has Oct 14 E1 (a fragment) and a placeholder thesis question; June expose and acceptance record absent. 2026-10-21 (AUTH-019, the human's decisions): 'forget about what we propsed in the expose donot govern to it or refuse, simply if the ideas we discussed there we could use them after verifing them on all other ideas then yes, if now we can for sure kill it and make sure we say why we canot use it, so we treat it as any normal idea' (line 6). No document governs; the June expose's ideas are candidate ideas, verified against the others and kept or dropped with a stated reason.</t>
        </is>
      </c>
      <c r="V14" s="6" t="inlineStr">
        <is>
          <t>Closed 2026-10-21: the human's decision replaces the need for a governing text.</t>
        </is>
      </c>
      <c r="W14" s="6" t="inlineStr">
        <is>
          <t>N-8, N-9</t>
        </is>
      </c>
      <c r="X14" s="6" t="inlineStr"/>
      <c r="Y14" s="6" t="inlineStr">
        <is>
          <t>Q-J01, Q-U01, Q-U09, Q-U24</t>
        </is>
      </c>
      <c r="Z14" s="6" t="inlineStr">
        <is>
          <t>USER-DECISION, RECORDS-AT-HAND</t>
        </is>
      </c>
      <c r="AA14" s="6" t="inlineStr">
        <is>
          <t>K3 Policy form</t>
        </is>
      </c>
      <c r="AB14" s="6" t="inlineStr">
        <is>
          <t>DEC+ACCESS</t>
        </is>
      </c>
      <c r="AC14" s="6" t="inlineStr">
        <is>
          <t>PARTLY ANSWERED - OPEN</t>
        </is>
      </c>
      <c r="AD14" s="6" t="inlineStr">
        <is>
          <t>NO EVIDENCE IN REPO</t>
        </is>
      </c>
      <c r="AE14" s="6" t="inlineStr">
        <is>
          <t>2026-10-21</t>
        </is>
      </c>
      <c r="AF14" s="6" t="inlineStr">
        <is>
          <t>INT-T-005 (requirements/intake/2026-10-21-user-decisions-after-meetings.md)</t>
        </is>
      </c>
      <c r="AG14" s="6" t="inlineStr"/>
      <c r="AH14" s="6" t="inlineStr">
        <is>
          <t>No</t>
        </is>
      </c>
      <c r="AI14" s="6" t="inlineStr">
        <is>
          <t>Closed 2026-10-21: no text governs Project A; the June ideas are candidates like any other (the human).</t>
        </is>
      </c>
      <c r="AJ14" s="6" t="inlineStr">
        <is>
          <t>SRC-11 canonical</t>
        </is>
      </c>
      <c r="AK14" s="6" t="inlineStr">
        <is>
          <t>REGISTER G.3 Q1, REGISTER G.3 Q3</t>
        </is>
      </c>
      <c r="AL14" s="6" t="inlineStr">
        <is>
          <t>S01</t>
        </is>
      </c>
    </row>
    <row r="15" ht="300" customHeight="1">
      <c r="A15" s="5" t="inlineStr">
        <is>
          <t>C-D05</t>
        </is>
      </c>
      <c r="B15" s="6" t="inlineStr">
        <is>
          <t>What is due next, and does 'implement' include writing the evaluation script?</t>
        </is>
      </c>
      <c r="C15" s="6" t="inlineStr">
        <is>
          <t>CLOSED - BY DECISION</t>
        </is>
      </c>
      <c r="D15" s="6" t="inlineStr">
        <is>
          <t>No</t>
        </is>
      </c>
      <c r="E15" s="6" t="inlineStr"/>
      <c r="F15" s="6" t="inlineStr"/>
      <c r="G15" s="10" t="inlineStr">
        <is>
          <t>JOAA-DECISION</t>
        </is>
      </c>
      <c r="H15" s="6" t="inlineStr">
        <is>
          <t>K6 Deliverable &amp; authorization</t>
        </is>
      </c>
      <c r="I15" s="6" t="inlineStr">
        <is>
          <t>G1 Before any implementation</t>
        </is>
      </c>
      <c r="J15" s="6" t="inlineStr">
        <is>
          <t>High</t>
        </is>
      </c>
      <c r="K15" s="6" t="n">
        <v>24</v>
      </c>
      <c r="L15" s="6" t="inlineStr">
        <is>
          <t>W1 Decide</t>
        </is>
      </c>
      <c r="M15" s="6" t="inlineStr">
        <is>
          <t>S05</t>
        </is>
      </c>
      <c r="N15" s="6" t="inlineStr">
        <is>
          <t>Joaa</t>
        </is>
      </c>
      <c r="O15" s="6" t="inlineStr">
        <is>
          <t>Closed; moved to Archive</t>
        </is>
      </c>
      <c r="P15" s="6" t="inlineStr">
        <is>
          <t>No</t>
        </is>
      </c>
      <c r="Q15" s="6" t="inlineStr">
        <is>
          <t>Decision</t>
        </is>
      </c>
      <c r="R15" s="6" t="inlineStr">
        <is>
          <t>Item</t>
        </is>
      </c>
      <c r="S15" s="6" t="inlineStr"/>
      <c r="T15" s="6" t="inlineStr">
        <is>
          <t>What is due next, and does 'implement' include writing the evaluation script? Was the 2 Oct deliverable delivered?</t>
        </is>
      </c>
      <c r="U15"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 2026-10-21 (AUTH-019, the human's decisions): process in the human's words: 'now we are in the phase of doing our research and drafting and planning a policy then we move to testing someparts sceintifically and correctl and record the findings as we go, then we will loop in that we test verify, improve and so on, not rigirous tests or full tests ... after that loop we will be having a policy steps verified and tested then we test e2e and making final findings' (line 7); consistent with the supervisor's 'don't engineer it at all' first (INT-T-002 L453). What is due next: research and a drafted policy, then proof-of-concept tests of its parts.</t>
        </is>
      </c>
      <c r="V15" s="6" t="inlineStr">
        <is>
          <t>Closed 2026-10-21: REGISTER Q5 and Q6 answered by the supervisor's and the human's words.</t>
        </is>
      </c>
      <c r="W15" s="6" t="inlineStr"/>
      <c r="X15" s="6" t="inlineStr"/>
      <c r="Y15" s="6" t="inlineStr">
        <is>
          <t>Q-J17, Q-J18, Q-U05</t>
        </is>
      </c>
      <c r="Z15" s="6" t="inlineStr">
        <is>
          <t>USER-DECISION</t>
        </is>
      </c>
      <c r="AA15" s="6" t="inlineStr"/>
      <c r="AB15" s="6" t="inlineStr">
        <is>
          <t>DEC+ACCESS</t>
        </is>
      </c>
      <c r="AC15" s="6" t="inlineStr">
        <is>
          <t>PARTLY ANSWERED - OPEN</t>
        </is>
      </c>
      <c r="AD15" s="6" t="inlineStr">
        <is>
          <t>UNCHANGED</t>
        </is>
      </c>
      <c r="AE15" s="6" t="inlineStr">
        <is>
          <t>2026-10-21</t>
        </is>
      </c>
      <c r="AF15" s="6" t="inlineStr">
        <is>
          <t>INT-T-005 (requirements/intake/2026-10-21-user-decisions-after-meetings.md); INT-T-002 L426-L458</t>
        </is>
      </c>
      <c r="AG15" s="6" t="inlineStr"/>
      <c r="AH15" s="6" t="inlineStr">
        <is>
          <t>No</t>
        </is>
      </c>
      <c r="AI15" s="6" t="inlineStr">
        <is>
          <t>Closed 2026-10-21: due next is research and a drafted policy, then proof-of-concept tests of parts in a loop, then an end-to-end study.</t>
        </is>
      </c>
      <c r="AJ15" s="6" t="inlineStr">
        <is>
          <t>SRC-11 canonical</t>
        </is>
      </c>
      <c r="AK15" s="6" t="inlineStr">
        <is>
          <t>REGISTER G.3 Q5, REGISTER G.3 Q6, COMPARISON C3, SRC-06 D05, SRC-06 D06, SRC-07 05, SRC-07 06, REQ-O14-10, REQ-O14-18</t>
        </is>
      </c>
      <c r="AL15" s="6" t="inlineStr">
        <is>
          <t>S04</t>
        </is>
      </c>
    </row>
    <row r="16" ht="203" customHeight="1">
      <c r="A16" s="5" t="inlineStr">
        <is>
          <t>C-D07/GRADED</t>
        </is>
      </c>
      <c r="B16" s="6" t="inlineStr">
        <is>
          <t>Is graded/partial exposure ('as a lens', June L0-L3) still required?</t>
        </is>
      </c>
      <c r="C16" s="6" t="inlineStr">
        <is>
          <t>CLOSED - BY DECISION</t>
        </is>
      </c>
      <c r="D16" s="6" t="inlineStr">
        <is>
          <t>No</t>
        </is>
      </c>
      <c r="E16" s="6" t="inlineStr"/>
      <c r="F16" s="6" t="inlineStr"/>
      <c r="G16" s="10" t="inlineStr">
        <is>
          <t>JOAA-DECISION</t>
        </is>
      </c>
      <c r="H16" s="6" t="inlineStr">
        <is>
          <t>K1 Scope: what Project A is</t>
        </is>
      </c>
      <c r="I16" s="6" t="inlineStr">
        <is>
          <t>G1 Before any implementation</t>
        </is>
      </c>
      <c r="J16" s="6" t="inlineStr">
        <is>
          <t>High</t>
        </is>
      </c>
      <c r="K16" s="6" t="n">
        <v>25</v>
      </c>
      <c r="L16" s="6" t="inlineStr">
        <is>
          <t>W1 Decide</t>
        </is>
      </c>
      <c r="M16" s="6" t="inlineStr">
        <is>
          <t>S05</t>
        </is>
      </c>
      <c r="N16" s="6" t="inlineStr">
        <is>
          <t>Joaa</t>
        </is>
      </c>
      <c r="O16" s="6" t="inlineStr">
        <is>
          <t>Closed; moved to Archive</t>
        </is>
      </c>
      <c r="P16" s="6" t="inlineStr">
        <is>
          <t>No</t>
        </is>
      </c>
      <c r="Q16" s="6" t="inlineStr">
        <is>
          <t>Decision</t>
        </is>
      </c>
      <c r="R16" s="6" t="inlineStr">
        <is>
          <t>Sub-item</t>
        </is>
      </c>
      <c r="S16" s="6" t="inlineStr">
        <is>
          <t>C-D07</t>
        </is>
      </c>
      <c r="T16" s="6" t="inlineStr">
        <is>
          <t>REQ-D1 R9 / REQ-M1 R9 (graded exposure as a lens) and the 2 Oct tier example are not echoed in the 14 Oct excerpts, which describe filtering and re-adding.</t>
        </is>
      </c>
      <c r="U16"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 2026-10-21 (AUTH-019, the human's decisions): graded or partial exposure is a candidate idea, not a requirement: the supervisor offered it as one lens ('not saying this is the best way', INT-T-004 E550-E570) and the human treats such ideas 'as any normal idea' (line 6).</t>
        </is>
      </c>
      <c r="V16" s="6" t="inlineStr">
        <is>
          <t>Closed 2026-10-21: answer recorded (supervisor's words and the human's decision).</t>
        </is>
      </c>
      <c r="W16" s="6" t="inlineStr"/>
      <c r="X16" s="6" t="inlineStr"/>
      <c r="Y16" s="6" t="inlineStr">
        <is>
          <t>Q-J12</t>
        </is>
      </c>
      <c r="Z16" s="6" t="inlineStr"/>
      <c r="AA16" s="6" t="inlineStr"/>
      <c r="AB16" s="6" t="inlineStr">
        <is>
          <t>DEC</t>
        </is>
      </c>
      <c r="AC16" s="6" t="inlineStr">
        <is>
          <t>n/a (sub-item)</t>
        </is>
      </c>
      <c r="AD16" s="6" t="inlineStr">
        <is>
          <t>NEW (repo sweep)</t>
        </is>
      </c>
      <c r="AE16" s="6" t="inlineStr">
        <is>
          <t>2026-10-21</t>
        </is>
      </c>
      <c r="AF16" s="6" t="inlineStr">
        <is>
          <t>INT-T-005 (requirements/intake/2026-10-21-user-decisions-after-meetings.md); INT-T-004 E550-E570</t>
        </is>
      </c>
      <c r="AG16" s="6" t="inlineStr"/>
      <c r="AH16" s="6" t="inlineStr">
        <is>
          <t>No</t>
        </is>
      </c>
      <c r="AI16" s="6" t="inlineStr">
        <is>
          <t>Closed 2026-10-21: graded exposure is a candidate arm, verified or dropped with a reason.</t>
        </is>
      </c>
      <c r="AJ16" s="6" t="inlineStr">
        <is>
          <t>repo: REGISTER / COMPARISON</t>
        </is>
      </c>
      <c r="AK16" s="6" t="inlineStr">
        <is>
          <t>COMPARISON C5, REQ-D1 R9, REQ-M1 R9</t>
        </is>
      </c>
      <c r="AL16" s="6" t="inlineStr">
        <is>
          <t>S04</t>
        </is>
      </c>
    </row>
    <row r="17" ht="190.5" customHeight="1">
      <c r="A17" s="5" t="inlineStr">
        <is>
          <t>C-D07</t>
        </is>
      </c>
      <c r="B17" s="6" t="inlineStr">
        <is>
          <t>Which parts belong to Project A: lifecycle/removal, June L0-L3 interfaces, October staged graph, session wo...</t>
        </is>
      </c>
      <c r="C17" s="6" t="inlineStr">
        <is>
          <t>CLOSED - BY DECISION</t>
        </is>
      </c>
      <c r="D17" s="6" t="inlineStr">
        <is>
          <t>No</t>
        </is>
      </c>
      <c r="E17" s="6" t="inlineStr"/>
      <c r="F17" s="6" t="inlineStr"/>
      <c r="G17" s="10" t="inlineStr">
        <is>
          <t>JOAA-DECISION</t>
        </is>
      </c>
      <c r="H17" s="6" t="inlineStr">
        <is>
          <t>K1 Scope: what Project A is</t>
        </is>
      </c>
      <c r="I17" s="6" t="inlineStr">
        <is>
          <t>G1 Before any implementation</t>
        </is>
      </c>
      <c r="J17" s="6" t="inlineStr">
        <is>
          <t>High</t>
        </is>
      </c>
      <c r="K17" s="6" t="n">
        <v>26</v>
      </c>
      <c r="L17" s="6" t="inlineStr">
        <is>
          <t>W1 Decide</t>
        </is>
      </c>
      <c r="M17" s="6" t="inlineStr">
        <is>
          <t>S05</t>
        </is>
      </c>
      <c r="N17" s="6" t="inlineStr">
        <is>
          <t>Joaa + you</t>
        </is>
      </c>
      <c r="O17" s="6" t="inlineStr">
        <is>
          <t>Closed; moved to Archive</t>
        </is>
      </c>
      <c r="P17" s="6" t="inlineStr">
        <is>
          <t>Partly</t>
        </is>
      </c>
      <c r="Q17" s="6" t="inlineStr">
        <is>
          <t>Decision</t>
        </is>
      </c>
      <c r="R17" s="6" t="inlineStr">
        <is>
          <t>Item</t>
        </is>
      </c>
      <c r="S17" s="6" t="inlineStr"/>
      <c r="T17" s="6" t="inlineStr">
        <is>
          <t>Which parts belong to Project A: lifecycle/removal, June L0-L3 interfaces, October staged graph, session working set (F8), validation, baselines, metrics?</t>
        </is>
      </c>
      <c r="U17"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 2026-10-21 (AUTH-019, the human's decisions): with C-D01 decided (line 6), no clause of the June expose binds the scope; the scope is the supervisor's 21 October one (memory and tool calls, N-2) and every June idea (compact interfaces L0-L3, execute/expand/abstain, lifecycle and removal) is a candidate to verify or drop with a reason.</t>
        </is>
      </c>
      <c r="V17" s="6" t="inlineStr">
        <is>
          <t>Closed 2026-10-21: superseded by the human's decision on C-D01.</t>
        </is>
      </c>
      <c r="W17" s="6" t="inlineStr">
        <is>
          <t>C-D01</t>
        </is>
      </c>
      <c r="X17" s="6" t="inlineStr"/>
      <c r="Y17" s="6" t="inlineStr">
        <is>
          <t>Q-J01, Q-J05, Q-J06, Q-J12, Q-U24</t>
        </is>
      </c>
      <c r="Z17" s="6" t="inlineStr">
        <is>
          <t>RECORDS-AT-HAND</t>
        </is>
      </c>
      <c r="AA17" s="6" t="inlineStr">
        <is>
          <t>K4 Memory &amp; sessions</t>
        </is>
      </c>
      <c r="AB17" s="6" t="inlineStr">
        <is>
          <t>DEC</t>
        </is>
      </c>
      <c r="AC17" s="6" t="inlineStr">
        <is>
          <t>PARTLY ANSWERED - OPEN</t>
        </is>
      </c>
      <c r="AD17" s="6" t="inlineStr">
        <is>
          <t>RE-CHARACTERISED</t>
        </is>
      </c>
      <c r="AE17" s="6" t="inlineStr">
        <is>
          <t>2026-10-21</t>
        </is>
      </c>
      <c r="AF17" s="6" t="inlineStr">
        <is>
          <t>INT-T-005 (requirements/intake/2026-10-21-user-decisions-after-meetings.md); INT-T-002 L223-L225</t>
        </is>
      </c>
      <c r="AG17" s="6" t="inlineStr"/>
      <c r="AH17" s="6" t="inlineStr">
        <is>
          <t>No</t>
        </is>
      </c>
      <c r="AI17" s="6" t="inlineStr">
        <is>
          <t>Closed 2026-10-21: no clause-by-clause scope map is needed; June ideas are candidates.</t>
        </is>
      </c>
      <c r="AJ17" s="6" t="inlineStr">
        <is>
          <t>SRC-11 canonical</t>
        </is>
      </c>
      <c r="AK17" s="6" t="inlineStr">
        <is>
          <t>SRC-06 D08, COMPARISON C5</t>
        </is>
      </c>
      <c r="AL17" s="6" t="inlineStr">
        <is>
          <t>S04</t>
        </is>
      </c>
    </row>
    <row r="18" ht="300" customHeight="1">
      <c r="A18" s="5" t="inlineStr">
        <is>
          <t>C-D02</t>
        </is>
      </c>
      <c r="B18" s="6" t="inlineStr">
        <is>
          <t>What is primarily minimised or reported: tool count, model-visible input tokens, billed cost, or a stated c...</t>
        </is>
      </c>
      <c r="C18" s="6" t="inlineStr">
        <is>
          <t>CLOSED - BY DECISION</t>
        </is>
      </c>
      <c r="D18" s="6" t="inlineStr">
        <is>
          <t>No</t>
        </is>
      </c>
      <c r="E18" s="6" t="inlineStr"/>
      <c r="F18" s="6" t="inlineStr"/>
      <c r="G18" s="10" t="inlineStr">
        <is>
          <t>JOAA-DECISION</t>
        </is>
      </c>
      <c r="H18" s="6" t="inlineStr">
        <is>
          <t>K2 Objective &amp; accounting</t>
        </is>
      </c>
      <c r="I18" s="6" t="inlineStr">
        <is>
          <t>G2 Before the affected pilot/arm</t>
        </is>
      </c>
      <c r="J18" s="6" t="inlineStr">
        <is>
          <t>High</t>
        </is>
      </c>
      <c r="K18" s="6" t="n">
        <v>27</v>
      </c>
      <c r="L18" s="6" t="inlineStr">
        <is>
          <t>W1 Decide</t>
        </is>
      </c>
      <c r="M18" s="6" t="inlineStr">
        <is>
          <t>S06</t>
        </is>
      </c>
      <c r="N18" s="6" t="inlineStr">
        <is>
          <t>Joaa, then you record it</t>
        </is>
      </c>
      <c r="O18" s="6" t="inlineStr">
        <is>
          <t>Closed; moved to Archive</t>
        </is>
      </c>
      <c r="P18" s="6" t="inlineStr">
        <is>
          <t>Partly</t>
        </is>
      </c>
      <c r="Q18" s="6" t="inlineStr">
        <is>
          <t>Decision</t>
        </is>
      </c>
      <c r="R18" s="6" t="inlineStr">
        <is>
          <t>Item</t>
        </is>
      </c>
      <c r="S18" s="6" t="inlineStr"/>
      <c r="T18" s="6" t="inlineStr">
        <is>
          <t>What is primarily minimised or reported: tool count, model-visible input tokens, billed cost, or a stated combination? Joaa's 19 Oct feedback points to the bill; the working objective is still tokens.</t>
        </is>
      </c>
      <c r="U18"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 2026-10-21 (AUTH-019, the human's decisions): 'Bill should be minimized on average and making sure accuracy is as maximum as possible ... BIlling has different parts in its equation like input, reasoning, output, tools, prompt cacheing ... we wont be calclating for a specif model, but there must be canonical part in the Billing equation of turns and sessions' (line 8), and 'the goal is simple decrease the billing cost as much as possible on average while trying to make accuracy nearly the same, no hard constraints' (line 16). This replaces the AUTH-006 working objective (tokens, bill recorded separately) of 19 October: the primary quantity is the bill, averaged over turns and sessions, written as a model-agnostic equation whose components are reported (drafting row N-30).</t>
        </is>
      </c>
      <c r="V18" s="6" t="inlineStr">
        <is>
          <t>Closed 2026-10-21: a stated primary estimand plus its components, in the human's words.</t>
        </is>
      </c>
      <c r="W18" s="6" t="inlineStr"/>
      <c r="X18" s="6" t="inlineStr">
        <is>
          <t>C-D07</t>
        </is>
      </c>
      <c r="Y18" s="6" t="inlineStr">
        <is>
          <t>Q-J02, Q-J03, Q-J04, Q-J14</t>
        </is>
      </c>
      <c r="Z18" s="6" t="inlineStr">
        <is>
          <t>USER-DECISION</t>
        </is>
      </c>
      <c r="AA18" s="6" t="inlineStr">
        <is>
          <t>K4 Memory &amp; sessions</t>
        </is>
      </c>
      <c r="AB18" s="6" t="inlineStr">
        <is>
          <t>DEC</t>
        </is>
      </c>
      <c r="AC18" s="6" t="inlineStr">
        <is>
          <t>PARTLY ANSWERED - OPEN</t>
        </is>
      </c>
      <c r="AD18" s="6" t="inlineStr">
        <is>
          <t>RE-CHARACTERISED</t>
        </is>
      </c>
      <c r="AE18" s="6" t="inlineStr">
        <is>
          <t>2026-10-21</t>
        </is>
      </c>
      <c r="AF18" s="6" t="inlineStr">
        <is>
          <t>INT-T-005 (requirements/intake/2026-10-21-user-decisions-after-meetings.md)</t>
        </is>
      </c>
      <c r="AG18" s="6" t="inlineStr"/>
      <c r="AH18" s="6" t="inlineStr">
        <is>
          <t>No</t>
        </is>
      </c>
      <c r="AI18" s="6" t="inlineStr">
        <is>
          <t>Closed 2026-10-21: primary estimand = the bill on average over turns and sessions, accuracy kept nearly the same, components reported (the human's decision).</t>
        </is>
      </c>
      <c r="AJ18" s="6" t="inlineStr">
        <is>
          <t>SRC-11 canonical</t>
        </is>
      </c>
      <c r="AK18" s="6" t="inlineStr">
        <is>
          <t>REGISTER G.3 Q1, COMPARISON C1, SRC-06 D02, SRC-06 D09, SRC-07 01, SRC-07 10, v2-06 C1 (O1/O2)</t>
        </is>
      </c>
      <c r="AL18" s="6" t="inlineStr">
        <is>
          <t>S04</t>
        </is>
      </c>
    </row>
    <row r="19" ht="103" customHeight="1">
      <c r="A19" s="5" t="inlineStr">
        <is>
          <t>N-1</t>
        </is>
      </c>
      <c r="B19" s="6" t="inlineStr">
        <is>
          <t>Bill vs tokens as the objective, with token classes (fresh input, cache write, cache read, output) and a na...</t>
        </is>
      </c>
      <c r="C19" s="6" t="inlineStr">
        <is>
          <t>CLOSED - BY DECISION</t>
        </is>
      </c>
      <c r="D19" s="6" t="inlineStr">
        <is>
          <t>No</t>
        </is>
      </c>
      <c r="E19" s="6" t="inlineStr"/>
      <c r="F19" s="6" t="inlineStr"/>
      <c r="G19" s="10" t="inlineStr">
        <is>
          <t>JOAA-DECISION</t>
        </is>
      </c>
      <c r="H19" s="6" t="inlineStr">
        <is>
          <t>K2 Objective &amp; accounting</t>
        </is>
      </c>
      <c r="I19" s="6" t="inlineStr">
        <is>
          <t>G2 Before the affected pilot/arm</t>
        </is>
      </c>
      <c r="J19" s="6" t="inlineStr">
        <is>
          <t>High</t>
        </is>
      </c>
      <c r="K19" s="6" t="n">
        <v>28</v>
      </c>
      <c r="L19" s="6" t="inlineStr">
        <is>
          <t>W1 Decide</t>
        </is>
      </c>
      <c r="M19" s="6" t="inlineStr">
        <is>
          <t>S06</t>
        </is>
      </c>
      <c r="N19" s="6" t="inlineStr">
        <is>
          <t>Joaa</t>
        </is>
      </c>
      <c r="O19" s="6" t="inlineStr">
        <is>
          <t>Closed; moved to Archive</t>
        </is>
      </c>
      <c r="P19" s="6" t="inlineStr">
        <is>
          <t>Partly</t>
        </is>
      </c>
      <c r="Q19" s="6" t="inlineStr">
        <is>
          <t>Decision</t>
        </is>
      </c>
      <c r="R19" s="6" t="inlineStr">
        <is>
          <t>Item</t>
        </is>
      </c>
      <c r="S19" s="6" t="inlineStr"/>
      <c r="T1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9" s="6" t="inlineStr">
        <is>
          <t>Pending; same decision as C-D02, posed as Joaa's 19 Oct point. 2026-10-21 (AUTH-018): the supervisor's words name money cost per turn, tokens and response time (INT-T-002 L275, L302, L354); token classes are not discussed; see C-D02. 2026-10-21 (AUTH-019, the human's decisions): the bill is the objective and its token classes are its components (line 8; see C-D02).</t>
        </is>
      </c>
      <c r="V19" s="6" t="inlineStr">
        <is>
          <t>Closed 2026-10-21: estimand chosen.</t>
        </is>
      </c>
      <c r="W19" s="6" t="inlineStr">
        <is>
          <t>N-9</t>
        </is>
      </c>
      <c r="X19" s="6" t="inlineStr"/>
      <c r="Y19" s="6" t="inlineStr">
        <is>
          <t>Q-J02, Q-J03, Q-J24, Q-J26</t>
        </is>
      </c>
      <c r="Z19" s="6" t="inlineStr">
        <is>
          <t>USER-DECISION</t>
        </is>
      </c>
      <c r="AA19" s="6" t="inlineStr"/>
      <c r="AB19" s="6" t="inlineStr"/>
      <c r="AC19" s="6" t="inlineStr">
        <is>
          <t>n/a (new)</t>
        </is>
      </c>
      <c r="AD19" s="6" t="inlineStr">
        <is>
          <t>NEW</t>
        </is>
      </c>
      <c r="AE19" s="6" t="inlineStr">
        <is>
          <t>2026-10-21</t>
        </is>
      </c>
      <c r="AF19" s="6" t="inlineStr">
        <is>
          <t>INT-T-005 (requirements/intake/2026-10-21-user-decisions-after-meetings.md)</t>
        </is>
      </c>
      <c r="AG19" s="6" t="inlineStr"/>
      <c r="AH19" s="6" t="inlineStr">
        <is>
          <t>No</t>
        </is>
      </c>
      <c r="AI19" s="6" t="inlineStr">
        <is>
          <t>Closed 2026-10-21: bill, with token classes as components.</t>
        </is>
      </c>
      <c r="AJ19" s="6" t="inlineStr">
        <is>
          <t>Review 19 Oct (section 5)</t>
        </is>
      </c>
      <c r="AK19" s="6" t="inlineStr">
        <is>
          <t>WhatsApp 19 Oct (billing), Joaa 19 Oct 12:15 (three token types)</t>
        </is>
      </c>
      <c r="AL19" s="6" t="inlineStr">
        <is>
          <t>S04</t>
        </is>
      </c>
    </row>
    <row r="20" ht="240.5" customHeight="1">
      <c r="A20" s="5" t="inlineStr">
        <is>
          <t>N-2</t>
        </is>
      </c>
      <c r="B20" s="6" t="inlineStr">
        <is>
          <t>Memory scope: tool-usage memory only (per user or role) vs also conversation storage/summarisation vs full ...</t>
        </is>
      </c>
      <c r="C20" s="6" t="inlineStr">
        <is>
          <t>CLOSED - BY DECISION</t>
        </is>
      </c>
      <c r="D20" s="6" t="inlineStr">
        <is>
          <t>No</t>
        </is>
      </c>
      <c r="E20" s="6" t="inlineStr"/>
      <c r="F20" s="6" t="inlineStr"/>
      <c r="G20" s="10" t="inlineStr">
        <is>
          <t>JOAA-DECISION</t>
        </is>
      </c>
      <c r="H20" s="6" t="inlineStr">
        <is>
          <t>K4 Memory &amp; sessions</t>
        </is>
      </c>
      <c r="I20" s="6" t="inlineStr">
        <is>
          <t>G2 Before the affected pilot/arm</t>
        </is>
      </c>
      <c r="J20" s="6" t="inlineStr">
        <is>
          <t>High</t>
        </is>
      </c>
      <c r="K20" s="6" t="n">
        <v>29</v>
      </c>
      <c r="L20" s="6" t="inlineStr">
        <is>
          <t>W1 Decide</t>
        </is>
      </c>
      <c r="M20" s="6" t="inlineStr">
        <is>
          <t>S06</t>
        </is>
      </c>
      <c r="N20" s="6" t="inlineStr">
        <is>
          <t>Joaa</t>
        </is>
      </c>
      <c r="O20" s="6" t="inlineStr">
        <is>
          <t>Closed; moved to Archive</t>
        </is>
      </c>
      <c r="P20" s="6" t="inlineStr">
        <is>
          <t>Partly</t>
        </is>
      </c>
      <c r="Q20" s="6" t="inlineStr">
        <is>
          <t>Decision</t>
        </is>
      </c>
      <c r="R20" s="6" t="inlineStr">
        <is>
          <t>Item</t>
        </is>
      </c>
      <c r="S20" s="6" t="inlineStr"/>
      <c r="T2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0"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20" s="6" t="inlineStr">
        <is>
          <t>Closed 2026-10-21: criterion 'scope stated' met in the supervisor's words.</t>
        </is>
      </c>
      <c r="W20" s="6" t="inlineStr">
        <is>
          <t>N-9</t>
        </is>
      </c>
      <c r="X20" s="6" t="inlineStr">
        <is>
          <t>C-D07</t>
        </is>
      </c>
      <c r="Y20" s="6" t="inlineStr">
        <is>
          <t>Q-J05, Q-J06, Q-J25, Q-J27</t>
        </is>
      </c>
      <c r="Z20" s="6" t="inlineStr"/>
      <c r="AA20" s="6" t="inlineStr">
        <is>
          <t>K1 Scope: what Project A is</t>
        </is>
      </c>
      <c r="AB20" s="6" t="inlineStr"/>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is>
          <t>Closed 2026-10-21: scope = memory and tool calls, memory in service of tool calls; conversation memory enters as a short summary; knowledge and other context out (supervisor, 21 Oct).</t>
        </is>
      </c>
      <c r="AJ20" s="6" t="inlineStr">
        <is>
          <t>Review 19 Oct (section 5)</t>
        </is>
      </c>
      <c r="AK20" s="6" t="inlineStr">
        <is>
          <t>CH-0063, WhatsApp 19 Oct (memory), Joaa 19 Oct 12:15 (contextual memory)</t>
        </is>
      </c>
      <c r="AL20" s="6" t="inlineStr">
        <is>
          <t>S04</t>
        </is>
      </c>
    </row>
    <row r="21" ht="178" customHeight="1">
      <c r="A21" s="5" t="inlineStr">
        <is>
          <t>N-3</t>
        </is>
      </c>
      <c r="B21" s="6" t="inlineStr">
        <is>
          <t>Cost horizon: one run, several turns, or across sessions; session count and gap; is cache expiry between se...</t>
        </is>
      </c>
      <c r="C21" s="6" t="inlineStr">
        <is>
          <t>CLOSED - BY DECISION</t>
        </is>
      </c>
      <c r="D21" s="6" t="inlineStr">
        <is>
          <t>No</t>
        </is>
      </c>
      <c r="E21" s="6" t="inlineStr"/>
      <c r="F21" s="6" t="inlineStr"/>
      <c r="G21" s="10" t="inlineStr">
        <is>
          <t>JOAA-DECISION</t>
        </is>
      </c>
      <c r="H21" s="6" t="inlineStr">
        <is>
          <t>K2 Objective &amp; accounting</t>
        </is>
      </c>
      <c r="I21" s="6" t="inlineStr">
        <is>
          <t>G2 Before the affected pilot/arm</t>
        </is>
      </c>
      <c r="J21" s="6" t="inlineStr">
        <is>
          <t>High</t>
        </is>
      </c>
      <c r="K21" s="6" t="n">
        <v>30</v>
      </c>
      <c r="L21" s="6" t="inlineStr">
        <is>
          <t>W1 Decide</t>
        </is>
      </c>
      <c r="M21" s="6" t="inlineStr">
        <is>
          <t>S06</t>
        </is>
      </c>
      <c r="N21" s="6" t="inlineStr">
        <is>
          <t>Joaa</t>
        </is>
      </c>
      <c r="O21" s="6" t="inlineStr">
        <is>
          <t>Closed; moved to Archive</t>
        </is>
      </c>
      <c r="P21" s="6" t="inlineStr">
        <is>
          <t>Partly</t>
        </is>
      </c>
      <c r="Q21" s="6" t="inlineStr">
        <is>
          <t>Decision</t>
        </is>
      </c>
      <c r="R21" s="6" t="inlineStr">
        <is>
          <t>Item</t>
        </is>
      </c>
      <c r="S21" s="6" t="inlineStr"/>
      <c r="T21" s="6" t="inlineStr">
        <is>
          <t>Joaa mentioned a user who 'leave the chat and come back to it after several hours or days' (S-J-002). Cost horizon: one run, several turns, or across sessions; session count and gap; is cache expiry between sessions in scope?</t>
        </is>
      </c>
      <c r="U21"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21" s="6" t="inlineStr">
        <is>
          <t>Closed 2026-10-21: horizon stated; session variables in scope, to be written into the contract.</t>
        </is>
      </c>
      <c r="W21" s="6" t="inlineStr">
        <is>
          <t>C-D02</t>
        </is>
      </c>
      <c r="X21" s="6" t="inlineStr">
        <is>
          <t>N-2</t>
        </is>
      </c>
      <c r="Y21" s="6" t="inlineStr">
        <is>
          <t>Q-J04, Q-J05, Q-J25</t>
        </is>
      </c>
      <c r="Z21" s="6" t="inlineStr">
        <is>
          <t>USER-DECISION</t>
        </is>
      </c>
      <c r="AA21" s="6" t="inlineStr">
        <is>
          <t>K4 Memory &amp; sessions</t>
        </is>
      </c>
      <c r="AB21" s="6" t="inlineStr"/>
      <c r="AC21" s="6" t="inlineStr">
        <is>
          <t>n/a (new)</t>
        </is>
      </c>
      <c r="AD21" s="6" t="inlineStr">
        <is>
          <t>NEW</t>
        </is>
      </c>
      <c r="AE21" s="6" t="inlineStr">
        <is>
          <t>2026-10-21</t>
        </is>
      </c>
      <c r="AF2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21" s="6" t="inlineStr"/>
      <c r="AH21" s="6" t="inlineStr">
        <is>
          <t>No</t>
        </is>
      </c>
      <c r="AI21" s="6" t="inlineStr">
        <is>
          <t>Closed 2026-10-21: horizon = many turns, averaged, including a return after a gap through a summarised memory; session variables (gap, number of returns) go into the evaluation contract (C-D08/EC1).</t>
        </is>
      </c>
      <c r="AJ21" s="6" t="inlineStr">
        <is>
          <t>Review 19 Oct (section 5)</t>
        </is>
      </c>
      <c r="AK21" s="6" t="inlineStr">
        <is>
          <t>WhatsApp 19 Oct (days later), Joaa 19 Oct 12:15 (hours or days)</t>
        </is>
      </c>
      <c r="AL21" s="6" t="inlineStr">
        <is>
          <t>S04</t>
        </is>
      </c>
    </row>
    <row r="22" ht="165.5" customHeight="1">
      <c r="A22" s="5" t="inlineStr">
        <is>
          <t>N-4</t>
        </is>
      </c>
      <c r="B22" s="6" t="inlineStr">
        <is>
          <t>Do output tokens (discovery requests, wasted or false-positive calls) enter the accounting?</t>
        </is>
      </c>
      <c r="C22" s="6" t="inlineStr">
        <is>
          <t>CLOSED - BY DECISION</t>
        </is>
      </c>
      <c r="D22" s="6" t="inlineStr">
        <is>
          <t>No</t>
        </is>
      </c>
      <c r="E22" s="6" t="inlineStr"/>
      <c r="F22" s="6" t="inlineStr"/>
      <c r="G22" s="10" t="inlineStr">
        <is>
          <t>JOAA-DECISION</t>
        </is>
      </c>
      <c r="H22" s="6" t="inlineStr">
        <is>
          <t>K2 Objective &amp; accounting</t>
        </is>
      </c>
      <c r="I22" s="6" t="inlineStr">
        <is>
          <t>G2 Before the affected pilot/arm</t>
        </is>
      </c>
      <c r="J22" s="6" t="inlineStr">
        <is>
          <t>High</t>
        </is>
      </c>
      <c r="K22" s="6" t="n">
        <v>31</v>
      </c>
      <c r="L22" s="6" t="inlineStr">
        <is>
          <t>W1 Decide</t>
        </is>
      </c>
      <c r="M22" s="6" t="inlineStr">
        <is>
          <t>S06</t>
        </is>
      </c>
      <c r="N22" s="6" t="inlineStr">
        <is>
          <t>Joaa / you</t>
        </is>
      </c>
      <c r="O22" s="6" t="inlineStr">
        <is>
          <t>Closed; moved to Archive</t>
        </is>
      </c>
      <c r="P22" s="6" t="inlineStr">
        <is>
          <t>Partly</t>
        </is>
      </c>
      <c r="Q22" s="6" t="inlineStr">
        <is>
          <t>Decision</t>
        </is>
      </c>
      <c r="R22" s="6" t="inlineStr">
        <is>
          <t>Item</t>
        </is>
      </c>
      <c r="S22" s="6" t="inlineStr"/>
      <c r="T22" s="6" t="inlineStr">
        <is>
          <t>Do output tokens (discovery requests, wasted or false-positive calls) enter the accounting?</t>
        </is>
      </c>
      <c r="U22"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 2026-10-21 (AUTH-019, the human's decisions): output and reasoning tokens are parts of the bill ('input, reasoning, output, tools, prompt cacheing', line 8), so discovery requests and wasted or false-positive calls count through them.</t>
        </is>
      </c>
      <c r="V22" s="6" t="inlineStr">
        <is>
          <t>Closed 2026-10-21: decision recorded.</t>
        </is>
      </c>
      <c r="W22" s="6" t="inlineStr">
        <is>
          <t>C-D02</t>
        </is>
      </c>
      <c r="X22" s="6" t="inlineStr"/>
      <c r="Y22" s="6" t="inlineStr">
        <is>
          <t>Q-J03</t>
        </is>
      </c>
      <c r="Z22" s="6" t="inlineStr">
        <is>
          <t>USER-DECISION</t>
        </is>
      </c>
      <c r="AA22" s="6" t="inlineStr">
        <is>
          <t>K8 Search initiation &amp; recovery</t>
        </is>
      </c>
      <c r="AB22" s="6" t="inlineStr"/>
      <c r="AC22" s="6" t="inlineStr">
        <is>
          <t>n/a (new)</t>
        </is>
      </c>
      <c r="AD22" s="6" t="inlineStr">
        <is>
          <t>NEW</t>
        </is>
      </c>
      <c r="AE22" s="6" t="inlineStr">
        <is>
          <t>2026-10-21</t>
        </is>
      </c>
      <c r="AF22" s="6" t="inlineStr">
        <is>
          <t>INT-T-005 (requirements/intake/2026-10-21-user-decisions-after-meetings.md)</t>
        </is>
      </c>
      <c r="AG22" s="6" t="inlineStr"/>
      <c r="AH22" s="6" t="inlineStr">
        <is>
          <t>No</t>
        </is>
      </c>
      <c r="AI22" s="6" t="inlineStr">
        <is>
          <t>Closed 2026-10-21: output and reasoning tokens count in the bill.</t>
        </is>
      </c>
      <c r="AJ22" s="6" t="inlineStr">
        <is>
          <t>Review 19 Oct (section 5)</t>
        </is>
      </c>
      <c r="AK22" s="6" t="inlineStr"/>
      <c r="AL22" s="6" t="inlineStr">
        <is>
          <t>S04</t>
        </is>
      </c>
    </row>
    <row r="23" ht="228" customHeight="1">
      <c r="A23" s="5" t="inlineStr">
        <is>
          <t>N-25</t>
        </is>
      </c>
      <c r="B23" s="6" t="inlineStr">
        <is>
          <t>Which deployment scenarios should the policy target (e.g. automated bug-solving cloud agent, customer-support agent)?</t>
        </is>
      </c>
      <c r="C23" s="6" t="inlineStr">
        <is>
          <t>CLOSED - BY DECISION</t>
        </is>
      </c>
      <c r="D23" s="6" t="inlineStr">
        <is>
          <t>No</t>
        </is>
      </c>
      <c r="E23" s="6" t="inlineStr"/>
      <c r="F23" s="6" t="inlineStr"/>
      <c r="G23" s="10" t="inlineStr">
        <is>
          <t>JOAA-DECISION</t>
        </is>
      </c>
      <c r="H23" s="6" t="inlineStr">
        <is>
          <t>K4 Memory &amp; sessions</t>
        </is>
      </c>
      <c r="I23" s="6" t="inlineStr">
        <is>
          <t>G2 Before the affected pilot/arm</t>
        </is>
      </c>
      <c r="J23" s="6" t="inlineStr">
        <is>
          <t>High</t>
        </is>
      </c>
      <c r="K23" s="6" t="n">
        <v>32</v>
      </c>
      <c r="L23" s="6" t="inlineStr">
        <is>
          <t>W1 Decide</t>
        </is>
      </c>
      <c r="M23" s="6" t="inlineStr">
        <is>
          <t>S06</t>
        </is>
      </c>
      <c r="N23" s="6" t="inlineStr">
        <is>
          <t>Joaa</t>
        </is>
      </c>
      <c r="O23" s="6" t="inlineStr">
        <is>
          <t>Closed; moved to Archive</t>
        </is>
      </c>
      <c r="P23" s="6" t="inlineStr">
        <is>
          <t>No</t>
        </is>
      </c>
      <c r="Q23" s="6" t="inlineStr">
        <is>
          <t>Decision</t>
        </is>
      </c>
      <c r="R23" s="6" t="inlineStr">
        <is>
          <t>Item</t>
        </is>
      </c>
      <c r="S23" s="6" t="inlineStr"/>
      <c r="T2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3"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 2026-10-21 (AUTH-019, the human's decisions): 'could be both single long run or returning users' (line 14), with the supervisor's 'any kind of agent' (INT-T-002 L345-L354); concrete agent domains and models are chosen when implementing (line 9).</t>
        </is>
      </c>
      <c r="V23" s="6" t="inlineStr">
        <is>
          <t>Closed 2026-10-21: session pattern stated; scenarios generalised by the supervisor.</t>
        </is>
      </c>
      <c r="W23" s="6" t="inlineStr"/>
      <c r="X23" s="6" t="inlineStr"/>
      <c r="Y23" s="6" t="inlineStr">
        <is>
          <t>Q-J25</t>
        </is>
      </c>
      <c r="Z23" s="6" t="inlineStr">
        <is>
          <t>USER-DECISION</t>
        </is>
      </c>
      <c r="AA23" s="6" t="inlineStr">
        <is>
          <t>K3 Policy form</t>
        </is>
      </c>
      <c r="AB23" s="6" t="inlineStr">
        <is>
          <t>DEC</t>
        </is>
      </c>
      <c r="AC23" s="6" t="inlineStr">
        <is>
          <t>n/a (new)</t>
        </is>
      </c>
      <c r="AD23" s="6" t="inlineStr">
        <is>
          <t>NEW</t>
        </is>
      </c>
      <c r="AE23" s="6" t="inlineStr">
        <is>
          <t>2026-10-21</t>
        </is>
      </c>
      <c r="AF23" s="6" t="inlineStr">
        <is>
          <t>INT-T-005 (requirements/intake/2026-10-21-user-decisions-after-meetings.md); INT-T-002 L345-L354</t>
        </is>
      </c>
      <c r="AG23" s="6" t="inlineStr"/>
      <c r="AH23" s="6" t="inlineStr">
        <is>
          <t>No</t>
        </is>
      </c>
      <c r="AI23" s="6" t="inlineStr">
        <is>
          <t>Closed 2026-10-21: session patterns = one long run and returning users; any agent; domains and models chosen at implementation.</t>
        </is>
      </c>
      <c r="AJ23" s="6" t="inlineStr">
        <is>
          <t>Joaa 19 Oct (Supervisor statements sheet)</t>
        </is>
      </c>
      <c r="AK23" s="6" t="inlineStr">
        <is>
          <t>Joaa 19 Oct 12:16 (deployed systems), Joaa 19 Oct 12:16 (deployed systems)</t>
        </is>
      </c>
      <c r="AL23" s="6" t="inlineStr">
        <is>
          <t>S06</t>
        </is>
      </c>
    </row>
    <row r="24" ht="215.5" customHeight="1">
      <c r="A24" s="5" t="inlineStr">
        <is>
          <t>N-27</t>
        </is>
      </c>
      <c r="B24" s="6" t="inlineStr">
        <is>
          <t>Anticipating needs before the first request: new user (role/deployment) vs returning user (memory)</t>
        </is>
      </c>
      <c r="C24" s="6" t="inlineStr">
        <is>
          <t>CLOSED - BY DECISION</t>
        </is>
      </c>
      <c r="D24" s="6" t="inlineStr">
        <is>
          <t>No</t>
        </is>
      </c>
      <c r="E24" s="6" t="inlineStr"/>
      <c r="F24" s="6" t="inlineStr"/>
      <c r="G24" s="10" t="inlineStr">
        <is>
          <t>JOAA-DECISION</t>
        </is>
      </c>
      <c r="H24" s="6" t="inlineStr">
        <is>
          <t>K4 Memory &amp; sessions</t>
        </is>
      </c>
      <c r="I24" s="6" t="inlineStr">
        <is>
          <t>G2 Before the affected pilot/arm</t>
        </is>
      </c>
      <c r="J24" s="6" t="inlineStr">
        <is>
          <t>High</t>
        </is>
      </c>
      <c r="K24" s="6" t="n">
        <v>34</v>
      </c>
      <c r="L24" s="6" t="inlineStr">
        <is>
          <t>W1 Decide</t>
        </is>
      </c>
      <c r="M24" s="6" t="inlineStr">
        <is>
          <t>S06</t>
        </is>
      </c>
      <c r="N24" s="6" t="inlineStr">
        <is>
          <t>Joaa</t>
        </is>
      </c>
      <c r="O24" s="6" t="inlineStr">
        <is>
          <t>Closed; moved to Archive</t>
        </is>
      </c>
      <c r="P24" s="6" t="inlineStr">
        <is>
          <t>Partly</t>
        </is>
      </c>
      <c r="Q24" s="6" t="inlineStr">
        <is>
          <t>Decision</t>
        </is>
      </c>
      <c r="R24" s="6" t="inlineStr">
        <is>
          <t>Item</t>
        </is>
      </c>
      <c r="S24" s="6" t="inlineStr"/>
      <c r="T24"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4"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 2026-10-21 (AUTH-019, the human's decisions): 'yes it should ... this is likelyhood should be verysmall part on how the policy improves its self but we shouldnot again focus all our thesis on it' (line 12), with the supervisor's colleague and neighbour examples (INT-T-002 L157-L190). In scope as a small part; the arm itself is carried by C-D08/ARMS-CACHE.</t>
        </is>
      </c>
      <c r="V24" s="6" t="inlineStr">
        <is>
          <t>Closed 2026-10-21: in scope; arm definition carried by C-D08/ARMS-CACHE.</t>
        </is>
      </c>
      <c r="W24" s="6" t="inlineStr"/>
      <c r="X24" s="6" t="inlineStr">
        <is>
          <t>N-2, C-S15</t>
        </is>
      </c>
      <c r="Y24" s="6" t="inlineStr">
        <is>
          <t>Q-J27</t>
        </is>
      </c>
      <c r="Z24" s="6" t="inlineStr">
        <is>
          <t>TEST-PILOT</t>
        </is>
      </c>
      <c r="AA24" s="6" t="inlineStr">
        <is>
          <t>K3 Policy form</t>
        </is>
      </c>
      <c r="AB24" s="6" t="inlineStr">
        <is>
          <t>DEC+DATA</t>
        </is>
      </c>
      <c r="AC24" s="6" t="inlineStr">
        <is>
          <t>n/a (new)</t>
        </is>
      </c>
      <c r="AD24" s="6" t="inlineStr">
        <is>
          <t>NEW</t>
        </is>
      </c>
      <c r="AE24" s="6" t="inlineStr">
        <is>
          <t>2026-10-21</t>
        </is>
      </c>
      <c r="AF24" s="6" t="inlineStr">
        <is>
          <t>INT-T-005 (requirements/intake/2026-10-21-user-decisions-after-meetings.md); INT-T-002</t>
        </is>
      </c>
      <c r="AG24" s="6" t="inlineStr"/>
      <c r="AH24" s="6" t="inlineStr">
        <is>
          <t>No</t>
        </is>
      </c>
      <c r="AI24" s="6" t="inlineStr">
        <is>
          <t>Closed 2026-10-21: anticipation by likelihood (who is asking, in what setting) is in scope as a minor part; arms in C-D08/ARMS-CACHE.</t>
        </is>
      </c>
      <c r="AJ24" s="6" t="inlineStr">
        <is>
          <t>Joaa 19 Oct (Supervisor statements sheet)</t>
        </is>
      </c>
      <c r="AK24" s="6" t="inlineStr">
        <is>
          <t>Joaa 19 Oct 12:22 (probably best: mimic context); Joaa 19 Oct 12:25 (context grows), Joaa 19 Oct 12:22 (probably best: mimic context), Joaa 19 Oct 12:25 (context grows)</t>
        </is>
      </c>
      <c r="AL24" s="6" t="inlineStr">
        <is>
          <t>S06</t>
        </is>
      </c>
    </row>
    <row r="25" ht="103" customHeight="1">
      <c r="A25" s="5" t="inlineStr">
        <is>
          <t>C-D03/STAGES</t>
        </is>
      </c>
      <c r="B25" s="6" t="inlineStr">
        <is>
          <t>What does 'which one applies at which stage' mean; what are 'stages' (policy or evaluation)?</t>
        </is>
      </c>
      <c r="C25" s="6" t="inlineStr">
        <is>
          <t>CLOSED - BY DECISION</t>
        </is>
      </c>
      <c r="D25" s="6" t="inlineStr">
        <is>
          <t>No</t>
        </is>
      </c>
      <c r="E25" s="6" t="inlineStr"/>
      <c r="F25" s="6" t="inlineStr"/>
      <c r="G25" s="10" t="inlineStr">
        <is>
          <t>JOAA-DECISION</t>
        </is>
      </c>
      <c r="H25" s="6" t="inlineStr">
        <is>
          <t>K3 Policy form</t>
        </is>
      </c>
      <c r="I25" s="6" t="inlineStr">
        <is>
          <t>G2 Before the affected pilot/arm</t>
        </is>
      </c>
      <c r="J25" s="6" t="inlineStr">
        <is>
          <t>High</t>
        </is>
      </c>
      <c r="K25" s="6" t="n">
        <v>38</v>
      </c>
      <c r="L25" s="6" t="inlineStr">
        <is>
          <t>W1 Decide</t>
        </is>
      </c>
      <c r="M25" s="6" t="inlineStr">
        <is>
          <t>S07</t>
        </is>
      </c>
      <c r="N25" s="6" t="inlineStr">
        <is>
          <t>Joaa</t>
        </is>
      </c>
      <c r="O25" s="6" t="inlineStr">
        <is>
          <t>Closed; moved to Archive</t>
        </is>
      </c>
      <c r="P25" s="6" t="inlineStr">
        <is>
          <t>No</t>
        </is>
      </c>
      <c r="Q25" s="6" t="inlineStr">
        <is>
          <t>Decision</t>
        </is>
      </c>
      <c r="R25" s="6" t="inlineStr">
        <is>
          <t>Sub-item</t>
        </is>
      </c>
      <c r="S25" s="6" t="inlineStr">
        <is>
          <t>C-D03</t>
        </is>
      </c>
      <c r="T25" s="6" t="inlineStr">
        <is>
          <t>REQ-O14-11 (class unclear): the antecedent of 'which one' and the meaning of 'stages' are not in the excerpt; 'time' in 'which one works at which time' is also undefined (REQ-O14-06).</t>
        </is>
      </c>
      <c r="U25"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25" s="6" t="inlineStr">
        <is>
          <t>Closed 2026-10-21: answer recorded in his words.</t>
        </is>
      </c>
      <c r="W25" s="6" t="inlineStr"/>
      <c r="X25" s="6" t="inlineStr"/>
      <c r="Y25" s="6" t="inlineStr">
        <is>
          <t>Q-J10</t>
        </is>
      </c>
      <c r="Z25" s="6" t="inlineStr"/>
      <c r="AA25" s="6" t="inlineStr"/>
      <c r="AB25" s="6" t="inlineStr">
        <is>
          <t>DEC</t>
        </is>
      </c>
      <c r="AC25" s="6" t="inlineStr">
        <is>
          <t>n/a (sub-item)</t>
        </is>
      </c>
      <c r="AD25" s="6" t="inlineStr">
        <is>
          <t>NEW (repo sweep)</t>
        </is>
      </c>
      <c r="AE25" s="6" t="inlineStr">
        <is>
          <t>2026-10-21</t>
        </is>
      </c>
      <c r="AF25" s="6" t="inlineStr">
        <is>
          <t>INT-T-003 (requirements/intake/2026-10-21-supervisor-meeting-2026-10-14-notes-and-transcript.md); mapping design/ledger/notes/MEETINGS-MAPPING-20261021.md checked line by line by FND-0035 and FND-0036; REGISTER section H</t>
        </is>
      </c>
      <c r="AG25" s="6" t="inlineStr"/>
      <c r="AH25" s="6" t="inlineStr">
        <is>
          <t>No</t>
        </is>
      </c>
      <c r="AI25" s="6" t="inlineStr">
        <is>
          <t>Closed 2026-10-21: the stages are stages of the policy, each with one filtering question; their number is open.</t>
        </is>
      </c>
      <c r="AJ25" s="6" t="inlineStr">
        <is>
          <t>repo: REGISTER / COMPARISON</t>
        </is>
      </c>
      <c r="AK25" s="6" t="inlineStr">
        <is>
          <t>REQ-O14-11, REQ-O14-06</t>
        </is>
      </c>
      <c r="AL25" s="6" t="inlineStr">
        <is>
          <t>S05</t>
        </is>
      </c>
    </row>
    <row r="26" ht="153" customHeight="1">
      <c r="A26" s="5" t="inlineStr">
        <is>
          <t>N-28</t>
        </is>
      </c>
      <c r="B26" s="6" t="inlineStr">
        <is>
          <t>How the 21 Oct scope (memory and tool calls) relates to the 14 Oct staged tool-filtering graph</t>
        </is>
      </c>
      <c r="C26" s="6" t="inlineStr">
        <is>
          <t>CLOSED - BY DECISION</t>
        </is>
      </c>
      <c r="D26" s="6" t="inlineStr">
        <is>
          <t>No</t>
        </is>
      </c>
      <c r="E26" s="6" t="inlineStr"/>
      <c r="F26" s="6" t="inlineStr"/>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Closed; moved to Archive</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 2026-10-21 (AUTH-019, the human's decisions): 'I cannot find the difference between staged and the memory deciding which tools are offered, why we cannot do both' (INT-T-005 (requirements/intake/2026-10-21-user-decisions-after-meetings.md) line 5). Decision: both; memory deciding which tools are offered is part of the staged policy (one input or stage of it), not an alternative to it. Q-J30 need not be put to the supervisor.</t>
        </is>
      </c>
      <c r="V26" s="6" t="inlineStr">
        <is>
          <t>Closed 2026-10-21: the human's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INT-T-005 (requirements/intake/2026-10-21-user-decisions-after-meetings.md)</t>
        </is>
      </c>
      <c r="AG26" s="6" t="inlineStr"/>
      <c r="AH26" s="6" t="inlineStr">
        <is>
          <t>No</t>
        </is>
      </c>
      <c r="AI26" s="6" t="inlineStr">
        <is>
          <t>Closed 2026-10-21: the staged policy and memory-informed tool offering are combined; memory is one stage or input of the policy.</t>
        </is>
      </c>
      <c r="AJ26" s="6" t="inlineStr">
        <is>
          <t>Supervisor meetings intake (AUTH-018)</t>
        </is>
      </c>
      <c r="AK26" s="6" t="inlineStr"/>
      <c r="AL26" s="6" t="inlineStr">
        <is>
          <t>S05</t>
        </is>
      </c>
    </row>
    <row r="27" ht="128" customHeight="1">
      <c r="A27" s="5" t="inlineStr">
        <is>
          <t>C-D04</t>
        </is>
      </c>
      <c r="B27" s="6" t="inlineStr">
        <is>
          <t>Must each stage save tokens, or only the whole trajectory ('pays' per stage vs per trajectory), and does re...</t>
        </is>
      </c>
      <c r="C27" s="6" t="inlineStr">
        <is>
          <t>CLOSED - BY DECISION</t>
        </is>
      </c>
      <c r="D27" s="6" t="inlineStr">
        <is>
          <t>No</t>
        </is>
      </c>
      <c r="E27" s="6" t="inlineStr"/>
      <c r="F27" s="6" t="inlineStr"/>
      <c r="G27" s="10" t="inlineStr">
        <is>
          <t>JOAA-DECISION</t>
        </is>
      </c>
      <c r="H27" s="6" t="inlineStr">
        <is>
          <t>K3 Policy form</t>
        </is>
      </c>
      <c r="I27" s="6" t="inlineStr">
        <is>
          <t>G2 Before the affected pilot/arm</t>
        </is>
      </c>
      <c r="J27" s="6" t="inlineStr">
        <is>
          <t>High</t>
        </is>
      </c>
      <c r="K27" s="6" t="n">
        <v>41</v>
      </c>
      <c r="L27" s="6" t="inlineStr">
        <is>
          <t>W1 Decide</t>
        </is>
      </c>
      <c r="M27" s="6" t="inlineStr">
        <is>
          <t>S07</t>
        </is>
      </c>
      <c r="N27" s="6" t="inlineStr">
        <is>
          <t>Joaa</t>
        </is>
      </c>
      <c r="O27" s="6" t="inlineStr">
        <is>
          <t>Closed; moved to Archive</t>
        </is>
      </c>
      <c r="P27" s="6" t="inlineStr">
        <is>
          <t>Partly</t>
        </is>
      </c>
      <c r="Q27" s="6" t="inlineStr">
        <is>
          <t>Decision</t>
        </is>
      </c>
      <c r="R27" s="6" t="inlineStr">
        <is>
          <t>Item</t>
        </is>
      </c>
      <c r="S27" s="6" t="inlineStr"/>
      <c r="T27" s="6" t="inlineStr">
        <is>
          <t>Must each stage save tokens, or only the whole trajectory ('pays' per stage vs per trajectory), and does re-adding a tool change that?</t>
        </is>
      </c>
      <c r="U2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27" s="6" t="inlineStr">
        <is>
          <t>Closed 2026-10-21: one reading of 'pays' chosen in the supervisor's words.</t>
        </is>
      </c>
      <c r="W27" s="6" t="inlineStr">
        <is>
          <t>C-D02</t>
        </is>
      </c>
      <c r="X27" s="6" t="inlineStr">
        <is>
          <t>C-D03</t>
        </is>
      </c>
      <c r="Y27" s="6" t="inlineStr">
        <is>
          <t>Q-J07</t>
        </is>
      </c>
      <c r="Z27" s="6" t="inlineStr"/>
      <c r="AA27" s="6" t="inlineStr">
        <is>
          <t>K2 Objective &amp; accounting</t>
        </is>
      </c>
      <c r="AB27" s="6" t="inlineStr">
        <is>
          <t>DEC</t>
        </is>
      </c>
      <c r="AC27" s="6" t="inlineStr">
        <is>
          <t>PARTLY ANSWERED - OPEN</t>
        </is>
      </c>
      <c r="AD27" s="6" t="inlineStr">
        <is>
          <t>UNCHANGED</t>
        </is>
      </c>
      <c r="AE27" s="6" t="inlineStr">
        <is>
          <t>2026-10-21</t>
        </is>
      </c>
      <c r="AF2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is>
          <t>Closed 2026-10-21: each stage is meant to save tokens, and the saving is judged over a number of turns, not per turn (supervisor, 2 and 21 Oct).</t>
        </is>
      </c>
      <c r="AJ27" s="6" t="inlineStr">
        <is>
          <t>SRC-11 canonical</t>
        </is>
      </c>
      <c r="AK27" s="6" t="inlineStr">
        <is>
          <t>REGISTER G.3 Q4, COMPARISON C2, CAVEATS 5, SRC-06 D04</t>
        </is>
      </c>
      <c r="AL27" s="6" t="inlineStr">
        <is>
          <t>S05</t>
        </is>
      </c>
    </row>
    <row r="28" ht="215.5" customHeight="1">
      <c r="A28" s="5" t="inlineStr">
        <is>
          <t>C-D03</t>
        </is>
      </c>
      <c r="B28" s="6" t="inlineStr">
        <is>
          <t>Is the staged question-per-step form binding, or is a policy whose stages appear only where a test justifie...</t>
        </is>
      </c>
      <c r="C28" s="6" t="inlineStr">
        <is>
          <t>CLOSED - BY DECISION</t>
        </is>
      </c>
      <c r="D28" s="6" t="inlineStr">
        <is>
          <t>No</t>
        </is>
      </c>
      <c r="E28" s="6" t="inlineStr"/>
      <c r="F28" s="6" t="inlineStr"/>
      <c r="G28" s="10" t="inlineStr">
        <is>
          <t>JOAA-DECISION</t>
        </is>
      </c>
      <c r="H28" s="6" t="inlineStr">
        <is>
          <t>K3 Policy form</t>
        </is>
      </c>
      <c r="I28" s="6" t="inlineStr">
        <is>
          <t>G2 Before the affected pilot/arm</t>
        </is>
      </c>
      <c r="J28" s="6" t="inlineStr">
        <is>
          <t>High</t>
        </is>
      </c>
      <c r="K28" s="6" t="n">
        <v>42</v>
      </c>
      <c r="L28" s="6" t="inlineStr">
        <is>
          <t>W1 Decide</t>
        </is>
      </c>
      <c r="M28" s="6" t="inlineStr">
        <is>
          <t>S07</t>
        </is>
      </c>
      <c r="N28" s="6" t="inlineStr">
        <is>
          <t>Joaa</t>
        </is>
      </c>
      <c r="O28" s="6" t="inlineStr">
        <is>
          <t>Closed; moved to Archive</t>
        </is>
      </c>
      <c r="P28" s="6" t="inlineStr">
        <is>
          <t>No</t>
        </is>
      </c>
      <c r="Q28" s="6" t="inlineStr">
        <is>
          <t>Decision</t>
        </is>
      </c>
      <c r="R28" s="6" t="inlineStr">
        <is>
          <t>Item</t>
        </is>
      </c>
      <c r="S28" s="6" t="inlineStr"/>
      <c r="T28" s="6" t="inlineStr">
        <is>
          <t>Is the staged question-per-step form binding, or is a policy whose stages appear only where a test justifies them acceptable (including zero narrowing stages)?</t>
        </is>
      </c>
      <c r="U28"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 2026-10-21 (AUTH-019): the human keeps the staged form and combines it with memory-informed tool offering ('why we cannot do both', INT-T-005 line 5), on top of the supervisor's 14 Oct prescription (INT-T-003 L386-L404).</t>
        </is>
      </c>
      <c r="V28" s="6" t="inlineStr">
        <is>
          <t>Closed 2026-10-21: answer recorded (supervisor 14 Oct, human 21 Oct).</t>
        </is>
      </c>
      <c r="W28" s="6" t="inlineStr">
        <is>
          <t>C-D01</t>
        </is>
      </c>
      <c r="X28" s="6" t="inlineStr"/>
      <c r="Y28" s="6" t="inlineStr">
        <is>
          <t>Q-J01, Q-J08, Q-J09, Q-J30</t>
        </is>
      </c>
      <c r="Z28" s="6" t="inlineStr"/>
      <c r="AA28" s="6" t="inlineStr"/>
      <c r="AB28" s="6" t="inlineStr">
        <is>
          <t>DEC</t>
        </is>
      </c>
      <c r="AC28" s="6" t="inlineStr">
        <is>
          <t>PARTLY ANSWERED - OPEN</t>
        </is>
      </c>
      <c r="AD28" s="6" t="inlineStr">
        <is>
          <t>UNCHANGED</t>
        </is>
      </c>
      <c r="AE28" s="6" t="inlineStr">
        <is>
          <t>2026-10-21</t>
        </is>
      </c>
      <c r="AF28" s="6" t="inlineStr">
        <is>
          <t>INT-T-005 (requirements/intake/2026-10-21-user-decisions-after-meetings.md); INT-T-003</t>
        </is>
      </c>
      <c r="AG28" s="6" t="inlineStr"/>
      <c r="AH28" s="6" t="inlineStr">
        <is>
          <t>No</t>
        </is>
      </c>
      <c r="AI28" s="6" t="inlineStr">
        <is>
          <t>Closed 2026-10-21: the staged question-per-stage policy is the form, with re-adding, and memory is one of its stages or inputs; the number of stages is found by the work.</t>
        </is>
      </c>
      <c r="AJ28" s="6" t="inlineStr">
        <is>
          <t>SRC-11 canonical</t>
        </is>
      </c>
      <c r="AK28" s="6" t="inlineStr">
        <is>
          <t>REGISTER G.3 Q2, REQ-O14-12, COMPARISON C4, SRC-06 D03</t>
        </is>
      </c>
      <c r="AL28" s="6" t="inlineStr">
        <is>
          <t>S05</t>
        </is>
      </c>
    </row>
    <row r="29" ht="300" customHeight="1">
      <c r="A29" s="5" t="inlineStr">
        <is>
          <t>C-D06/NOVELTY</t>
        </is>
      </c>
      <c r="B29" s="6" t="inlineStr">
        <is>
          <t>Supervisor says the graph is 'your novelty': to be tested, not assumed</t>
        </is>
      </c>
      <c r="C29" s="6" t="inlineStr">
        <is>
          <t>CLOSED - BY DECISION</t>
        </is>
      </c>
      <c r="D29" s="6" t="inlineStr">
        <is>
          <t>No</t>
        </is>
      </c>
      <c r="E29" s="6" t="inlineStr"/>
      <c r="F29" s="6" t="inlineStr"/>
      <c r="G29" s="11" t="inlineStr">
        <is>
          <t>LITERATURE-DIRECTED</t>
        </is>
      </c>
      <c r="H29" s="6" t="inlineStr">
        <is>
          <t>K5 Evaluation contract</t>
        </is>
      </c>
      <c r="I29" s="6" t="inlineStr">
        <is>
          <t>G3 Before confirmatory study</t>
        </is>
      </c>
      <c r="J29" s="6" t="inlineStr">
        <is>
          <t>Normal</t>
        </is>
      </c>
      <c r="K29" s="6" t="n">
        <v>46</v>
      </c>
      <c r="L29" s="6" t="inlineStr">
        <is>
          <t>W1 Decide</t>
        </is>
      </c>
      <c r="M29" s="6" t="inlineStr">
        <is>
          <t>S08</t>
        </is>
      </c>
      <c r="N29" s="6" t="inlineStr">
        <is>
          <t>Joaa</t>
        </is>
      </c>
      <c r="O29" s="6" t="inlineStr">
        <is>
          <t>Closed; moved to Archive</t>
        </is>
      </c>
      <c r="P29" s="6" t="inlineStr">
        <is>
          <t>No</t>
        </is>
      </c>
      <c r="Q29" s="6" t="inlineStr">
        <is>
          <t>Claim to test</t>
        </is>
      </c>
      <c r="R29" s="6" t="inlineStr">
        <is>
          <t>Sub-item</t>
        </is>
      </c>
      <c r="S29" s="6" t="inlineStr">
        <is>
          <t>C-D06</t>
        </is>
      </c>
      <c r="T29" s="6" t="inlineStr">
        <is>
          <t>REQ-O14-07 and -16 (assertions): 'the main nobility' and 'that is your novelty' are not established; v4 makes no novelty claim; close prior art exists (vendor deferral, retrieval, hierarchical routers).</t>
        </is>
      </c>
      <c r="U29"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 2026-10-21 (AUTH-019): no separate novelty assessment; novelty is stated as the systematic combination and its findings (supervisor, INT-T-003 L227-L233), with the prior-art matrix (FND-0030) kept current by a monthly search (INT-T-004 E591-E605) and the human's no-re-invention rule (INT-T-005 line 1).</t>
        </is>
      </c>
      <c r="V29" s="6" t="inlineStr">
        <is>
          <t>Closed 2026-10-21: stated as not claimed beyond the systematic combination.</t>
        </is>
      </c>
      <c r="W29" s="6" t="inlineStr"/>
      <c r="X29" s="6" t="inlineStr"/>
      <c r="Y29" s="6" t="inlineStr">
        <is>
          <t>Q-J22, Q-J28</t>
        </is>
      </c>
      <c r="Z29" s="6" t="inlineStr">
        <is>
          <t>JOAA-DECISION</t>
        </is>
      </c>
      <c r="AA29" s="6" t="inlineStr"/>
      <c r="AB29" s="6" t="inlineStr">
        <is>
          <t>SOURCE+DEC</t>
        </is>
      </c>
      <c r="AC29" s="6" t="inlineStr">
        <is>
          <t>n/a (sub-item)</t>
        </is>
      </c>
      <c r="AD29" s="6" t="inlineStr">
        <is>
          <t>NEW (repo sweep)</t>
        </is>
      </c>
      <c r="AE29" s="6" t="inlineStr">
        <is>
          <t>2026-10-21</t>
        </is>
      </c>
      <c r="AF29" s="6" t="inlineStr">
        <is>
          <t>INT-T-005 (requirements/intake/2026-10-21-user-decisions-after-meetings.md); INT-T-003; INT-T-004; FND-0030</t>
        </is>
      </c>
      <c r="AG29" s="6" t="inlineStr">
        <is>
          <t>The monthly prior-art search finds the same combination already published</t>
        </is>
      </c>
      <c r="AH29" s="6" t="inlineStr">
        <is>
          <t>No</t>
        </is>
      </c>
      <c r="AI29" s="6" t="inlineStr">
        <is>
          <t>Closed 2026-10-21: novelty is not claimed as a new mechanism; the contribution is the systematic combination and its findings; the prior-art check is repeated monthly.</t>
        </is>
      </c>
      <c r="AJ29" s="6" t="inlineStr">
        <is>
          <t>repo: REGISTER / COMPARISON</t>
        </is>
      </c>
      <c r="AK29" s="6" t="inlineStr">
        <is>
          <t>REQ-O14-07, REQ-O14-16, v4-01 section 6 item 8</t>
        </is>
      </c>
      <c r="AL29" s="6" t="inlineStr">
        <is>
          <t>S08</t>
        </is>
      </c>
    </row>
    <row r="30" ht="153" customHeight="1">
      <c r="A30" s="5" t="inlineStr">
        <is>
          <t>C-D06</t>
        </is>
      </c>
      <c r="B30" s="6" t="inlineStr">
        <is>
          <t>Is a conditional or negative result enough as findings?</t>
        </is>
      </c>
      <c r="C30" s="6" t="inlineStr">
        <is>
          <t>CLOSED - BY DECISION</t>
        </is>
      </c>
      <c r="D30" s="6" t="inlineStr">
        <is>
          <t>No</t>
        </is>
      </c>
      <c r="E30" s="6" t="inlineStr"/>
      <c r="F30" s="6" t="inlineStr"/>
      <c r="G30" s="10" t="inlineStr">
        <is>
          <t>JOAA-DECISION</t>
        </is>
      </c>
      <c r="H30" s="6" t="inlineStr">
        <is>
          <t>K5 Evaluation contract</t>
        </is>
      </c>
      <c r="I30" s="6" t="inlineStr">
        <is>
          <t>G3 Before confirmatory study</t>
        </is>
      </c>
      <c r="J30" s="6" t="inlineStr">
        <is>
          <t>Normal</t>
        </is>
      </c>
      <c r="K30" s="6" t="n">
        <v>49</v>
      </c>
      <c r="L30" s="6" t="inlineStr">
        <is>
          <t>W1 Decide</t>
        </is>
      </c>
      <c r="M30" s="6" t="inlineStr">
        <is>
          <t>S08</t>
        </is>
      </c>
      <c r="N30" s="6" t="inlineStr">
        <is>
          <t>Joaa</t>
        </is>
      </c>
      <c r="O30" s="6" t="inlineStr">
        <is>
          <t>Closed; moved to Archive</t>
        </is>
      </c>
      <c r="P30" s="6" t="inlineStr">
        <is>
          <t>No</t>
        </is>
      </c>
      <c r="Q30" s="6" t="inlineStr">
        <is>
          <t>Decision</t>
        </is>
      </c>
      <c r="R30" s="6" t="inlineStr">
        <is>
          <t>Item</t>
        </is>
      </c>
      <c r="S30" s="6" t="inlineStr"/>
      <c r="T30" s="6" t="inlineStr">
        <is>
          <t>Is a conditional or negative result enough as findings? Is a specific contribution (regime map) sufficient?</t>
        </is>
      </c>
      <c r="U30"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30" s="6" t="inlineStr">
        <is>
          <t>Closed 2026-10-21: answer to brief Q5 in his words.</t>
        </is>
      </c>
      <c r="W30" s="6" t="inlineStr">
        <is>
          <t>C-D01</t>
        </is>
      </c>
      <c r="X30" s="6" t="inlineStr"/>
      <c r="Y30" s="6" t="inlineStr">
        <is>
          <t>Q-J01, Q-J08, Q-J15, Q-U19</t>
        </is>
      </c>
      <c r="Z30" s="6" t="inlineStr"/>
      <c r="AA30" s="6" t="inlineStr"/>
      <c r="AB30" s="6" t="inlineStr">
        <is>
          <t>DEC+DATA</t>
        </is>
      </c>
      <c r="AC30" s="6" t="inlineStr">
        <is>
          <t>PARTLY ANSWERED - OPEN</t>
        </is>
      </c>
      <c r="AD30" s="6" t="inlineStr">
        <is>
          <t>UNCHANGED</t>
        </is>
      </c>
      <c r="AE30" s="6" t="inlineStr">
        <is>
          <t>2026-10-21</t>
        </is>
      </c>
      <c r="AF30"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0" s="6" t="inlineStr"/>
      <c r="AH30" s="6" t="inlineStr">
        <is>
          <t>No</t>
        </is>
      </c>
      <c r="AI30" s="6" t="inlineStr">
        <is>
          <t>Closed 2026-10-21: a negative or conditional result is enough for the thesis; a paper needs a systematic study.</t>
        </is>
      </c>
      <c r="AJ30" s="6" t="inlineStr">
        <is>
          <t>SRC-11 canonical</t>
        </is>
      </c>
      <c r="AK30" s="6" t="inlineStr">
        <is>
          <t>SRC-06 D07, SRC-07 07, REQ-O14-05</t>
        </is>
      </c>
      <c r="AL30" s="6" t="inlineStr">
        <is>
          <t>S08</t>
        </is>
      </c>
    </row>
    <row r="31" ht="140.5" customHeight="1">
      <c r="A31" s="5" t="inlineStr">
        <is>
          <t>C-D08/DELTA</t>
        </is>
      </c>
      <c r="B31" s="6" t="inlineStr">
        <is>
          <t>Noninferiority margin delta (and per-falsifier and equivalence margins)</t>
        </is>
      </c>
      <c r="C31" s="6" t="inlineStr">
        <is>
          <t>CLOSED - BY DECISION</t>
        </is>
      </c>
      <c r="D31" s="6" t="inlineStr">
        <is>
          <t>No</t>
        </is>
      </c>
      <c r="E31" s="6" t="inlineStr"/>
      <c r="F31" s="6" t="inlineStr"/>
      <c r="G31" s="10" t="inlineStr">
        <is>
          <t>JOAA-DECISION</t>
        </is>
      </c>
      <c r="H31" s="6" t="inlineStr">
        <is>
          <t>K5 Evaluation contract</t>
        </is>
      </c>
      <c r="I31" s="6" t="inlineStr">
        <is>
          <t>G1 Before any implementation</t>
        </is>
      </c>
      <c r="J31" s="6" t="inlineStr">
        <is>
          <t>High</t>
        </is>
      </c>
      <c r="K31" s="6" t="n">
        <v>56</v>
      </c>
      <c r="L31" s="6" t="inlineStr">
        <is>
          <t>W2 Desk work (no model runs)</t>
        </is>
      </c>
      <c r="M31" s="6" t="inlineStr">
        <is>
          <t>S09</t>
        </is>
      </c>
      <c r="N31" s="6" t="inlineStr">
        <is>
          <t>Joaa + you (or a documented pilot)</t>
        </is>
      </c>
      <c r="O31" s="6" t="inlineStr">
        <is>
          <t>Closed; moved to Archive</t>
        </is>
      </c>
      <c r="P31" s="6" t="inlineStr">
        <is>
          <t>No</t>
        </is>
      </c>
      <c r="Q31" s="6" t="inlineStr">
        <is>
          <t>Parameter</t>
        </is>
      </c>
      <c r="R31" s="6" t="inlineStr">
        <is>
          <t>Sub-item</t>
        </is>
      </c>
      <c r="S31" s="6" t="inlineStr">
        <is>
          <t>C-D08</t>
        </is>
      </c>
      <c r="T31" s="6" t="inlineStr">
        <is>
          <t>The success margin delta is unset (with per-falsifier margins and the cost-equivalence margin).</t>
        </is>
      </c>
      <c r="U31" s="6" t="inlineStr">
        <is>
          <t>Unset. 2026-10-21 (AUTH-018): 'you want to match the baseline accuracy while giving lesser and lesser tool each time' (INT-T-004 E206); 'keeping the accuracy as high as possible' (INT-T-003 L159). No margin size, no strata. 2026-10-21 (AUTH-019, the human's decisions): 'there is no margin or budget ... no hard constraints of you have to be nearly 20% less billing or only 1% accuracy' (line 16): no noninferiority margin is set; accuracy is to stay 'nearly the same' and is reported with its uncertainty.</t>
        </is>
      </c>
      <c r="V31" s="6" t="inlineStr">
        <is>
          <t>Closed 2026-10-21: decided, not deferred.</t>
        </is>
      </c>
      <c r="W31" s="6" t="inlineStr"/>
      <c r="X31" s="6" t="inlineStr"/>
      <c r="Y31" s="6" t="inlineStr">
        <is>
          <t>Q-J13, Q-J14</t>
        </is>
      </c>
      <c r="Z31" s="6" t="inlineStr">
        <is>
          <t>DESK-ANALYSIS</t>
        </is>
      </c>
      <c r="AA31" s="6" t="inlineStr"/>
      <c r="AB31" s="6" t="inlineStr">
        <is>
          <t>DEC+DATA</t>
        </is>
      </c>
      <c r="AC31" s="6" t="inlineStr">
        <is>
          <t>n/a (sub-item)</t>
        </is>
      </c>
      <c r="AD31" s="6" t="inlineStr">
        <is>
          <t>NEW (repo sweep)</t>
        </is>
      </c>
      <c r="AE31" s="6" t="inlineStr">
        <is>
          <t>2026-10-21</t>
        </is>
      </c>
      <c r="AF31" s="6" t="inlineStr">
        <is>
          <t>INT-T-005 (requirements/intake/2026-10-21-user-decisions-after-meetings.md)</t>
        </is>
      </c>
      <c r="AG31" s="6" t="inlineStr"/>
      <c r="AH31" s="6" t="inlineStr">
        <is>
          <t>No</t>
        </is>
      </c>
      <c r="AI31" s="6" t="inlineStr">
        <is>
          <t>Closed 2026-10-21: no pre-set margin (the human).</t>
        </is>
      </c>
      <c r="AJ31" s="6" t="inlineStr">
        <is>
          <t>repo: v4-02 / v3-04 section 5 / v2-05 section 3</t>
        </is>
      </c>
      <c r="AK31" s="6" t="inlineStr">
        <is>
          <t>delta</t>
        </is>
      </c>
      <c r="AL31" s="6" t="inlineStr">
        <is>
          <t>S08</t>
        </is>
      </c>
    </row>
    <row r="32" ht="65.5" customHeight="1">
      <c r="A32" s="5" t="inlineStr">
        <is>
          <t>C-D08/EPS</t>
        </is>
      </c>
      <c r="B32" s="6" t="inlineStr">
        <is>
          <t>epsilon: cost tolerance for the parsimony preference (and the order of 'simplest')</t>
        </is>
      </c>
      <c r="C32" s="6" t="inlineStr">
        <is>
          <t>CLOSED - BY DECISION</t>
        </is>
      </c>
      <c r="D32" s="6" t="inlineStr">
        <is>
          <t>No</t>
        </is>
      </c>
      <c r="E32" s="6" t="inlineStr"/>
      <c r="F32" s="6" t="inlineStr"/>
      <c r="G32" s="10" t="inlineStr">
        <is>
          <t>JOAA-DECISION</t>
        </is>
      </c>
      <c r="H32" s="6" t="inlineStr">
        <is>
          <t>K5 Evaluation contract</t>
        </is>
      </c>
      <c r="I32" s="6" t="inlineStr">
        <is>
          <t>G1 Before any implementation</t>
        </is>
      </c>
      <c r="J32" s="6" t="inlineStr">
        <is>
          <t>High</t>
        </is>
      </c>
      <c r="K32" s="6" t="n">
        <v>63</v>
      </c>
      <c r="L32" s="6" t="inlineStr">
        <is>
          <t>W2 Desk work (no model runs)</t>
        </is>
      </c>
      <c r="M32" s="6" t="inlineStr">
        <is>
          <t>S09</t>
        </is>
      </c>
      <c r="N32" s="6" t="inlineStr">
        <is>
          <t>Joaa + you (or a documented pilot)</t>
        </is>
      </c>
      <c r="O32" s="6" t="inlineStr">
        <is>
          <t>Closed; moved to Archive</t>
        </is>
      </c>
      <c r="P32" s="6" t="inlineStr">
        <is>
          <t>No</t>
        </is>
      </c>
      <c r="Q32" s="6" t="inlineStr">
        <is>
          <t>Parameter</t>
        </is>
      </c>
      <c r="R32" s="6" t="inlineStr">
        <is>
          <t>Sub-item</t>
        </is>
      </c>
      <c r="S32" s="6" t="inlineStr">
        <is>
          <t>C-D08</t>
        </is>
      </c>
      <c r="T32" s="6" t="inlineStr">
        <is>
          <t>epsilon (tokens per trajectory) and the pre-registered tie order among equally complex arms are unset; without epsilon the report names no winner.</t>
        </is>
      </c>
      <c r="U32" s="6" t="inlineStr">
        <is>
          <t>Unset. 2026-10-21 (AUTH-019, the human's decisions): no cost tolerance or other hard threshold is set (line 16); preferences among near-equal configurations are argued and reported, not fixed by a number in advance.</t>
        </is>
      </c>
      <c r="V32" s="6" t="inlineStr">
        <is>
          <t>Closed 2026-10-21: decided.</t>
        </is>
      </c>
      <c r="W32" s="6" t="inlineStr"/>
      <c r="X32" s="6" t="inlineStr"/>
      <c r="Y32" s="6" t="inlineStr">
        <is>
          <t>Q-J19, Q-J20</t>
        </is>
      </c>
      <c r="Z32" s="6" t="inlineStr">
        <is>
          <t>DESK-ANALYSIS</t>
        </is>
      </c>
      <c r="AA32" s="6" t="inlineStr"/>
      <c r="AB32" s="6" t="inlineStr">
        <is>
          <t>DEC+DATA</t>
        </is>
      </c>
      <c r="AC32" s="6" t="inlineStr">
        <is>
          <t>n/a (sub-item)</t>
        </is>
      </c>
      <c r="AD32" s="6" t="inlineStr">
        <is>
          <t>NEW (repo sweep)</t>
        </is>
      </c>
      <c r="AE32" s="6" t="inlineStr">
        <is>
          <t>2026-10-21</t>
        </is>
      </c>
      <c r="AF32" s="6" t="inlineStr">
        <is>
          <t>INT-T-005 (requirements/intake/2026-10-21-user-decisions-after-meetings.md)</t>
        </is>
      </c>
      <c r="AG32" s="6" t="inlineStr"/>
      <c r="AH32" s="6" t="inlineStr">
        <is>
          <t>No</t>
        </is>
      </c>
      <c r="AI32" s="6" t="inlineStr">
        <is>
          <t>Closed 2026-10-21: no epsilon (the human).</t>
        </is>
      </c>
      <c r="AJ32" s="6" t="inlineStr">
        <is>
          <t>repo: v4-02 / v3-04 section 5 / v2-05 section 3</t>
        </is>
      </c>
      <c r="AK32" s="6" t="inlineStr">
        <is>
          <t>epsilon</t>
        </is>
      </c>
      <c r="AL32" s="6" t="inlineStr">
        <is>
          <t>S08</t>
        </is>
      </c>
    </row>
    <row r="33" ht="278" customHeight="1">
      <c r="A33" s="5" t="inlineStr">
        <is>
          <t>N-5</t>
        </is>
      </c>
      <c r="B33" s="6" t="inlineStr">
        <is>
          <t>What does 'time-based cache charge' mean per provider?</t>
        </is>
      </c>
      <c r="C33" s="6" t="inlineStr">
        <is>
          <t>CLOSED - BY EVIDENCE</t>
        </is>
      </c>
      <c r="D33" s="6" t="inlineStr">
        <is>
          <t>No</t>
        </is>
      </c>
      <c r="E33" s="6" t="inlineStr"/>
      <c r="F33" s="6" t="inlineStr"/>
      <c r="G33" s="8" t="inlineStr">
        <is>
          <t>RECORDS-AT-HAND</t>
        </is>
      </c>
      <c r="H33" s="6" t="inlineStr">
        <is>
          <t>K15 Expiring provider facts</t>
        </is>
      </c>
      <c r="I33" s="6" t="inlineStr">
        <is>
          <t>G2 Before the affected pilot/arm</t>
        </is>
      </c>
      <c r="J33" s="6" t="inlineStr">
        <is>
          <t>High</t>
        </is>
      </c>
      <c r="K33" s="6" t="n">
        <v>74</v>
      </c>
      <c r="L33" s="6" t="inlineStr">
        <is>
          <t>W2 Desk work (no model runs)</t>
        </is>
      </c>
      <c r="M33" s="6" t="inlineStr">
        <is>
          <t>S10</t>
        </is>
      </c>
      <c r="N33" s="6" t="inlineStr">
        <is>
          <t>Lead</t>
        </is>
      </c>
      <c r="O33" s="6" t="inlineStr">
        <is>
          <t>Closed; moved to Archive</t>
        </is>
      </c>
      <c r="P33" s="6" t="inlineStr">
        <is>
          <t>Answered (see basis)</t>
        </is>
      </c>
      <c r="Q33" s="6" t="inlineStr">
        <is>
          <t>Record fix</t>
        </is>
      </c>
      <c r="R33" s="6" t="inlineStr">
        <is>
          <t>Item</t>
        </is>
      </c>
      <c r="S33" s="6" t="inlineStr"/>
      <c r="T33"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33"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33" s="6" t="inlineStr">
        <is>
          <t>Table checked against a live recheck (C-E05) and the unread caching pages; then closed as a dated fact.</t>
        </is>
      </c>
      <c r="W33" s="6" t="inlineStr"/>
      <c r="X33" s="6" t="inlineStr">
        <is>
          <t>C-D02</t>
        </is>
      </c>
      <c r="Y33" s="6" t="inlineStr">
        <is>
          <t>Q-J24, Q-J26, Q-U08, Q-U21</t>
        </is>
      </c>
      <c r="Z33" s="6" t="inlineStr">
        <is>
          <t>TIME-RECHECK</t>
        </is>
      </c>
      <c r="AA33" s="6" t="inlineStr">
        <is>
          <t>K2 Objective &amp; accounting</t>
        </is>
      </c>
      <c r="AB33" s="6" t="inlineStr"/>
      <c r="AC33" s="6" t="inlineStr">
        <is>
          <t>n/a (new)</t>
        </is>
      </c>
      <c r="AD33" s="6" t="inlineStr">
        <is>
          <t>NEW</t>
        </is>
      </c>
      <c r="AE33" s="6" t="inlineStr">
        <is>
          <t>2026-10-19</t>
        </is>
      </c>
      <c r="AF33" s="6" t="inlineStr">
        <is>
          <t>FND-0008 (findings/SUM-0010); FND-0012 (findings/SUM-0014); EXT-0085, EXT-0086, EXT-0089, EXT-0137, EXT-0142, EXT-0152, EXT-0158; Supervisor statements S-J-001</t>
        </is>
      </c>
      <c r="AG33" s="6" t="inlineStr"/>
      <c r="AH33" s="6" t="inlineStr">
        <is>
          <t>No</t>
        </is>
      </c>
      <c r="AI33" s="6" t="inlineStr">
        <is>
          <t>Closed 2026-10-19 as a dated fact (2026-10-11 pages). Prices and models change: the live recheck stays open as C-E05.</t>
        </is>
      </c>
      <c r="AJ33" s="6" t="inlineStr">
        <is>
          <t>Review 19 Oct (section 5)</t>
        </is>
      </c>
      <c r="AK33" s="6" t="inlineStr">
        <is>
          <t>Joaa 19 Oct 12:15 (1/10 for an hour)</t>
        </is>
      </c>
      <c r="AL33" s="6" t="inlineStr">
        <is>
          <t>S10</t>
        </is>
      </c>
    </row>
    <row r="34" ht="178" customHeight="1">
      <c r="A34" s="5" t="inlineStr">
        <is>
          <t>N-5/UNREAD</t>
        </is>
      </c>
      <c r="B34" s="6" t="inlineStr">
        <is>
          <t>MCP caching spec (2026-07-28), Bedrock caching page, Gemini caching page: stored but unread</t>
        </is>
      </c>
      <c r="C34" s="6" t="inlineStr">
        <is>
          <t>CLOSED - BY EVIDENCE</t>
        </is>
      </c>
      <c r="D34" s="6" t="inlineStr">
        <is>
          <t>No</t>
        </is>
      </c>
      <c r="E34" s="6" t="inlineStr"/>
      <c r="F34" s="6" t="inlineStr"/>
      <c r="G34" s="14" t="inlineStr">
        <is>
          <t>SOURCE-REREAD</t>
        </is>
      </c>
      <c r="H34" s="6" t="inlineStr">
        <is>
          <t>K15 Expiring provider facts</t>
        </is>
      </c>
      <c r="I34" s="6" t="inlineStr">
        <is>
          <t>G2 Before the affected pilot/arm</t>
        </is>
      </c>
      <c r="J34" s="6" t="inlineStr">
        <is>
          <t>High</t>
        </is>
      </c>
      <c r="K34" s="6" t="n">
        <v>75</v>
      </c>
      <c r="L34" s="6" t="inlineStr">
        <is>
          <t>W2 Desk work (no model runs)</t>
        </is>
      </c>
      <c r="M34" s="6" t="inlineStr">
        <is>
          <t>S10</t>
        </is>
      </c>
      <c r="N34" s="6" t="inlineStr">
        <is>
          <t>Lead</t>
        </is>
      </c>
      <c r="O34" s="6" t="inlineStr">
        <is>
          <t>Closed; moved to Archive</t>
        </is>
      </c>
      <c r="P34" s="6" t="inlineStr">
        <is>
          <t>Yes - stored text, unread</t>
        </is>
      </c>
      <c r="Q34" s="6" t="inlineStr">
        <is>
          <t>Source check</t>
        </is>
      </c>
      <c r="R34" s="6" t="inlineStr">
        <is>
          <t>Sub-item</t>
        </is>
      </c>
      <c r="S34" s="6" t="inlineStr">
        <is>
          <t>N-5</t>
        </is>
      </c>
      <c r="T34" s="6" t="inlineStr">
        <is>
          <t>v4-04 section 7 lists the MCP caching specification of 2026-07-28 and the Bedrock page as unread; sources.json stores r4-mcp-caching-2026-07-28 (177 lines), r4-bedrock-prompt-caching (37 KB) and r4-gemini-caching (6 KB).</t>
        </is>
      </c>
      <c r="U34"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4" s="6" t="inlineStr">
        <is>
          <t>Passages on caching read and added to the dated provider table.</t>
        </is>
      </c>
      <c r="W34" s="6" t="inlineStr"/>
      <c r="X34" s="6" t="inlineStr"/>
      <c r="Y34" s="6" t="inlineStr"/>
      <c r="Z34" s="6" t="inlineStr"/>
      <c r="AA34" s="6" t="inlineStr"/>
      <c r="AB34" s="6" t="inlineStr">
        <is>
          <t>SOURCE</t>
        </is>
      </c>
      <c r="AC34" s="6" t="inlineStr">
        <is>
          <t>n/a (sub-item)</t>
        </is>
      </c>
      <c r="AD34" s="6" t="inlineStr">
        <is>
          <t>NEW (repo sweep)</t>
        </is>
      </c>
      <c r="AE34" s="6" t="inlineStr">
        <is>
          <t>2026-10-19</t>
        </is>
      </c>
      <c r="AF34" s="6" t="inlineStr">
        <is>
          <t>FND-0008 (findings/SUM-0010); EXT-0137, EXT-0141, EXT-0143</t>
        </is>
      </c>
      <c r="AG34" s="6" t="inlineStr"/>
      <c r="AH34" s="6" t="inlineStr">
        <is>
          <t>No</t>
        </is>
      </c>
      <c r="AI34" s="6" t="inlineStr">
        <is>
          <t>Closed 2026-10-19: the caching passages were read and entered in the dated provider table (N-5, C-S03 rows).</t>
        </is>
      </c>
      <c r="AJ34" s="6" t="inlineStr">
        <is>
          <t>repo: v4-04 section 7; sources.json</t>
        </is>
      </c>
      <c r="AK34" s="6" t="inlineStr"/>
      <c r="AL34" s="6" t="inlineStr">
        <is>
          <t>S10</t>
        </is>
      </c>
    </row>
    <row r="35" ht="300" customHeight="1">
      <c r="A35" s="5" t="inlineStr">
        <is>
          <t>C-E01/E01</t>
        </is>
      </c>
      <c r="B35" s="6" t="inlineStr">
        <is>
          <t>fcrobust BFCL range disputed; table not rendered</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79</v>
      </c>
      <c r="L35" s="6" t="inlineStr">
        <is>
          <t>W2 Desk work (no model runs)</t>
        </is>
      </c>
      <c r="M35" s="6" t="inlineStr">
        <is>
          <t>S11</t>
        </is>
      </c>
      <c r="N35" s="6" t="inlineStr">
        <is>
          <t>Lead + steward</t>
        </is>
      </c>
      <c r="O35" s="6" t="inlineStr">
        <is>
          <t>Closed; moved to Archive</t>
        </is>
      </c>
      <c r="P35" s="6" t="inlineStr">
        <is>
          <t>Yes - stored text, unread</t>
        </is>
      </c>
      <c r="Q35" s="6" t="inlineStr">
        <is>
          <t>Source check</t>
        </is>
      </c>
      <c r="R35" s="6" t="inlineStr">
        <is>
          <t>Sub-item</t>
        </is>
      </c>
      <c r="S35" s="6" t="inlineStr">
        <is>
          <t>C-E01</t>
        </is>
      </c>
      <c r="T35" s="6" t="inlineStr">
        <is>
          <t>SRC-06 E01: the fcrobust (arXiv 2504.00914) BFCL range is disputed and the original table was not rendered.</t>
        </is>
      </c>
      <c r="U35"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35" s="6" t="inlineStr">
        <is>
          <t>Table located in the stored text and the range/condition corrected.</t>
        </is>
      </c>
      <c r="W35" s="6" t="inlineStr"/>
      <c r="X35" s="6" t="inlineStr"/>
      <c r="Y35" s="6" t="inlineStr"/>
      <c r="Z35" s="6" t="inlineStr"/>
      <c r="AA35" s="6" t="inlineStr"/>
      <c r="AB35" s="6" t="inlineStr">
        <is>
          <t>SOURCE</t>
        </is>
      </c>
      <c r="AC35" s="6" t="inlineStr">
        <is>
          <t>n/a (sub-item)</t>
        </is>
      </c>
      <c r="AD35" s="6" t="inlineStr">
        <is>
          <t>NEW (SRC-11 sub-row)</t>
        </is>
      </c>
      <c r="AE35" s="6" t="inlineStr">
        <is>
          <t>2026-10-19</t>
        </is>
      </c>
      <c r="AF35" s="6" t="inlineStr">
        <is>
          <t>FND-0009 (findings/SUM-0011); evidence/literature-20261019/pages/INDEX.md; rendered page 5; independent reading by steward 3a (thread T-20261019-101, final answer; matches the lead's reading)</t>
        </is>
      </c>
      <c r="AG35" s="6" t="inlineStr"/>
      <c r="AH35" s="6" t="inlineStr">
        <is>
          <t>No (AUTH-016 covers web fetches for this item)</t>
        </is>
      </c>
      <c r="AI35" s="6" t="inlineStr">
        <is>
          <t>Closed 2026-10-19: numbers and model-to-row mapping confirmed on the rendered page by two readers. One row is internally inconsistent (C-E01/E01-ROW6).</t>
        </is>
      </c>
      <c r="AJ35" s="6" t="inlineStr">
        <is>
          <t>SRC-11 section D1</t>
        </is>
      </c>
      <c r="AK35" s="6" t="inlineStr">
        <is>
          <t>SRC-06 E01</t>
        </is>
      </c>
      <c r="AL35" s="6" t="inlineStr">
        <is>
          <t>S11</t>
        </is>
      </c>
    </row>
    <row r="36" ht="165.5" customHeight="1">
      <c r="A36" s="5" t="inlineStr">
        <is>
          <t>C-E01/E01-ROW6</t>
        </is>
      </c>
      <c r="B36" s="6" t="inlineStr">
        <is>
          <t>fcrobust Table 2 row 6 prints -11% / -2% but its own values recompute to -17.3% / -5.9%</t>
        </is>
      </c>
      <c r="C36" s="6" t="inlineStr">
        <is>
          <t>CLOSED - BY EVIDENCE</t>
        </is>
      </c>
      <c r="D36" s="6" t="inlineStr">
        <is>
          <t>No</t>
        </is>
      </c>
      <c r="E36" s="6" t="inlineStr"/>
      <c r="F36" s="6" t="inlineStr"/>
      <c r="G36" s="14" t="inlineStr">
        <is>
          <t>SOURCE-REREAD</t>
        </is>
      </c>
      <c r="H36" s="6" t="inlineStr">
        <is>
          <t>K14 Source &amp; vendor verification</t>
        </is>
      </c>
      <c r="I36" s="6" t="inlineStr">
        <is>
          <t>G4 Before claims</t>
        </is>
      </c>
      <c r="J36" s="6" t="inlineStr">
        <is>
          <t>Normal</t>
        </is>
      </c>
      <c r="K36" s="6" t="n">
        <v>80</v>
      </c>
      <c r="L36" s="6" t="inlineStr">
        <is>
          <t>W2 Desk work (no model runs)</t>
        </is>
      </c>
      <c r="M36" s="6" t="inlineStr">
        <is>
          <t>S11</t>
        </is>
      </c>
      <c r="N36" s="6" t="inlineStr">
        <is>
          <t>Lead + steward (authors if the PDF does not resolve it)</t>
        </is>
      </c>
      <c r="O36" s="6" t="inlineStr">
        <is>
          <t>Closed; moved to Archive</t>
        </is>
      </c>
      <c r="P36" s="6" t="inlineStr">
        <is>
          <t>Partly</t>
        </is>
      </c>
      <c r="Q36" s="6" t="inlineStr">
        <is>
          <t>Source check</t>
        </is>
      </c>
      <c r="R36" s="6" t="inlineStr">
        <is>
          <t>Sub-item</t>
        </is>
      </c>
      <c r="S36" s="6" t="inlineStr">
        <is>
          <t>C-E01/E01</t>
        </is>
      </c>
      <c r="T36"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36"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36" s="6" t="inlineStr">
        <is>
          <t>PDF page rendered or authors answer; the printed percentage or values corrected in any quote.</t>
        </is>
      </c>
      <c r="W36" s="6" t="inlineStr"/>
      <c r="X36" s="6" t="inlineStr"/>
      <c r="Y36" s="6" t="inlineStr"/>
      <c r="Z36" s="6" t="inlineStr">
        <is>
          <t>AUTHOR-OR-VENDOR</t>
        </is>
      </c>
      <c r="AA36" s="6" t="inlineStr"/>
      <c r="AB36" s="6" t="inlineStr">
        <is>
          <t>SOURCE+AUTHOR</t>
        </is>
      </c>
      <c r="AC36" s="6" t="inlineStr">
        <is>
          <t>n/a (sub-item)</t>
        </is>
      </c>
      <c r="AD36" s="6" t="inlineStr">
        <is>
          <t>NEW (repo sweep)</t>
        </is>
      </c>
      <c r="AE36" s="6" t="inlineStr">
        <is>
          <t>2026-10-19</t>
        </is>
      </c>
      <c r="AF36" s="6" t="inlineStr">
        <is>
          <t>FND-0009 (findings/SUM-0011); evidence/literature-20261019/pages/INDEX.md; rendered page 5; independent reading by steward 3a (thread T-20261019-101, final answer; matches the lead's reading)</t>
        </is>
      </c>
      <c r="AG36" s="6" t="inlineStr"/>
      <c r="AH36" s="6" t="inlineStr">
        <is>
          <t>No (AUTH-016 covers web fetches for this item)</t>
        </is>
      </c>
      <c r="AI36" s="6" t="inlineStr">
        <is>
          <t>Closed 2026-10-19: inconsistency confirmed as the paper's own; the authors can be asked later if the Haiku row is ever quoted (not needed now).</t>
        </is>
      </c>
      <c r="AJ36" s="6" t="inlineStr">
        <is>
          <t>Batch 1b steward finding (FND-0009), verified by the lead</t>
        </is>
      </c>
      <c r="AK36" s="6" t="inlineStr"/>
      <c r="AL36" s="6" t="inlineStr">
        <is>
          <t>S11</t>
        </is>
      </c>
    </row>
    <row r="37" ht="300" customHeight="1">
      <c r="A37" s="5" t="inlineStr">
        <is>
          <t>C-E01/E03</t>
        </is>
      </c>
      <c r="B37" s="6" t="inlineStr">
        <is>
          <t>DynamicMCPBench ~292K flat-catalogue figure unverified</t>
        </is>
      </c>
      <c r="C37" s="6" t="inlineStr">
        <is>
          <t>CLOSED - BY EVIDENCE</t>
        </is>
      </c>
      <c r="D37" s="6" t="inlineStr">
        <is>
          <t>No</t>
        </is>
      </c>
      <c r="E37" s="6" t="inlineStr"/>
      <c r="F37" s="6" t="inlineStr"/>
      <c r="G37" s="14" t="inlineStr">
        <is>
          <t>SOURCE-REREAD</t>
        </is>
      </c>
      <c r="H37" s="6" t="inlineStr">
        <is>
          <t>K14 Source &amp; vendor verification</t>
        </is>
      </c>
      <c r="I37" s="6" t="inlineStr">
        <is>
          <t>G4 Before claims</t>
        </is>
      </c>
      <c r="J37" s="6" t="inlineStr">
        <is>
          <t>Normal</t>
        </is>
      </c>
      <c r="K37" s="6" t="n">
        <v>82</v>
      </c>
      <c r="L37" s="6" t="inlineStr">
        <is>
          <t>W2 Desk work (no model runs)</t>
        </is>
      </c>
      <c r="M37" s="6" t="inlineStr">
        <is>
          <t>S11</t>
        </is>
      </c>
      <c r="N37" s="6" t="inlineStr">
        <is>
          <t>Lead + steward</t>
        </is>
      </c>
      <c r="O37" s="6" t="inlineStr">
        <is>
          <t>Closed; moved to Archive</t>
        </is>
      </c>
      <c r="P37" s="6" t="inlineStr">
        <is>
          <t>Yes - stored text, unread</t>
        </is>
      </c>
      <c r="Q37" s="6" t="inlineStr">
        <is>
          <t>Source check</t>
        </is>
      </c>
      <c r="R37" s="6" t="inlineStr">
        <is>
          <t>Sub-item</t>
        </is>
      </c>
      <c r="S37" s="6" t="inlineStr">
        <is>
          <t>C-E01</t>
        </is>
      </c>
      <c r="T37" s="6" t="inlineStr">
        <is>
          <t>SRC-06 E03: the ~292K-token flat-catalogue figure is not verified (counted surface, tokenizer).</t>
        </is>
      </c>
      <c r="U3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37" s="6" t="inlineStr">
        <is>
          <t>Closed 2026-10-19: counted surface and tokenizer inspected in the stored code and documents (none found), and the figure is labelled second-hand in the live documents.</t>
        </is>
      </c>
      <c r="W37" s="6" t="inlineStr"/>
      <c r="X37" s="6" t="inlineStr"/>
      <c r="Y37" s="6" t="inlineStr"/>
      <c r="Z37" s="6" t="inlineStr"/>
      <c r="AA37" s="6" t="inlineStr"/>
      <c r="AB37" s="6" t="inlineStr">
        <is>
          <t>SOURCE</t>
        </is>
      </c>
      <c r="AC37" s="6" t="inlineStr">
        <is>
          <t>n/a (sub-item)</t>
        </is>
      </c>
      <c r="AD37" s="6" t="inlineStr">
        <is>
          <t>NARROWED</t>
        </is>
      </c>
      <c r="AE37" s="6" t="inlineStr">
        <is>
          <t>2026-10-19</t>
        </is>
      </c>
      <c r="AF37" s="6" t="inlineStr">
        <is>
          <t>FND-0027 (findings/SUM-0029); EXT-0209, EXT-0210, EXT-0212, EXT-0213, EXT-0214; FND-0020 (findings/SUM-0022)</t>
        </is>
      </c>
      <c r="AG37" s="6" t="inlineStr"/>
      <c r="AH37" s="6" t="inlineStr">
        <is>
          <t>No (AUTH-016 covers web fetches for this item)</t>
        </is>
      </c>
      <c r="AI37" s="6" t="inlineStr">
        <is>
          <t>Closed 2026-10-19 under the criterion's second branch: the figure is kept labelled second-hand (checked at v4 01 line 8 and 02 line 124); the stored code and documents give no counting procedure for it.</t>
        </is>
      </c>
      <c r="AJ37" s="6" t="inlineStr">
        <is>
          <t>SRC-11 section D1</t>
        </is>
      </c>
      <c r="AK37" s="6" t="inlineStr">
        <is>
          <t>SRC-06 E03, v4-03 section 2 item 1, EXT-0084</t>
        </is>
      </c>
      <c r="AL37" s="6" t="inlineStr">
        <is>
          <t>S11</t>
        </is>
      </c>
    </row>
    <row r="38" ht="190.5" customHeight="1">
      <c r="A38" s="5" t="inlineStr">
        <is>
          <t>C-E01/E04</t>
        </is>
      </c>
      <c r="B38" s="6" t="inlineStr">
        <is>
          <t>Anthropic '85%' baseline and component arithmetic ambiguous</t>
        </is>
      </c>
      <c r="C38" s="6" t="inlineStr">
        <is>
          <t>CLOSED - BY EVIDENCE</t>
        </is>
      </c>
      <c r="D38" s="6" t="inlineStr">
        <is>
          <t>No</t>
        </is>
      </c>
      <c r="E38" s="6" t="inlineStr"/>
      <c r="F38" s="6" t="inlineStr"/>
      <c r="G38" s="16" t="inlineStr">
        <is>
          <t>AUTHOR-OR-VENDOR</t>
        </is>
      </c>
      <c r="H38" s="6" t="inlineStr">
        <is>
          <t>K14 Source &amp; vendor verification</t>
        </is>
      </c>
      <c r="I38" s="6" t="inlineStr">
        <is>
          <t>G4 Before claims</t>
        </is>
      </c>
      <c r="J38" s="6" t="inlineStr">
        <is>
          <t>Normal</t>
        </is>
      </c>
      <c r="K38" s="6" t="n">
        <v>83</v>
      </c>
      <c r="L38" s="6" t="inlineStr">
        <is>
          <t>W2 Desk work (no model runs)</t>
        </is>
      </c>
      <c r="M38" s="6" t="inlineStr">
        <is>
          <t>S11</t>
        </is>
      </c>
      <c r="N38" s="6" t="inlineStr">
        <is>
          <t>Vendor / lead</t>
        </is>
      </c>
      <c r="O38" s="6" t="inlineStr">
        <is>
          <t>Closed; moved to Archive</t>
        </is>
      </c>
      <c r="P38" s="6" t="inlineStr">
        <is>
          <t>Yes - stored text, unread</t>
        </is>
      </c>
      <c r="Q38" s="6" t="inlineStr">
        <is>
          <t>Source check</t>
        </is>
      </c>
      <c r="R38" s="6" t="inlineStr">
        <is>
          <t>Sub-item</t>
        </is>
      </c>
      <c r="S38" s="6" t="inlineStr">
        <is>
          <t>C-E01</t>
        </is>
      </c>
      <c r="T38" s="6" t="inlineStr">
        <is>
          <t>SRC-06 E04: the denominator and component arithmetic behind the Anthropic '85%' reduction are ambiguous.</t>
        </is>
      </c>
      <c r="U38"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38" s="6" t="inlineStr">
        <is>
          <t>Denominator identified in the page, else quoted as an ambiguous vendor claim.</t>
        </is>
      </c>
      <c r="W38" s="6" t="inlineStr"/>
      <c r="X38" s="6" t="inlineStr"/>
      <c r="Y38" s="6" t="inlineStr"/>
      <c r="Z38" s="6" t="inlineStr"/>
      <c r="AA38" s="6" t="inlineStr"/>
      <c r="AB38" s="6" t="inlineStr">
        <is>
          <t>SOURCE+AUTHOR</t>
        </is>
      </c>
      <c r="AC38" s="6" t="inlineStr">
        <is>
          <t>n/a (sub-item)</t>
        </is>
      </c>
      <c r="AD38" s="6" t="inlineStr">
        <is>
          <t>NEW (SRC-11 sub-row)</t>
        </is>
      </c>
      <c r="AE38" s="6" t="inlineStr">
        <is>
          <t>2026-10-19</t>
        </is>
      </c>
      <c r="AF38" s="6" t="inlineStr">
        <is>
          <t>FND-0012 (findings/SUM-0014); EXT-0161 (lead re-checked the arithmetic)</t>
        </is>
      </c>
      <c r="AG38" s="6" t="inlineStr"/>
      <c r="AH38" s="6" t="inlineStr">
        <is>
          <t>No (AUTH-016 covers web fetches for this item)</t>
        </is>
      </c>
      <c r="AI38" s="6" t="inlineStr">
        <is>
          <t>Closed 2026-10-19 under the row's own closure rule ('else quote as an ambiguous vendor claim'): denominators from the page, 85% not reproducible from them.</t>
        </is>
      </c>
      <c r="AJ38" s="6" t="inlineStr">
        <is>
          <t>SRC-11 section D1</t>
        </is>
      </c>
      <c r="AK38" s="6" t="inlineStr">
        <is>
          <t>SRC-06 E04</t>
        </is>
      </c>
      <c r="AL38" s="6" t="inlineStr">
        <is>
          <t>S11</t>
        </is>
      </c>
    </row>
    <row r="39" ht="65.5" customHeight="1">
      <c r="A39" s="5" t="inlineStr">
        <is>
          <t>C-E01/E06</t>
        </is>
      </c>
      <c r="B39" s="6" t="inlineStr">
        <is>
          <t>TheMCPCompany 'Missed Tools 3 of 24' absent from readable v1; v2 unreadable</t>
        </is>
      </c>
      <c r="C39" s="6" t="inlineStr">
        <is>
          <t>CLOSED - BY EVIDENCE</t>
        </is>
      </c>
      <c r="D39" s="6" t="inlineStr">
        <is>
          <t>No</t>
        </is>
      </c>
      <c r="E39" s="6" t="inlineStr"/>
      <c r="F39" s="6" t="inlineStr"/>
      <c r="G39" s="14" t="inlineStr">
        <is>
          <t>SOURCE-REREAD</t>
        </is>
      </c>
      <c r="H39" s="6" t="inlineStr">
        <is>
          <t>K14 Source &amp; vendor verification</t>
        </is>
      </c>
      <c r="I39" s="6" t="inlineStr">
        <is>
          <t>G4 Before claims</t>
        </is>
      </c>
      <c r="J39" s="6" t="inlineStr">
        <is>
          <t>Normal</t>
        </is>
      </c>
      <c r="K39" s="6" t="n">
        <v>85</v>
      </c>
      <c r="L39" s="6" t="inlineStr">
        <is>
          <t>W2 Desk work (no model runs)</t>
        </is>
      </c>
      <c r="M39" s="6" t="inlineStr">
        <is>
          <t>S11</t>
        </is>
      </c>
      <c r="N39" s="6" t="inlineStr">
        <is>
          <t>n/a</t>
        </is>
      </c>
      <c r="O39" s="6" t="inlineStr">
        <is>
          <t>Read the decisive passage; fetch only if not stored</t>
        </is>
      </c>
      <c r="P39" s="6" t="inlineStr">
        <is>
          <t>Answered (see basis)</t>
        </is>
      </c>
      <c r="Q39" s="6" t="inlineStr">
        <is>
          <t>Source check</t>
        </is>
      </c>
      <c r="R39" s="6" t="inlineStr">
        <is>
          <t>Sub-item</t>
        </is>
      </c>
      <c r="S39" s="6" t="inlineStr">
        <is>
          <t>C-E01</t>
        </is>
      </c>
      <c r="T39" s="6" t="inlineStr">
        <is>
          <t>SRC-06 E06: the 'Missed Tools 3 of 24' figure was absent from the readable v1 and v2 was unreadable.</t>
        </is>
      </c>
      <c r="U39" s="6" t="inlineStr">
        <is>
          <t>The figure is present in the stored text and in the v2 text read by the steward; the table prints a percentage, so '3 of 24' is derived.</t>
        </is>
      </c>
      <c r="V39" s="6" t="inlineStr">
        <is>
          <t>Closed: figure located (percentage printed; count derived).</t>
        </is>
      </c>
      <c r="W39" s="6" t="inlineStr"/>
      <c r="X39" s="6" t="inlineStr"/>
      <c r="Y39" s="6" t="inlineStr"/>
      <c r="Z39" s="6" t="inlineStr"/>
      <c r="AA39" s="6" t="inlineStr"/>
      <c r="AB39" s="6" t="inlineStr">
        <is>
          <t>SOURCE+AUTHOR</t>
        </is>
      </c>
      <c r="AC39" s="6" t="inlineStr">
        <is>
          <t>n/a (sub-item)</t>
        </is>
      </c>
      <c r="AD39" s="6" t="inlineStr">
        <is>
          <t>CLOSED (baseline)</t>
        </is>
      </c>
      <c r="AE39" s="6" t="inlineStr">
        <is>
          <t>2026-10-19</t>
        </is>
      </c>
      <c r="AF39" s="6" t="inlineStr">
        <is>
          <t>Stored s4-themcpcompany-2510-19286-20261013 lines 1139-1156 and lit file arxiv-2510.19286.txt: GPT-4.1 failure analysis, 24 tasks in total, 'Missed Tools 12.5' (12.5% of 24 = 3 tasks, my arithmetic)</t>
        </is>
      </c>
      <c r="AG39" s="6" t="inlineStr"/>
      <c r="AH39" s="6" t="inlineStr">
        <is>
          <t>Web use needs scope</t>
        </is>
      </c>
      <c r="AI39" s="6" t="inlineStr">
        <is>
          <t>Closed 2026-10-19 on repo evidence; count is derived from 12.5% x 24.</t>
        </is>
      </c>
      <c r="AJ39" s="6" t="inlineStr">
        <is>
          <t>SRC-11 section D1</t>
        </is>
      </c>
      <c r="AK39" s="6" t="inlineStr">
        <is>
          <t>SRC-06 E06, SUM-0005</t>
        </is>
      </c>
      <c r="AL39" s="6" t="inlineStr">
        <is>
          <t>S11</t>
        </is>
      </c>
    </row>
    <row r="40" ht="290.5" customHeight="1">
      <c r="A40" s="5" t="inlineStr">
        <is>
          <t>C-E01/E07</t>
        </is>
      </c>
      <c r="B40" s="6" t="inlineStr">
        <is>
          <t>Scaffolding paper body unavailable; token/schema figures unverified</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86</v>
      </c>
      <c r="L40" s="6" t="inlineStr">
        <is>
          <t>W2 Desk work (no model runs)</t>
        </is>
      </c>
      <c r="M40" s="6" t="inlineStr">
        <is>
          <t>S11</t>
        </is>
      </c>
      <c r="N40" s="6" t="inlineStr">
        <is>
          <t>Lead + steward</t>
        </is>
      </c>
      <c r="O40" s="6" t="inlineStr">
        <is>
          <t>Closed; moved to Archive</t>
        </is>
      </c>
      <c r="P40" s="6" t="inlineStr">
        <is>
          <t>Yes - stored text, unread</t>
        </is>
      </c>
      <c r="Q40" s="6" t="inlineStr">
        <is>
          <t>Source check</t>
        </is>
      </c>
      <c r="R40" s="6" t="inlineStr">
        <is>
          <t>Sub-item</t>
        </is>
      </c>
      <c r="S40" s="6" t="inlineStr">
        <is>
          <t>C-E01</t>
        </is>
      </c>
      <c r="T40" s="6" t="inlineStr">
        <is>
          <t>SRC-06 E07: the scaffolding paper body was unavailable to the prior audit; cited token and schema figures are unverified.</t>
        </is>
      </c>
      <c r="U40"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40" s="6" t="inlineStr">
        <is>
          <t>Figures located in the stored text, or marked unverifiable.</t>
        </is>
      </c>
      <c r="W40" s="6" t="inlineStr"/>
      <c r="X40" s="6" t="inlineStr"/>
      <c r="Y40" s="6" t="inlineStr"/>
      <c r="Z40" s="6" t="inlineStr"/>
      <c r="AA40" s="6" t="inlineStr"/>
      <c r="AB40" s="6" t="inlineStr">
        <is>
          <t>SOURCE</t>
        </is>
      </c>
      <c r="AC40" s="6" t="inlineStr">
        <is>
          <t>n/a (sub-item)</t>
        </is>
      </c>
      <c r="AD40" s="6" t="inlineStr">
        <is>
          <t>NEW (SRC-11 sub-row)</t>
        </is>
      </c>
      <c r="AE40" s="6" t="inlineStr">
        <is>
          <t>2026-10-19</t>
        </is>
      </c>
      <c r="AF40" s="6" t="inlineStr">
        <is>
          <t>FND-0014 (findings/SUM-0016); FND-0011 (findings/SUM-0013); EXT-0114, EXT-0122, EXT-0126, EXT-0129, EXT-0149, EXT-0154, EXT-0164</t>
        </is>
      </c>
      <c r="AG40" s="6" t="inlineStr"/>
      <c r="AH40" s="6" t="inlineStr">
        <is>
          <t>No (AUTH-016 covers web fetches for this item)</t>
        </is>
      </c>
      <c r="AI40" s="6" t="inlineStr">
        <is>
          <t>Closed 2026-10-19 under the row's closure rule (figures located in the stored text with conditions). The prose/table mismatch is carried as its own row.</t>
        </is>
      </c>
      <c r="AJ40" s="6" t="inlineStr">
        <is>
          <t>SRC-11 section D1</t>
        </is>
      </c>
      <c r="AK40" s="6" t="inlineStr">
        <is>
          <t>SRC-06 E07</t>
        </is>
      </c>
      <c r="AL40" s="6" t="inlineStr">
        <is>
          <t>S11</t>
        </is>
      </c>
    </row>
    <row r="41" ht="300" customHeight="1">
      <c r="A41" s="5" t="inlineStr">
        <is>
          <t>C-E01/E07-TAB4</t>
        </is>
      </c>
      <c r="B41" s="6" t="inlineStr">
        <is>
          <t>Scaffolding paper Table 4: the prose ('twice the tokens', 'half as much again') does not match the printed table</t>
        </is>
      </c>
      <c r="C41" s="6" t="inlineStr">
        <is>
          <t>CLOSED - BY EVIDENCE</t>
        </is>
      </c>
      <c r="D41" s="6" t="inlineStr">
        <is>
          <t>No</t>
        </is>
      </c>
      <c r="E41" s="6" t="inlineStr"/>
      <c r="F41" s="6" t="inlineStr"/>
      <c r="G41" s="14" t="inlineStr">
        <is>
          <t>SOURCE-REREAD</t>
        </is>
      </c>
      <c r="H41" s="6" t="inlineStr">
        <is>
          <t>K14 Source &amp; vendor verification</t>
        </is>
      </c>
      <c r="I41" s="6" t="inlineStr">
        <is>
          <t>G4 Before claims</t>
        </is>
      </c>
      <c r="J41" s="6" t="inlineStr">
        <is>
          <t>Normal</t>
        </is>
      </c>
      <c r="K41" s="6" t="n">
        <v>87</v>
      </c>
      <c r="L41" s="6" t="inlineStr">
        <is>
          <t>W2 Desk work (no model runs)</t>
        </is>
      </c>
      <c r="M41" s="6" t="inlineStr">
        <is>
          <t>S11</t>
        </is>
      </c>
      <c r="N41" s="6" t="inlineStr">
        <is>
          <t>Lead + steward (authors if the PDF does not resolve it)</t>
        </is>
      </c>
      <c r="O41" s="6" t="inlineStr">
        <is>
          <t>Closed; moved to Archive</t>
        </is>
      </c>
      <c r="P41" s="6" t="inlineStr">
        <is>
          <t>Partly</t>
        </is>
      </c>
      <c r="Q41" s="6" t="inlineStr">
        <is>
          <t>Source check</t>
        </is>
      </c>
      <c r="R41" s="6" t="inlineStr">
        <is>
          <t>Sub-item</t>
        </is>
      </c>
      <c r="S41" s="6" t="inlineStr">
        <is>
          <t>C-E01/E07</t>
        </is>
      </c>
      <c r="T41"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41"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41" s="6" t="inlineStr">
        <is>
          <t>PDF page rendered or authors answer; the printed numbers or the prose corrected in any quote.</t>
        </is>
      </c>
      <c r="W41" s="6" t="inlineStr"/>
      <c r="X41" s="6" t="inlineStr"/>
      <c r="Y41" s="6" t="inlineStr"/>
      <c r="Z41" s="6" t="inlineStr">
        <is>
          <t>AUTHOR-OR-VENDOR</t>
        </is>
      </c>
      <c r="AA41" s="6" t="inlineStr"/>
      <c r="AB41" s="6" t="inlineStr">
        <is>
          <t>SOURCE+AUTHOR</t>
        </is>
      </c>
      <c r="AC41" s="6" t="inlineStr">
        <is>
          <t>n/a (sub-item)</t>
        </is>
      </c>
      <c r="AD41" s="6" t="inlineStr">
        <is>
          <t>NEW (repo sweep)</t>
        </is>
      </c>
      <c r="AE41" s="6" t="inlineStr">
        <is>
          <t>2026-10-19</t>
        </is>
      </c>
      <c r="AF41" s="6" t="inlineStr">
        <is>
          <t>FND-0014 (findings/SUM-0016); evidence/literature-20261019/pages/INDEX.md; rendered page 14; independent reading by steward 3a (thread T-20261019-101, final answer; matches the lead's reading)</t>
        </is>
      </c>
      <c r="AG41" s="6" t="inlineStr"/>
      <c r="AH41" s="6" t="inlineStr">
        <is>
          <t>No (AUTH-016 covers web fetches for this item)</t>
        </is>
      </c>
      <c r="AI41" s="6" t="inlineStr">
        <is>
          <t>Closed 2026-10-19: the mismatch is in the paper (prose vs printed table), confirmed on the page by two readers; authors' own caveat recorded.</t>
        </is>
      </c>
      <c r="AJ41" s="6" t="inlineStr">
        <is>
          <t>Batch 2c steward finding (FND-0014), verified by the lead</t>
        </is>
      </c>
      <c r="AK41" s="6" t="inlineStr"/>
      <c r="AL41" s="6" t="inlineStr">
        <is>
          <t>S11</t>
        </is>
      </c>
    </row>
    <row r="42" ht="253" customHeight="1">
      <c r="A42" s="5" t="inlineStr">
        <is>
          <t>C-E02/CACHEPAPERS</t>
        </is>
      </c>
      <c r="B42" s="6" t="inlineStr">
        <is>
          <t>Cache-aware compression and routing papers stored but unread</t>
        </is>
      </c>
      <c r="C42" s="6" t="inlineStr">
        <is>
          <t>CLOSED - BY EVIDENCE</t>
        </is>
      </c>
      <c r="D42" s="6" t="inlineStr">
        <is>
          <t>No</t>
        </is>
      </c>
      <c r="E42" s="6" t="inlineStr"/>
      <c r="F42" s="6" t="inlineStr"/>
      <c r="G42" s="14" t="inlineStr">
        <is>
          <t>SOURCE-REREAD</t>
        </is>
      </c>
      <c r="H42" s="6" t="inlineStr">
        <is>
          <t>K14 Source &amp; vendor verification</t>
        </is>
      </c>
      <c r="I42" s="6" t="inlineStr">
        <is>
          <t>G4 Before claims</t>
        </is>
      </c>
      <c r="J42" s="6" t="inlineStr">
        <is>
          <t>Normal</t>
        </is>
      </c>
      <c r="K42" s="6" t="n">
        <v>92</v>
      </c>
      <c r="L42" s="6" t="inlineStr">
        <is>
          <t>W2 Desk work (no model runs)</t>
        </is>
      </c>
      <c r="M42" s="6" t="inlineStr">
        <is>
          <t>S11</t>
        </is>
      </c>
      <c r="N42" s="6" t="inlineStr">
        <is>
          <t>Lead + fresh reviewer</t>
        </is>
      </c>
      <c r="O42" s="6" t="inlineStr">
        <is>
          <t>Closed; moved to Archive</t>
        </is>
      </c>
      <c r="P42" s="6" t="inlineStr">
        <is>
          <t>Yes - stored text, unread</t>
        </is>
      </c>
      <c r="Q42" s="6" t="inlineStr">
        <is>
          <t>Record fix</t>
        </is>
      </c>
      <c r="R42" s="6" t="inlineStr">
        <is>
          <t>Sub-item</t>
        </is>
      </c>
      <c r="S42" s="6" t="inlineStr">
        <is>
          <t>C-E02</t>
        </is>
      </c>
      <c r="T42" s="6" t="inlineStr">
        <is>
          <t>v4-04 section 7: the cache-aware compression and routing papers (stored s4-cacheaware-compress-2607-15516, s4-cacherouter-2608-22708) are unread (CacheRouter's numbers were taken from SUM-0007).</t>
        </is>
      </c>
      <c r="U42"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42" s="6" t="inlineStr">
        <is>
          <t>Read for what they say about tool-definition caching.</t>
        </is>
      </c>
      <c r="W42" s="6" t="inlineStr"/>
      <c r="X42" s="6" t="inlineStr"/>
      <c r="Y42" s="6" t="inlineStr"/>
      <c r="Z42" s="6" t="inlineStr"/>
      <c r="AA42" s="6" t="inlineStr"/>
      <c r="AB42" s="6" t="inlineStr">
        <is>
          <t>RECORD+SOURCE</t>
        </is>
      </c>
      <c r="AC42" s="6" t="inlineStr">
        <is>
          <t>n/a (sub-item)</t>
        </is>
      </c>
      <c r="AD42" s="6" t="inlineStr">
        <is>
          <t>NEW (repo sweep)</t>
        </is>
      </c>
      <c r="AE42" s="6" t="inlineStr">
        <is>
          <t>2026-10-19</t>
        </is>
      </c>
      <c r="AF42" s="6" t="inlineStr">
        <is>
          <t>FND-0015 (findings/SUM-0017); EXT-0169, EXT-0171, EXT-0174, EXT-0176</t>
        </is>
      </c>
      <c r="AG42" s="6" t="inlineStr"/>
      <c r="AH42" s="6" t="inlineStr">
        <is>
          <t>No (AUTH-016 covers web fetches for this item)</t>
        </is>
      </c>
      <c r="AI42" s="6" t="inlineStr">
        <is>
          <t>Closed 2026-10-19 (read for what they say about tool-definition caching). Related evidence added to C-S02 and C-S03; neither paper is an independent billed measurement of appended definitions.</t>
        </is>
      </c>
      <c r="AJ42" s="6" t="inlineStr">
        <is>
          <t>repo: v4-03 section 6 / RV-0005 / RV-0007</t>
        </is>
      </c>
      <c r="AK42" s="6" t="inlineStr"/>
      <c r="AL42" s="6" t="inlineStr">
        <is>
          <t>S11</t>
        </is>
      </c>
    </row>
    <row r="43" ht="115.5" customHeight="1">
      <c r="A43" s="5" t="inlineStr">
        <is>
          <t>C-E02/E20</t>
        </is>
      </c>
      <c r="B43" s="6" t="inlineStr">
        <is>
          <t>BFCL ICML 2025 paper read only as a snippet</t>
        </is>
      </c>
      <c r="C43" s="6" t="inlineStr">
        <is>
          <t>CLOSED - BY EVIDENCE</t>
        </is>
      </c>
      <c r="D43" s="6" t="inlineStr">
        <is>
          <t>No</t>
        </is>
      </c>
      <c r="E43" s="6" t="inlineStr"/>
      <c r="F43" s="6" t="inlineStr"/>
      <c r="G43" s="14" t="inlineStr">
        <is>
          <t>SOURCE-REREAD</t>
        </is>
      </c>
      <c r="H43" s="6" t="inlineStr">
        <is>
          <t>K14 Source &amp; vendor verification</t>
        </is>
      </c>
      <c r="I43" s="6" t="inlineStr">
        <is>
          <t>G4 Before claims</t>
        </is>
      </c>
      <c r="J43" s="6" t="inlineStr">
        <is>
          <t>Normal</t>
        </is>
      </c>
      <c r="K43" s="6" t="n">
        <v>93</v>
      </c>
      <c r="L43" s="6" t="inlineStr">
        <is>
          <t>W2 Desk work (no model runs)</t>
        </is>
      </c>
      <c r="M43" s="6" t="inlineStr">
        <is>
          <t>S11</t>
        </is>
      </c>
      <c r="N43" s="6" t="inlineStr">
        <is>
          <t>Lead + steward</t>
        </is>
      </c>
      <c r="O43" s="6" t="inlineStr">
        <is>
          <t>Closed; moved to Archive</t>
        </is>
      </c>
      <c r="P43" s="6" t="inlineStr">
        <is>
          <t>Yes - stored text, unread</t>
        </is>
      </c>
      <c r="Q43" s="6" t="inlineStr">
        <is>
          <t>Source check</t>
        </is>
      </c>
      <c r="R43" s="6" t="inlineStr">
        <is>
          <t>Sub-item</t>
        </is>
      </c>
      <c r="S43" s="6" t="inlineStr">
        <is>
          <t>C-E02</t>
        </is>
      </c>
      <c r="T43" s="6" t="inlineStr">
        <is>
          <t>SRC-06 E20: the BFCL ICML 2025 paper was seen only as a search snippet.</t>
        </is>
      </c>
      <c r="U43"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43" s="6" t="inlineStr">
        <is>
          <t>Original read; claims it affects revised or marked unverified.</t>
        </is>
      </c>
      <c r="W43" s="6" t="inlineStr"/>
      <c r="X43" s="6" t="inlineStr"/>
      <c r="Y43" s="6" t="inlineStr"/>
      <c r="Z43" s="6" t="inlineStr"/>
      <c r="AA43" s="6" t="inlineStr"/>
      <c r="AB43" s="6" t="inlineStr">
        <is>
          <t>SOURCE+ACCESS</t>
        </is>
      </c>
      <c r="AC43" s="6" t="inlineStr">
        <is>
          <t>n/a (sub-item)</t>
        </is>
      </c>
      <c r="AD43" s="6" t="inlineStr">
        <is>
          <t>NEW (SRC-11 sub-row)</t>
        </is>
      </c>
      <c r="AE43" s="6" t="inlineStr">
        <is>
          <t>2026-10-19</t>
        </is>
      </c>
      <c r="AF43" s="6" t="inlineStr">
        <is>
          <t>FND-0009 (findings/SUM-0011); EXT-0116, EXT-0146, EXT-0147; evidence/sources.json r3-bfcl</t>
        </is>
      </c>
      <c r="AG43" s="6" t="inlineStr"/>
      <c r="AH43" s="6" t="inlineStr">
        <is>
          <t>No (AUTH-016 covers web fetches for this item)</t>
        </is>
      </c>
      <c r="AI43" s="6" t="inlineStr">
        <is>
          <t>Closed 2026-10-19: the access gap (paper seen only as a snippet) is closed by the stored text; claims that rely on specific passages are checked as they are used.</t>
        </is>
      </c>
      <c r="AJ43" s="6" t="inlineStr">
        <is>
          <t>SRC-11 section D2</t>
        </is>
      </c>
      <c r="AK43" s="6" t="inlineStr">
        <is>
          <t>SRC-06 E20</t>
        </is>
      </c>
      <c r="AL43" s="6" t="inlineStr">
        <is>
          <t>S11</t>
        </is>
      </c>
    </row>
    <row r="44" ht="300" customHeight="1">
      <c r="A44" s="5" t="inlineStr">
        <is>
          <t>C-E02/E27</t>
        </is>
      </c>
      <c r="B44" s="6" t="inlineStr">
        <is>
          <t>TheMCPCompany v2, scaffolding paper, ACL paper PDFs unreadable in prior tools</t>
        </is>
      </c>
      <c r="C44" s="6" t="inlineStr">
        <is>
          <t>CLOSED - BY EVIDENCE</t>
        </is>
      </c>
      <c r="D44" s="6" t="inlineStr">
        <is>
          <t>No</t>
        </is>
      </c>
      <c r="E44" s="6" t="inlineStr"/>
      <c r="F44" s="6" t="inlineStr"/>
      <c r="G44" s="14" t="inlineStr">
        <is>
          <t>SOURCE-REREAD</t>
        </is>
      </c>
      <c r="H44" s="6" t="inlineStr">
        <is>
          <t>K14 Source &amp; vendor verification</t>
        </is>
      </c>
      <c r="I44" s="6" t="inlineStr">
        <is>
          <t>G4 Before claims</t>
        </is>
      </c>
      <c r="J44" s="6" t="inlineStr">
        <is>
          <t>Normal</t>
        </is>
      </c>
      <c r="K44" s="6" t="n">
        <v>100</v>
      </c>
      <c r="L44" s="6" t="inlineStr">
        <is>
          <t>W2 Desk work (no model runs)</t>
        </is>
      </c>
      <c r="M44" s="6" t="inlineStr">
        <is>
          <t>S11</t>
        </is>
      </c>
      <c r="N44" s="6" t="inlineStr">
        <is>
          <t>Lead + steward</t>
        </is>
      </c>
      <c r="O44" s="6" t="inlineStr">
        <is>
          <t>Closed; moved to Archive</t>
        </is>
      </c>
      <c r="P44" s="6" t="inlineStr">
        <is>
          <t>Yes - stored text, unread</t>
        </is>
      </c>
      <c r="Q44" s="6" t="inlineStr">
        <is>
          <t>Source check</t>
        </is>
      </c>
      <c r="R44" s="6" t="inlineStr">
        <is>
          <t>Sub-item</t>
        </is>
      </c>
      <c r="S44" s="6" t="inlineStr">
        <is>
          <t>C-E02</t>
        </is>
      </c>
      <c r="T44" s="6" t="inlineStr">
        <is>
          <t>SRC-06 E27: TheMCPCompany v2, the scaffolding paper and the ACL paper PDFs were unreadable in prior tools.</t>
        </is>
      </c>
      <c r="U44"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44" s="6" t="inlineStr">
        <is>
          <t>Closed 2026-10-19: criterion 'original read; claims it affects revised or marked unverified' met; no live document quotes the unread appendix.</t>
        </is>
      </c>
      <c r="W44" s="6" t="inlineStr"/>
      <c r="X44" s="6" t="inlineStr"/>
      <c r="Y44" s="6" t="inlineStr"/>
      <c r="Z44" s="6" t="inlineStr"/>
      <c r="AA44" s="6" t="inlineStr"/>
      <c r="AB44" s="6" t="inlineStr">
        <is>
          <t>SOURCE+ACCESS</t>
        </is>
      </c>
      <c r="AC44" s="6" t="inlineStr">
        <is>
          <t>n/a (sub-item)</t>
        </is>
      </c>
      <c r="AD44" s="6" t="inlineStr">
        <is>
          <t>NEW (SRC-11 sub-row)</t>
        </is>
      </c>
      <c r="AE44" s="6" t="inlineStr">
        <is>
          <t>2026-10-19</t>
        </is>
      </c>
      <c r="AF44" s="6" t="inlineStr">
        <is>
          <t>FND-0025 (findings/SUM-0027); EXT-0205, EXT-0206, EXT-0207, EXT-0208; FND-0014 (findings/SUM-0016)</t>
        </is>
      </c>
      <c r="AG44" s="6" t="inlineStr"/>
      <c r="AH44" s="6" t="inlineStr">
        <is>
          <t>No (AUTH-016 covers web fetches for this item)</t>
        </is>
      </c>
      <c r="AI44" s="6" t="inlineStr">
        <is>
          <t>Closed 2026-10-19: the scaffolding paper's delivery sections are read; its on-demand result is a confounded gateway comparison, not a search result.</t>
        </is>
      </c>
      <c r="AJ44" s="6" t="inlineStr">
        <is>
          <t>SRC-11 section D2</t>
        </is>
      </c>
      <c r="AK44" s="6" t="inlineStr">
        <is>
          <t>SRC-06 E27</t>
        </is>
      </c>
      <c r="AL44" s="6" t="inlineStr">
        <is>
          <t>S11</t>
        </is>
      </c>
    </row>
    <row r="45" ht="300" customHeight="1">
      <c r="A45" s="5" t="inlineStr">
        <is>
          <t>C-E02/E28</t>
        </is>
      </c>
      <c r="B45" s="6" t="inlineStr">
        <is>
          <t>Earlier MCP-Zero versions, MSR 16-tool assertion, tool_removal primitive not verified</t>
        </is>
      </c>
      <c r="C45" s="6" t="inlineStr">
        <is>
          <t>CLOSED - BY EVIDENCE</t>
        </is>
      </c>
      <c r="D45" s="6" t="inlineStr">
        <is>
          <t>No</t>
        </is>
      </c>
      <c r="E45" s="6" t="inlineStr"/>
      <c r="F45" s="6" t="inlineStr"/>
      <c r="G45" s="14" t="inlineStr">
        <is>
          <t>SOURCE-REREAD</t>
        </is>
      </c>
      <c r="H45" s="6" t="inlineStr">
        <is>
          <t>K14 Source &amp; vendor verification</t>
        </is>
      </c>
      <c r="I45" s="6" t="inlineStr">
        <is>
          <t>G4 Before claims</t>
        </is>
      </c>
      <c r="J45" s="6" t="inlineStr">
        <is>
          <t>Normal</t>
        </is>
      </c>
      <c r="K45" s="6" t="n">
        <v>101</v>
      </c>
      <c r="L45" s="6" t="inlineStr">
        <is>
          <t>W2 Desk work (no model runs)</t>
        </is>
      </c>
      <c r="M45" s="6" t="inlineStr">
        <is>
          <t>S11</t>
        </is>
      </c>
      <c r="N45" s="6" t="inlineStr">
        <is>
          <t>Lead + steward</t>
        </is>
      </c>
      <c r="O45" s="6" t="inlineStr">
        <is>
          <t>Closed; moved to Archive</t>
        </is>
      </c>
      <c r="P45" s="6" t="inlineStr">
        <is>
          <t>Partly</t>
        </is>
      </c>
      <c r="Q45" s="6" t="inlineStr">
        <is>
          <t>Source check</t>
        </is>
      </c>
      <c r="R45" s="6" t="inlineStr">
        <is>
          <t>Sub-item</t>
        </is>
      </c>
      <c r="S45" s="6" t="inlineStr">
        <is>
          <t>C-E02</t>
        </is>
      </c>
      <c r="T45" s="6" t="inlineStr">
        <is>
          <t>SRC-06 E28: earlier MCP-Zero versions, the MSR 16-tool/window assertion and the tool_removal primitive were not verified.</t>
        </is>
      </c>
      <c r="U45"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45" s="6" t="inlineStr">
        <is>
          <t>Closed 2026-10-19: criterion 'original read; claims it affects revised or marked unverified' met: v4 05 quotes only the APIBank numbers, which hold in every version.</t>
        </is>
      </c>
      <c r="W45" s="6" t="inlineStr"/>
      <c r="X45" s="6" t="inlineStr"/>
      <c r="Y45" s="6" t="inlineStr"/>
      <c r="Z45" s="6" t="inlineStr"/>
      <c r="AA45" s="6" t="inlineStr"/>
      <c r="AB45" s="6" t="inlineStr">
        <is>
          <t>SOURCE+ACCESS</t>
        </is>
      </c>
      <c r="AC45" s="6" t="inlineStr">
        <is>
          <t>n/a (sub-item)</t>
        </is>
      </c>
      <c r="AD45" s="6" t="inlineStr">
        <is>
          <t>NEW (SRC-11 sub-row)</t>
        </is>
      </c>
      <c r="AE45" s="6" t="inlineStr">
        <is>
          <t>2026-10-19</t>
        </is>
      </c>
      <c r="AF45" s="6" t="inlineStr">
        <is>
          <t>FND-0024 (findings/SUM-0026); EXT-0211; evidence/literature-20261019/pages/INDEX.md (page images with SHA-256; raw PDF hashes match the manifest); evidence/literature-20261019/pdf-mcpzero-2506.01056v1.txt; pdf-mcpzero-2506.01056-latest.txt</t>
        </is>
      </c>
      <c r="AG45" s="6" t="inlineStr"/>
      <c r="AH45" s="6" t="inlineStr">
        <is>
          <t>No (AUTH-016 covers web fetches for this item)</t>
        </is>
      </c>
      <c r="AI45" s="6" t="inlineStr">
        <is>
          <t>Closed 2026-10-19: earlier version read and compared (numbers identical); the MSR / tool_removal assertions are not found in v1 or latest and no live document uses them.</t>
        </is>
      </c>
      <c r="AJ45" s="6" t="inlineStr">
        <is>
          <t>SRC-11 section D2</t>
        </is>
      </c>
      <c r="AK45" s="6" t="inlineStr">
        <is>
          <t>SRC-06 E28</t>
        </is>
      </c>
      <c r="AL45" s="6" t="inlineStr">
        <is>
          <t>S11</t>
        </is>
      </c>
    </row>
    <row r="46" ht="300" customHeight="1">
      <c r="A46" s="5" t="inlineStr">
        <is>
          <t>C-E02/E29</t>
        </is>
      </c>
      <c r="B46" s="6" t="inlineStr">
        <is>
          <t>Tables/figures garbled for ToolRet, Re-Invoke, ComplexMCP, Shi, ToolTweak, MCP-SafetyBench, LiveMCPBench, Token Reduction</t>
        </is>
      </c>
      <c r="C46" s="6" t="inlineStr">
        <is>
          <t>CLOSED - BY EVIDENCE</t>
        </is>
      </c>
      <c r="D46" s="6" t="inlineStr">
        <is>
          <t>No</t>
        </is>
      </c>
      <c r="E46" s="6" t="inlineStr"/>
      <c r="F46" s="6" t="inlineStr"/>
      <c r="G46" s="14" t="inlineStr">
        <is>
          <t>SOURCE-REREAD</t>
        </is>
      </c>
      <c r="H46" s="6" t="inlineStr">
        <is>
          <t>K14 Source &amp; vendor verification</t>
        </is>
      </c>
      <c r="I46" s="6" t="inlineStr">
        <is>
          <t>G4 Before claims</t>
        </is>
      </c>
      <c r="J46" s="6" t="inlineStr">
        <is>
          <t>Normal</t>
        </is>
      </c>
      <c r="K46" s="6" t="n">
        <v>102</v>
      </c>
      <c r="L46" s="6" t="inlineStr">
        <is>
          <t>W2 Desk work (no model runs)</t>
        </is>
      </c>
      <c r="M46" s="6" t="inlineStr">
        <is>
          <t>S11</t>
        </is>
      </c>
      <c r="N46" s="6" t="inlineStr">
        <is>
          <t>Lead + steward</t>
        </is>
      </c>
      <c r="O46" s="6" t="inlineStr">
        <is>
          <t>Closed; moved to Archive</t>
        </is>
      </c>
      <c r="P46" s="6" t="inlineStr">
        <is>
          <t>Partly</t>
        </is>
      </c>
      <c r="Q46" s="6" t="inlineStr">
        <is>
          <t>Source check</t>
        </is>
      </c>
      <c r="R46" s="6" t="inlineStr">
        <is>
          <t>Sub-item</t>
        </is>
      </c>
      <c r="S46" s="6" t="inlineStr">
        <is>
          <t>C-E02</t>
        </is>
      </c>
      <c r="T46" s="6" t="inlineStr">
        <is>
          <t>SRC-06 E29: tables/figures of ToolRet, Re-Invoke, ComplexMCP, Shi, ToolTweak, MCP-SafetyBench, LiveMCPBench and Token Reduction were garbled; only MCPVerse was rendered visually.</t>
        </is>
      </c>
      <c r="U46"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46" s="6" t="inlineStr">
        <is>
          <t>Closed 2026-10-19: the papers whose tables v4 quotes were read on rendered pages; the remaining papers in the original list are cited in no live document and are carried by C-E02/E29-OTHERS (DEFERRED).</t>
        </is>
      </c>
      <c r="W46" s="6" t="inlineStr"/>
      <c r="X46" s="6" t="inlineStr"/>
      <c r="Y46" s="6" t="inlineStr">
        <is>
          <t>Q-U22</t>
        </is>
      </c>
      <c r="Z46" s="6" t="inlineStr"/>
      <c r="AA46" s="6" t="inlineStr"/>
      <c r="AB46" s="6" t="inlineStr">
        <is>
          <t>SOURCE+ACCESS</t>
        </is>
      </c>
      <c r="AC46" s="6" t="inlineStr">
        <is>
          <t>n/a (sub-item)</t>
        </is>
      </c>
      <c r="AD46" s="6" t="inlineStr">
        <is>
          <t>NEW (SRC-11 sub-row)</t>
        </is>
      </c>
      <c r="AE46" s="6" t="inlineStr">
        <is>
          <t>2026-10-19</t>
        </is>
      </c>
      <c r="AF46" s="6" t="inlineStr">
        <is>
          <t>FND-0024 (findings/SUM-0026); EXT-0211; evidence/literature-20261019/pages/INDEX.md (page images with SHA-256; raw PDF hashes match the manifest)</t>
        </is>
      </c>
      <c r="AG46" s="6" t="inlineStr"/>
      <c r="AH46" s="6" t="inlineStr">
        <is>
          <t>No (AUTH-016 covers web fetches for this item)</t>
        </is>
      </c>
      <c r="AI46" s="6" t="inlineStr">
        <is>
          <t>Closed 2026-10-19: the garbled tables behind the brief's ComplexMCP, LiveMCPBench and token-reduction figures were read on page images and the numbers hold; wording corrections (pooled 50.00%; 'full context' implied) are in N-17/WORDING.</t>
        </is>
      </c>
      <c r="AJ46" s="6" t="inlineStr">
        <is>
          <t>SRC-11 section D2</t>
        </is>
      </c>
      <c r="AK46" s="6" t="inlineStr">
        <is>
          <t>SRC-06 E29</t>
        </is>
      </c>
      <c r="AL46" s="6" t="inlineStr">
        <is>
          <t>S11</t>
        </is>
      </c>
    </row>
    <row r="47" ht="178" customHeight="1">
      <c r="A47" s="5" t="inlineStr">
        <is>
          <t>C-S08/BFCLDEF</t>
        </is>
      </c>
      <c r="B47" s="6" t="inlineStr">
        <is>
          <t>BFCL irrelevance/relevance definitions rest on background knowledge</t>
        </is>
      </c>
      <c r="C47" s="6" t="inlineStr">
        <is>
          <t>CLOSED - BY EVIDENCE</t>
        </is>
      </c>
      <c r="D47" s="6" t="inlineStr">
        <is>
          <t>No</t>
        </is>
      </c>
      <c r="E47" s="6" t="inlineStr"/>
      <c r="F47" s="6" t="inlineStr"/>
      <c r="G47" s="14" t="inlineStr">
        <is>
          <t>SOURCE-REREAD</t>
        </is>
      </c>
      <c r="H47" s="6" t="inlineStr">
        <is>
          <t>K8 Search initiation &amp; recovery</t>
        </is>
      </c>
      <c r="I47" s="6" t="inlineStr">
        <is>
          <t>G3 Before confirmatory study</t>
        </is>
      </c>
      <c r="J47" s="6" t="inlineStr">
        <is>
          <t>Normal</t>
        </is>
      </c>
      <c r="K47" s="6" t="n">
        <v>110</v>
      </c>
      <c r="L47" s="6" t="inlineStr">
        <is>
          <t>W2 Desk work (no model runs)</t>
        </is>
      </c>
      <c r="M47" s="6" t="inlineStr">
        <is>
          <t>S11</t>
        </is>
      </c>
      <c r="N47" s="6" t="inlineStr">
        <is>
          <t>Team</t>
        </is>
      </c>
      <c r="O47" s="6" t="inlineStr">
        <is>
          <t>Closed; moved to Archive</t>
        </is>
      </c>
      <c r="P47" s="6" t="inlineStr">
        <is>
          <t>Yes - stored text, unread</t>
        </is>
      </c>
      <c r="Q47" s="6" t="inlineStr">
        <is>
          <t>Source check</t>
        </is>
      </c>
      <c r="R47" s="6" t="inlineStr">
        <is>
          <t>Sub-item</t>
        </is>
      </c>
      <c r="S47" s="6" t="inlineStr">
        <is>
          <t>C-S08</t>
        </is>
      </c>
      <c r="T47" s="6" t="inlineStr">
        <is>
          <t>v4-05 Round 5b states the definitions of irrelevance and relevance detection from the lead's background knowledge [S], not evidence; the leaderboard CSV has no column definitions.</t>
        </is>
      </c>
      <c r="U47"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47" s="6" t="inlineStr">
        <is>
          <t>Definitions quoted from the BFCL paper.</t>
        </is>
      </c>
      <c r="W47" s="6" t="inlineStr"/>
      <c r="X47" s="6" t="inlineStr"/>
      <c r="Y47" s="6" t="inlineStr"/>
      <c r="Z47" s="6" t="inlineStr"/>
      <c r="AA47" s="6" t="inlineStr"/>
      <c r="AB47" s="6" t="inlineStr">
        <is>
          <t>SOURCE</t>
        </is>
      </c>
      <c r="AC47" s="6" t="inlineStr">
        <is>
          <t>n/a (sub-item)</t>
        </is>
      </c>
      <c r="AD47" s="6" t="inlineStr">
        <is>
          <t>NEW (SRC-11 sub-row)</t>
        </is>
      </c>
      <c r="AE47" s="6" t="inlineStr">
        <is>
          <t>2026-10-19</t>
        </is>
      </c>
      <c r="AF47" s="6" t="inlineStr">
        <is>
          <t>FND-0009 (findings/SUM-0011); EXT-0117, EXT-0119, EXT-0121 (lead re-read EXT-0119 and EXT-0121)</t>
        </is>
      </c>
      <c r="AG47" s="6" t="inlineStr"/>
      <c r="AH47" s="6" t="inlineStr">
        <is>
          <t>Yes</t>
        </is>
      </c>
      <c r="AI47" s="6" t="inlineStr">
        <is>
          <t>Closed 2026-10-19 on the paper's own definitions. Correction to v4-05 recorded here; v4-05 text is unchanged (AUTH-016 rule).</t>
        </is>
      </c>
      <c r="AJ47" s="6" t="inlineStr">
        <is>
          <t>repo: v4-05 sections 1B, 3, 4; reviews RV-0006/0007</t>
        </is>
      </c>
      <c r="AK47" s="6" t="inlineStr"/>
      <c r="AL47" s="6" t="inlineStr">
        <is>
          <t>S11</t>
        </is>
      </c>
    </row>
    <row r="48" ht="140.5" customHeight="1">
      <c r="A48" s="5" t="inlineStr">
        <is>
          <t>N-24</t>
        </is>
      </c>
      <c r="B48" s="6" t="inlineStr">
        <is>
          <t>Stored sources with no usable text: r2-llmlingua, r4-vscode-chat-tools, s4b-wc-jshook-searcharch</t>
        </is>
      </c>
      <c r="C48" s="6" t="inlineStr">
        <is>
          <t>CLOSED - BY EVIDENCE</t>
        </is>
      </c>
      <c r="D48" s="6" t="inlineStr">
        <is>
          <t>No</t>
        </is>
      </c>
      <c r="E48" s="6" t="inlineStr"/>
      <c r="F48" s="6" t="inlineStr"/>
      <c r="G48" s="14" t="inlineStr">
        <is>
          <t>SOURCE-REREAD</t>
        </is>
      </c>
      <c r="H48" s="6" t="inlineStr">
        <is>
          <t>K14 Source &amp; vendor verification</t>
        </is>
      </c>
      <c r="I48" s="6" t="inlineStr">
        <is>
          <t>G5 Housekeeping / no block</t>
        </is>
      </c>
      <c r="J48" s="6" t="inlineStr">
        <is>
          <t>Low</t>
        </is>
      </c>
      <c r="K48" s="6" t="n">
        <v>112</v>
      </c>
      <c r="L48" s="6" t="inlineStr">
        <is>
          <t>W2 Desk work (no model runs)</t>
        </is>
      </c>
      <c r="M48" s="6" t="inlineStr">
        <is>
          <t>S11</t>
        </is>
      </c>
      <c r="N48" s="6" t="inlineStr">
        <is>
          <t>Lead</t>
        </is>
      </c>
      <c r="O48" s="6" t="inlineStr">
        <is>
          <t>Closed; moved to Archive</t>
        </is>
      </c>
      <c r="P48" s="6" t="inlineStr">
        <is>
          <t>Answered (see basis)</t>
        </is>
      </c>
      <c r="Q48" s="6" t="inlineStr">
        <is>
          <t>Record fix</t>
        </is>
      </c>
      <c r="R48" s="6" t="inlineStr">
        <is>
          <t>Item</t>
        </is>
      </c>
      <c r="S48" s="6" t="inlineStr"/>
      <c r="T48" s="6" t="inlineStr">
        <is>
          <t>evidence/sources.json: 6 manifests lack stored text; three have retry duplicates (r2-toolgen, r4-speakeasy-dynamic-toolsets, r4-speakeasy...2), test-blocked-eht-blog is a test artefact; r2-llmlingua, r4-vscode-chat-tools and s4b-wc-jshook-searcharch have no stored text.</t>
        </is>
      </c>
      <c r="U48"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48" s="6" t="inlineStr">
        <is>
          <t>Refetched, or recorded as not stored and not relied on.</t>
        </is>
      </c>
      <c r="W48" s="6" t="inlineStr"/>
      <c r="X48" s="6" t="inlineStr"/>
      <c r="Y48" s="6" t="inlineStr"/>
      <c r="Z48" s="6" t="inlineStr"/>
      <c r="AA48" s="6" t="inlineStr"/>
      <c r="AB48" s="6" t="inlineStr">
        <is>
          <t>SOURCE+ACCESS</t>
        </is>
      </c>
      <c r="AC48" s="6" t="inlineStr">
        <is>
          <t>n/a (new)</t>
        </is>
      </c>
      <c r="AD48" s="6" t="inlineStr">
        <is>
          <t>NEW (repo sweep)</t>
        </is>
      </c>
      <c r="AE48" s="6" t="inlineStr">
        <is>
          <t>2026-10-19</t>
        </is>
      </c>
      <c r="AF48" s="6" t="inlineStr">
        <is>
          <t>evidence/sources.json has_text flags (lead check 2026-10-19); repo-wide grep</t>
        </is>
      </c>
      <c r="AG48" s="6" t="inlineStr">
        <is>
          <t>If a design record starts to cite one of the six</t>
        </is>
      </c>
      <c r="AH48" s="6" t="inlineStr">
        <is>
          <t>No (AUTH-016 covers web fetches for this item)</t>
        </is>
      </c>
      <c r="AI48" s="6" t="inlineStr">
        <is>
          <t>Closed 2026-10-19: none is relied on; nothing to refetch.</t>
        </is>
      </c>
      <c r="AJ48" s="6" t="inlineStr">
        <is>
          <t>repo sweep (sources.json)</t>
        </is>
      </c>
      <c r="AK48" s="6" t="inlineStr"/>
      <c r="AL48" s="6" t="inlineStr">
        <is>
          <t>S11</t>
        </is>
      </c>
    </row>
    <row r="49" ht="300" customHeight="1">
      <c r="A49" s="5" t="inlineStr">
        <is>
          <t>C-S19/S45</t>
        </is>
      </c>
      <c r="B49" s="6" t="inlineStr">
        <is>
          <t>Other contradictions (two vs three models, appendix references); 140k/147k not v2-specific</t>
        </is>
      </c>
      <c r="C49" s="6" t="inlineStr">
        <is>
          <t>CLOSED - BY EVIDENCE</t>
        </is>
      </c>
      <c r="D49" s="6" t="inlineStr">
        <is>
          <t>No</t>
        </is>
      </c>
      <c r="E49" s="6" t="inlineStr"/>
      <c r="F49" s="6" t="inlineStr"/>
      <c r="G49" s="16" t="inlineStr">
        <is>
          <t>AUTHOR-OR-VENDOR</t>
        </is>
      </c>
      <c r="H49" s="6" t="inlineStr">
        <is>
          <t>K14 Source &amp; vendor verification</t>
        </is>
      </c>
      <c r="I49" s="6" t="inlineStr">
        <is>
          <t>G5 Housekeeping / no block</t>
        </is>
      </c>
      <c r="J49" s="6" t="inlineStr">
        <is>
          <t>Low</t>
        </is>
      </c>
      <c r="K49" s="6" t="n">
        <v>120</v>
      </c>
      <c r="L49" s="6" t="inlineStr">
        <is>
          <t>W2 Desk work (no model runs)</t>
        </is>
      </c>
      <c r="M49" s="6" t="inlineStr">
        <is>
          <t>S12</t>
        </is>
      </c>
      <c r="N49" s="6" t="inlineStr">
        <is>
          <t>Authors / team</t>
        </is>
      </c>
      <c r="O49" s="6" t="inlineStr">
        <is>
          <t>Closed; moved to Archive</t>
        </is>
      </c>
      <c r="P49" s="6" t="inlineStr">
        <is>
          <t>Partly</t>
        </is>
      </c>
      <c r="Q49" s="6" t="inlineStr">
        <is>
          <t>Source check</t>
        </is>
      </c>
      <c r="R49" s="6" t="inlineStr">
        <is>
          <t>Sub-item</t>
        </is>
      </c>
      <c r="S49" s="6" t="inlineStr">
        <is>
          <t>C-S19</t>
        </is>
      </c>
      <c r="T49" s="6" t="inlineStr">
        <is>
          <t>SRC-06 S45: the 140k/147k discrepancy is not v2-specific and one Claude row is internally consistent; other contradictions remain.</t>
        </is>
      </c>
      <c r="U49"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49" s="6" t="inlineStr">
        <is>
          <t>Closed 2026-10-19: the discrepancies were listed and checked on page images; the cause of each stays an author question.</t>
        </is>
      </c>
      <c r="W49" s="6" t="inlineStr"/>
      <c r="X49" s="6" t="inlineStr"/>
      <c r="Y49" s="6" t="inlineStr"/>
      <c r="Z49" s="6" t="inlineStr"/>
      <c r="AA49" s="6" t="inlineStr"/>
      <c r="AB49" s="6" t="inlineStr">
        <is>
          <t>SOURCE+AUTHOR</t>
        </is>
      </c>
      <c r="AC49" s="6" t="inlineStr">
        <is>
          <t>n/a (sub-item)</t>
        </is>
      </c>
      <c r="AD49" s="6" t="inlineStr">
        <is>
          <t>NEW (SRC-11 sub-row)</t>
        </is>
      </c>
      <c r="AE49" s="6" t="inlineStr">
        <is>
          <t>2026-10-19</t>
        </is>
      </c>
      <c r="AF49" s="6" t="inlineStr">
        <is>
          <t>FND-0026 (findings/SUM-0028); EXT-0203, EXT-0204; evidence/literature-20261019/pages/INDEX.md (MCPVerse v2 pages 5, 7, 9)</t>
        </is>
      </c>
      <c r="AG49" s="6" t="inlineStr"/>
      <c r="AH49" s="6" t="inlineStr">
        <is>
          <t>No</t>
        </is>
      </c>
      <c r="AI49" s="6" t="inlineStr">
        <is>
          <t>Closed 2026-10-19: the contradictions are enumerated with lines; any quotation of MCPVerse v2 must cite them. The causes are for the authors (C-S19/S40, S41).</t>
        </is>
      </c>
      <c r="AJ49" s="6" t="inlineStr">
        <is>
          <t>SRC-11 section D3</t>
        </is>
      </c>
      <c r="AK49" s="6" t="inlineStr">
        <is>
          <t>SRC-06 S45</t>
        </is>
      </c>
      <c r="AL49" s="6" t="inlineStr">
        <is>
          <t>S12</t>
        </is>
      </c>
    </row>
    <row r="50" ht="300" customHeight="1">
      <c r="A50" s="5" t="inlineStr">
        <is>
          <t>AS-01</t>
        </is>
      </c>
      <c r="B50" s="6" t="inlineStr">
        <is>
          <t>Supervisor assertion A1: Semantic search with a strong encoder always beats keyword search</t>
        </is>
      </c>
      <c r="C50" s="6" t="inlineStr">
        <is>
          <t>CLOSED - BY EVIDENCE</t>
        </is>
      </c>
      <c r="D50" s="6" t="inlineStr">
        <is>
          <t>No</t>
        </is>
      </c>
      <c r="E50" s="6" t="inlineStr"/>
      <c r="F50" s="6" t="inlineStr"/>
      <c r="G50" s="11" t="inlineStr">
        <is>
          <t>LITERATURE-DIRECTED</t>
        </is>
      </c>
      <c r="H50" s="6" t="inlineStr">
        <is>
          <t>K14 Source &amp; vendor verification</t>
        </is>
      </c>
      <c r="I50" s="6" t="inlineStr">
        <is>
          <t>G4 Before claims</t>
        </is>
      </c>
      <c r="J50" s="6" t="inlineStr">
        <is>
          <t>Normal</t>
        </is>
      </c>
      <c r="K50" s="6" t="n">
        <v>122</v>
      </c>
      <c r="L50" s="6" t="inlineStr">
        <is>
          <t>W2 Desk work (no model runs)</t>
        </is>
      </c>
      <c r="M50" s="6" t="inlineStr">
        <is>
          <t>S13</t>
        </is>
      </c>
      <c r="N50" s="6" t="inlineStr">
        <is>
          <t>Lead / team</t>
        </is>
      </c>
      <c r="O50" s="6" t="inlineStr">
        <is>
          <t>Closed; moved to Archive</t>
        </is>
      </c>
      <c r="P50" s="6" t="inlineStr">
        <is>
          <t>No</t>
        </is>
      </c>
      <c r="Q50" s="6" t="inlineStr">
        <is>
          <t>Claim to test</t>
        </is>
      </c>
      <c r="R50" s="6" t="inlineStr">
        <is>
          <t>Item</t>
        </is>
      </c>
      <c r="S50" s="6" t="inlineStr"/>
      <c r="T50" s="6" t="inlineStr">
        <is>
          <t>REQ-A1 A1: Semantic search with a strong encoder always beats keyword search. Lexical vs dense vs hybrid is task- and data-dependent; testable in the literature.</t>
        </is>
      </c>
      <c r="U50"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50" s="6" t="inlineStr">
        <is>
          <t>Closed 2026-10-20: criterion 'lexical vs dense vs hybrid is task- and data-dependent; testable in the literature' met.</t>
        </is>
      </c>
      <c r="W50" s="6" t="inlineStr"/>
      <c r="X50" s="6" t="inlineStr"/>
      <c r="Y50" s="6" t="inlineStr"/>
      <c r="Z50" s="6" t="inlineStr"/>
      <c r="AA50" s="6" t="inlineStr"/>
      <c r="AB50" s="6" t="inlineStr">
        <is>
          <t>SOURCE</t>
        </is>
      </c>
      <c r="AC50" s="6" t="inlineStr">
        <is>
          <t>n/a (REGISTER E)</t>
        </is>
      </c>
      <c r="AD50" s="6" t="inlineStr">
        <is>
          <t>NEW (repo sweep)</t>
        </is>
      </c>
      <c r="AE50" s="6" t="inlineStr">
        <is>
          <t>2026-10-20</t>
        </is>
      </c>
      <c r="AF50" s="6" t="inlineStr">
        <is>
          <t>FND-0027 (findings/SUM-0029); FND-0018 (findings/SUM-0020); EXT-0181, EXT-0210; evidence/literature-20261019/pages/INDEX.md (ToolRet p7)</t>
        </is>
      </c>
      <c r="AG50" s="6" t="inlineStr"/>
      <c r="AH50" s="6" t="inlineStr">
        <is>
          <t>No</t>
        </is>
      </c>
      <c r="AI50" s="6" t="inlineStr">
        <is>
          <t>Closed 2026-10-20 as a literature check done: the sources are mixed by encoder class and metric; the supervisor's statement narrows to strong instruction-following encoders; nothing tested in our setting.</t>
        </is>
      </c>
      <c r="AJ50" s="6" t="inlineStr">
        <is>
          <t>repo: REGISTER section E / EXT-0004</t>
        </is>
      </c>
      <c r="AK50" s="6" t="inlineStr">
        <is>
          <t>REQ-A1 A1</t>
        </is>
      </c>
      <c r="AL50" s="6" t="inlineStr">
        <is>
          <t>S11</t>
        </is>
      </c>
    </row>
    <row r="51" ht="300" customHeight="1">
      <c r="A51" s="5" t="inlineStr">
        <is>
          <t>AS-03</t>
        </is>
      </c>
      <c r="B51" s="6" t="inlineStr">
        <is>
          <t>Supervisor assertion A3: Keyword and symbolic search 'will never work here'</t>
        </is>
      </c>
      <c r="C51" s="6" t="inlineStr">
        <is>
          <t>CLOSED - BY EVIDENCE</t>
        </is>
      </c>
      <c r="D51" s="6" t="inlineStr">
        <is>
          <t>No</t>
        </is>
      </c>
      <c r="E51" s="6" t="inlineStr"/>
      <c r="F51" s="6" t="inlineStr"/>
      <c r="G51" s="11" t="inlineStr">
        <is>
          <t>LITERATURE-DIRECTED</t>
        </is>
      </c>
      <c r="H51" s="6" t="inlineStr">
        <is>
          <t>K14 Source &amp; vendor verification</t>
        </is>
      </c>
      <c r="I51" s="6" t="inlineStr">
        <is>
          <t>G5 Housekeeping / no block</t>
        </is>
      </c>
      <c r="J51" s="6" t="inlineStr">
        <is>
          <t>Low</t>
        </is>
      </c>
      <c r="K51" s="6" t="n">
        <v>123</v>
      </c>
      <c r="L51" s="6" t="inlineStr">
        <is>
          <t>W2 Desk work (no model runs)</t>
        </is>
      </c>
      <c r="M51" s="6" t="inlineStr">
        <is>
          <t>S13</t>
        </is>
      </c>
      <c r="N51" s="6" t="inlineStr">
        <is>
          <t>Lead / team</t>
        </is>
      </c>
      <c r="O51" s="6" t="inlineStr">
        <is>
          <t>Closed; moved to Archive</t>
        </is>
      </c>
      <c r="P51" s="6" t="inlineStr">
        <is>
          <t>No</t>
        </is>
      </c>
      <c r="Q51" s="6" t="inlineStr">
        <is>
          <t>Claim to test</t>
        </is>
      </c>
      <c r="R51" s="6" t="inlineStr">
        <is>
          <t>Item</t>
        </is>
      </c>
      <c r="S51" s="6" t="inlineStr"/>
      <c r="T51" s="6" t="inlineStr">
        <is>
          <t>REQ-A1 A3: Keyword and symbolic search 'will never work here'. Conflicts with A1's framing (T2).</t>
        </is>
      </c>
      <c r="U51"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51" s="6" t="inlineStr">
        <is>
          <t>Closed 2026-10-20: criterion met (the conflict with A1's framing is recorded; both are task- and data-dependent in the sources).</t>
        </is>
      </c>
      <c r="W51" s="6" t="inlineStr"/>
      <c r="X51" s="6" t="inlineStr"/>
      <c r="Y51" s="6" t="inlineStr"/>
      <c r="Z51" s="6" t="inlineStr"/>
      <c r="AA51" s="6" t="inlineStr"/>
      <c r="AB51" s="6" t="inlineStr">
        <is>
          <t>SOURCE</t>
        </is>
      </c>
      <c r="AC51" s="6" t="inlineStr">
        <is>
          <t>n/a (REGISTER E)</t>
        </is>
      </c>
      <c r="AD51" s="6" t="inlineStr">
        <is>
          <t>NEW (repo sweep)</t>
        </is>
      </c>
      <c r="AE51" s="6" t="inlineStr">
        <is>
          <t>2026-10-20</t>
        </is>
      </c>
      <c r="AF51" s="6" t="inlineStr">
        <is>
          <t>FND-0027; FND-0018; FND-0031; EXT-0207, EXT-0210</t>
        </is>
      </c>
      <c r="AG51" s="6" t="inlineStr"/>
      <c r="AH51" s="6" t="inlineStr">
        <is>
          <t>No</t>
        </is>
      </c>
      <c r="AI51" s="6" t="inlineStr">
        <is>
          <t>Closed 2026-10-20 as a literature check done: keyword retrieval is neither useless nor competitive with the strongest encoders on the stored metrics; our setting untested.</t>
        </is>
      </c>
      <c r="AJ51" s="6" t="inlineStr">
        <is>
          <t>repo: REGISTER section E / EXT-0004</t>
        </is>
      </c>
      <c r="AK51" s="6" t="inlineStr">
        <is>
          <t>REQ-A1 A3</t>
        </is>
      </c>
      <c r="AL51" s="6" t="inlineStr">
        <is>
          <t>S11</t>
        </is>
      </c>
    </row>
    <row r="52" ht="300" customHeight="1">
      <c r="A52" s="5" t="inlineStr">
        <is>
          <t>AS-04</t>
        </is>
      </c>
      <c r="B52" s="6" t="inlineStr">
        <is>
          <t>Supervisor assertion A4: Tool use works because descriptions give the LLM an assumption about behaviour</t>
        </is>
      </c>
      <c r="C52" s="6" t="inlineStr">
        <is>
          <t>CLOSED - BY EVIDENCE</t>
        </is>
      </c>
      <c r="D52" s="6" t="inlineStr">
        <is>
          <t>No</t>
        </is>
      </c>
      <c r="E52" s="6" t="inlineStr"/>
      <c r="F52" s="6" t="inlineStr"/>
      <c r="G52" s="11" t="inlineStr">
        <is>
          <t>LITERATURE-DIRECTED</t>
        </is>
      </c>
      <c r="H52" s="6" t="inlineStr">
        <is>
          <t>K14 Source &amp; vendor verification</t>
        </is>
      </c>
      <c r="I52" s="6" t="inlineStr">
        <is>
          <t>G5 Housekeeping / no block</t>
        </is>
      </c>
      <c r="J52" s="6" t="inlineStr">
        <is>
          <t>Low</t>
        </is>
      </c>
      <c r="K52" s="6" t="n">
        <v>124</v>
      </c>
      <c r="L52" s="6" t="inlineStr">
        <is>
          <t>W2 Desk work (no model runs)</t>
        </is>
      </c>
      <c r="M52" s="6" t="inlineStr">
        <is>
          <t>S13</t>
        </is>
      </c>
      <c r="N52" s="6" t="inlineStr">
        <is>
          <t>Lead / team</t>
        </is>
      </c>
      <c r="O52" s="6" t="inlineStr">
        <is>
          <t>Closed; moved to Archive</t>
        </is>
      </c>
      <c r="P52" s="6" t="inlineStr">
        <is>
          <t>No</t>
        </is>
      </c>
      <c r="Q52" s="6" t="inlineStr">
        <is>
          <t>Claim to test</t>
        </is>
      </c>
      <c r="R52" s="6" t="inlineStr">
        <is>
          <t>Item</t>
        </is>
      </c>
      <c r="S52" s="6" t="inlineStr"/>
      <c r="T52" s="6" t="inlineStr">
        <is>
          <t>REQ-A1 A4: Tool use works because descriptions give the LLM an assumption about behaviour. Plausible; testable (misleading-description studies).</t>
        </is>
      </c>
      <c r="U52"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52" s="6" t="inlineStr">
        <is>
          <t>Closed 2026-10-19: the misleading-description study was found, read and quantified; its limits are recorded.</t>
        </is>
      </c>
      <c r="W52" s="6" t="inlineStr"/>
      <c r="X52" s="6" t="inlineStr"/>
      <c r="Y52" s="6" t="inlineStr"/>
      <c r="Z52" s="6" t="inlineStr"/>
      <c r="AA52" s="6" t="inlineStr"/>
      <c r="AB52" s="6" t="inlineStr">
        <is>
          <t>SOURCE</t>
        </is>
      </c>
      <c r="AC52" s="6" t="inlineStr">
        <is>
          <t>n/a (REGISTER E)</t>
        </is>
      </c>
      <c r="AD52" s="6" t="inlineStr">
        <is>
          <t>NEW (repo sweep)</t>
        </is>
      </c>
      <c r="AE52" s="6" t="inlineStr">
        <is>
          <t>2026-10-19</t>
        </is>
      </c>
      <c r="AF52" s="6" t="inlineStr">
        <is>
          <t>FND-0027 (findings/SUM-0029); EXT-0209, EXT-0210, EXT-0212, EXT-0213, EXT-0214</t>
        </is>
      </c>
      <c r="AG52" s="6" t="inlineStr"/>
      <c r="AH52" s="6" t="inlineStr">
        <is>
          <t>No</t>
        </is>
      </c>
      <c r="AI52"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52" s="6" t="inlineStr">
        <is>
          <t>repo: REGISTER section E / EXT-0004</t>
        </is>
      </c>
      <c r="AK52" s="6" t="inlineStr">
        <is>
          <t>REQ-A1 A4</t>
        </is>
      </c>
      <c r="AL52" s="6" t="inlineStr">
        <is>
          <t>S11</t>
        </is>
      </c>
    </row>
    <row r="53" ht="153" customHeight="1">
      <c r="A53" s="5" t="inlineStr">
        <is>
          <t>AS-05</t>
        </is>
      </c>
      <c r="B53" s="6" t="inlineStr">
        <is>
          <t>Supervisor assertion A5: Query expansion helps because it surfaces terms matching tool descriptions; already known, not novel</t>
        </is>
      </c>
      <c r="C53" s="6" t="inlineStr">
        <is>
          <t>CLOSED - BY EVIDENCE</t>
        </is>
      </c>
      <c r="D53" s="6" t="inlineStr">
        <is>
          <t>No</t>
        </is>
      </c>
      <c r="E53" s="6" t="inlineStr"/>
      <c r="F53" s="6" t="inlineStr"/>
      <c r="G53" s="11" t="inlineStr">
        <is>
          <t>LITERATURE-DIRECTED</t>
        </is>
      </c>
      <c r="H53" s="6" t="inlineStr">
        <is>
          <t>K14 Source &amp; vendor verification</t>
        </is>
      </c>
      <c r="I53" s="6" t="inlineStr">
        <is>
          <t>G5 Housekeeping / no block</t>
        </is>
      </c>
      <c r="J53" s="6" t="inlineStr">
        <is>
          <t>Low</t>
        </is>
      </c>
      <c r="K53" s="6" t="n">
        <v>125</v>
      </c>
      <c r="L53" s="6" t="inlineStr">
        <is>
          <t>W2 Desk work (no model runs)</t>
        </is>
      </c>
      <c r="M53" s="6" t="inlineStr">
        <is>
          <t>S13</t>
        </is>
      </c>
      <c r="N53" s="6" t="inlineStr">
        <is>
          <t>Lead / team</t>
        </is>
      </c>
      <c r="O53" s="6" t="inlineStr">
        <is>
          <t>Closed; moved to Archive</t>
        </is>
      </c>
      <c r="P53" s="6" t="inlineStr">
        <is>
          <t>No</t>
        </is>
      </c>
      <c r="Q53" s="6" t="inlineStr">
        <is>
          <t>Claim to test</t>
        </is>
      </c>
      <c r="R53" s="6" t="inlineStr">
        <is>
          <t>Item</t>
        </is>
      </c>
      <c r="S53" s="6" t="inlineStr"/>
      <c r="T53" s="6" t="inlineStr">
        <is>
          <t>REQ-A1 A5: Query expansion helps because it surfaces terms matching tool descriptions; already known, not novel. Prior-art claim to verify.</t>
        </is>
      </c>
      <c r="U53"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53" s="6" t="inlineStr">
        <is>
          <t>Closed 2026-10-19: criterion 'prior-art claim to verify' met for existence of published prior art.</t>
        </is>
      </c>
      <c r="W53" s="6" t="inlineStr"/>
      <c r="X53" s="6" t="inlineStr"/>
      <c r="Y53" s="6" t="inlineStr"/>
      <c r="Z53" s="6" t="inlineStr"/>
      <c r="AA53" s="6" t="inlineStr"/>
      <c r="AB53" s="6" t="inlineStr">
        <is>
          <t>SOURCE</t>
        </is>
      </c>
      <c r="AC53" s="6" t="inlineStr">
        <is>
          <t>n/a (REGISTER E)</t>
        </is>
      </c>
      <c r="AD53" s="6" t="inlineStr">
        <is>
          <t>NEW (repo sweep)</t>
        </is>
      </c>
      <c r="AE53" s="6" t="inlineStr">
        <is>
          <t>2026-10-19</t>
        </is>
      </c>
      <c r="AF53" s="6" t="inlineStr">
        <is>
          <t>FND-0018 (findings/SUM-0020); EXT-0181, EXT-0182; stored texts evidence/literature-20261019/lit-tooldreamer-2510.19791.txt, lit-stackone-bm25-hybrid.txt, lit-langchain-progressive-disclosure.txt, lit-embabel-unfolding-tool.txt</t>
        </is>
      </c>
      <c r="AG53" s="6" t="inlineStr">
        <is>
          <t>If the cited earlier works (Kachuee 2025 and others) are needed for a novelty statement</t>
        </is>
      </c>
      <c r="AH53" s="6" t="inlineStr">
        <is>
          <t>No</t>
        </is>
      </c>
      <c r="AI53"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53" s="6" t="inlineStr">
        <is>
          <t>repo: REGISTER section E / EXT-0004</t>
        </is>
      </c>
      <c r="AK53" s="6" t="inlineStr">
        <is>
          <t>REQ-A1 A5</t>
        </is>
      </c>
      <c r="AL53" s="6" t="inlineStr">
        <is>
          <t>S11</t>
        </is>
      </c>
    </row>
    <row r="54" ht="300" customHeight="1">
      <c r="A54" s="5" t="inlineStr">
        <is>
          <t>C-S08/VOCAB</t>
        </is>
      </c>
      <c r="B54" s="6" t="inlineStr">
        <is>
          <t>Different-vocabulary literature pass not done (agentic retrieval, tool abstention, function hallucination, MCP gateway)</t>
        </is>
      </c>
      <c r="C54" s="6" t="inlineStr">
        <is>
          <t>CLOSED - BY EVIDENCE</t>
        </is>
      </c>
      <c r="D54" s="6" t="inlineStr">
        <is>
          <t>No</t>
        </is>
      </c>
      <c r="E54" s="6" t="inlineStr"/>
      <c r="F54" s="6" t="inlineStr"/>
      <c r="G54" s="11" t="inlineStr">
        <is>
          <t>LITERATURE-DIRECTED</t>
        </is>
      </c>
      <c r="H54" s="6" t="inlineStr">
        <is>
          <t>K8 Search initiation &amp; recovery</t>
        </is>
      </c>
      <c r="I54" s="6" t="inlineStr">
        <is>
          <t>G3 Before confirmatory study</t>
        </is>
      </c>
      <c r="J54" s="6" t="inlineStr">
        <is>
          <t>Normal</t>
        </is>
      </c>
      <c r="K54" s="6" t="n">
        <v>128</v>
      </c>
      <c r="L54" s="6" t="inlineStr">
        <is>
          <t>W2 Desk work (no model runs)</t>
        </is>
      </c>
      <c r="M54" s="6" t="inlineStr">
        <is>
          <t>S13</t>
        </is>
      </c>
      <c r="N54" s="6" t="inlineStr">
        <is>
          <t>Team</t>
        </is>
      </c>
      <c r="O54" s="6" t="inlineStr">
        <is>
          <t>Closed; moved to Archive</t>
        </is>
      </c>
      <c r="P54" s="6" t="inlineStr">
        <is>
          <t>No</t>
        </is>
      </c>
      <c r="Q54" s="6" t="inlineStr">
        <is>
          <t>Scientific unknown</t>
        </is>
      </c>
      <c r="R54" s="6" t="inlineStr">
        <is>
          <t>Sub-item</t>
        </is>
      </c>
      <c r="S54" s="6" t="inlineStr">
        <is>
          <t>C-S08</t>
        </is>
      </c>
      <c r="T54" s="6" t="inlineStr">
        <is>
          <t>The search sample is search-engine driven and recent-preprint heavy; a bounded different-vocabulary pass was proposed (CH-0067, CH-0073) and is listed as not done in v4-05 section 5.</t>
        </is>
      </c>
      <c r="U54"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54" s="6" t="inlineStr">
        <is>
          <t>Closed 2026-10-20: criterion 'a bounded pass run with logged queries, saturation stated' met.</t>
        </is>
      </c>
      <c r="W54" s="6" t="inlineStr"/>
      <c r="X54" s="6" t="inlineStr"/>
      <c r="Y54" s="6" t="inlineStr">
        <is>
          <t>Q-U21</t>
        </is>
      </c>
      <c r="Z54" s="6" t="inlineStr"/>
      <c r="AA54" s="6" t="inlineStr"/>
      <c r="AB54" s="6" t="inlineStr">
        <is>
          <t>SOURCE</t>
        </is>
      </c>
      <c r="AC54" s="6" t="inlineStr">
        <is>
          <t>n/a (sub-item)</t>
        </is>
      </c>
      <c r="AD54" s="6" t="inlineStr">
        <is>
          <t>NEW (SRC-11 sub-row)</t>
        </is>
      </c>
      <c r="AE54" s="6" t="inlineStr">
        <is>
          <t>2026-10-20</t>
        </is>
      </c>
      <c r="AF54" s="6" t="inlineStr">
        <is>
          <t>ops/threads/T-20261019-102/TASK.md (query log); literature README; FND-0016, FND-0018</t>
        </is>
      </c>
      <c r="AG54" s="6" t="inlineStr"/>
      <c r="AH54" s="6" t="inlineStr">
        <is>
          <t>No (AUTH-016 covers web fetches for this item)</t>
        </is>
      </c>
      <c r="AI54" s="6" t="inlineStr">
        <is>
          <t>Closed 2026-10-20: a bounded different-vocabulary pass was run with logged queries; saturation is stated as not claimed.</t>
        </is>
      </c>
      <c r="AJ54" s="6" t="inlineStr">
        <is>
          <t>repo: v4-05 sections 1B, 3, 4; reviews RV-0006/0007</t>
        </is>
      </c>
      <c r="AK54" s="6" t="inlineStr">
        <is>
          <t>CH-0067, CH-0073</t>
        </is>
      </c>
      <c r="AL54" s="6" t="inlineStr">
        <is>
          <t>S13</t>
        </is>
      </c>
    </row>
    <row r="55" ht="240.5" customHeight="1">
      <c r="A55" s="5" t="inlineStr">
        <is>
          <t>N-6/SKILLMEM</t>
        </is>
      </c>
      <c r="B55" s="6" t="inlineStr">
        <is>
          <t>Procedural/skill-memory literature surfaced by one search, not read</t>
        </is>
      </c>
      <c r="C55" s="6" t="inlineStr">
        <is>
          <t>CLOSED - BY EVIDENCE</t>
        </is>
      </c>
      <c r="D55" s="6" t="inlineStr">
        <is>
          <t>No</t>
        </is>
      </c>
      <c r="E55" s="6" t="inlineStr"/>
      <c r="F55" s="6" t="inlineStr"/>
      <c r="G55" s="11" t="inlineStr">
        <is>
          <t>LITERATURE-DIRECTED</t>
        </is>
      </c>
      <c r="H55" s="6" t="inlineStr">
        <is>
          <t>K4 Memory &amp; sessions</t>
        </is>
      </c>
      <c r="I55" s="6" t="inlineStr">
        <is>
          <t>G3 Before confirmatory study</t>
        </is>
      </c>
      <c r="J55" s="6" t="inlineStr">
        <is>
          <t>Normal</t>
        </is>
      </c>
      <c r="K55" s="6" t="n">
        <v>129</v>
      </c>
      <c r="L55" s="6" t="inlineStr">
        <is>
          <t>W2 Desk work (no model runs)</t>
        </is>
      </c>
      <c r="M55" s="6" t="inlineStr">
        <is>
          <t>S13</t>
        </is>
      </c>
      <c r="N55" s="6" t="inlineStr">
        <is>
          <t>Lead</t>
        </is>
      </c>
      <c r="O55" s="6" t="inlineStr">
        <is>
          <t>Closed; moved to Archive</t>
        </is>
      </c>
      <c r="P55" s="6" t="inlineStr">
        <is>
          <t>No</t>
        </is>
      </c>
      <c r="Q55" s="6" t="inlineStr">
        <is>
          <t>Source check</t>
        </is>
      </c>
      <c r="R55" s="6" t="inlineStr">
        <is>
          <t>Sub-item</t>
        </is>
      </c>
      <c r="S55" s="6" t="inlineStr">
        <is>
          <t>N-6</t>
        </is>
      </c>
      <c r="T55" s="6" t="inlineStr">
        <is>
          <t>RV-0006 and v4-05: procedural or skill-memory work (surfaced by one search) may bear on cross-session tool memory and was not read [U].</t>
        </is>
      </c>
      <c r="U5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55" s="6" t="inlineStr">
        <is>
          <t>Closed 2026-10-19: criterion 'directed search done; related work read or ruled out' met for the five texts; unread parts listed in FND-0017.</t>
        </is>
      </c>
      <c r="W55" s="6" t="inlineStr"/>
      <c r="X55" s="6" t="inlineStr"/>
      <c r="Y55" s="6" t="inlineStr"/>
      <c r="Z55" s="6" t="inlineStr"/>
      <c r="AA55" s="6" t="inlineStr"/>
      <c r="AB55" s="6" t="inlineStr">
        <is>
          <t>SOURCE</t>
        </is>
      </c>
      <c r="AC55" s="6" t="inlineStr">
        <is>
          <t>n/a (sub-item)</t>
        </is>
      </c>
      <c r="AD55" s="6" t="inlineStr">
        <is>
          <t>NEW (repo sweep)</t>
        </is>
      </c>
      <c r="AE55" s="6" t="inlineStr">
        <is>
          <t>2026-10-19</t>
        </is>
      </c>
      <c r="AF55" s="6" t="inlineStr">
        <is>
          <t>FND-0017 (findings/SUM-0019); stored texts evidence/literature-20261019/lit-skilllens-2605.08386.txt, lit-procmem-2602.01869.txt (the paper is titled Skill-Pro), lit-codemem-2512.15813.txt, lit-efficientagents-2601.14192.txt, lit-memskill-2609.16669.txt</t>
        </is>
      </c>
      <c r="AG55" s="6" t="inlineStr">
        <is>
          <t>If Graph of Skills, SkillRouter or another cited work is judged to bear on tool-existence memory</t>
        </is>
      </c>
      <c r="AH55" s="6" t="inlineStr">
        <is>
          <t>No (AUTH-016 covers web fetches for this item)</t>
        </is>
      </c>
      <c r="AI5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55" s="6" t="inlineStr">
        <is>
          <t>repo: RV-0006; v4-05 section 1C</t>
        </is>
      </c>
      <c r="AK55" s="6" t="inlineStr"/>
      <c r="AL55" s="6" t="inlineStr">
        <is>
          <t>S13</t>
        </is>
      </c>
    </row>
    <row r="56" ht="215.5" customHeight="1">
      <c r="A56" s="5" t="inlineStr">
        <is>
          <t>C-R01/C01</t>
        </is>
      </c>
      <c r="B56" s="6" t="inlineStr">
        <is>
          <t>D4: arm choice, multiplicity, test-split failure</t>
        </is>
      </c>
      <c r="C56" s="6" t="inlineStr">
        <is>
          <t>CLOSED - BY EVIDENCE</t>
        </is>
      </c>
      <c r="D56" s="6" t="inlineStr">
        <is>
          <t>No</t>
        </is>
      </c>
      <c r="E56" s="6" t="inlineStr"/>
      <c r="F56" s="6" t="inlineStr"/>
      <c r="G56" s="8" t="inlineStr">
        <is>
          <t>RECORDS-AT-HAND</t>
        </is>
      </c>
      <c r="H56" s="6" t="inlineStr">
        <is>
          <t>K17 Record repair &amp; procedure error</t>
        </is>
      </c>
      <c r="I56" s="6" t="inlineStr">
        <is>
          <t>G3 Before confirmatory study</t>
        </is>
      </c>
      <c r="J56" s="6" t="inlineStr">
        <is>
          <t>Normal</t>
        </is>
      </c>
      <c r="K56" s="6" t="n">
        <v>131</v>
      </c>
      <c r="L56" s="6" t="inlineStr">
        <is>
          <t>W2 Desk work (no model runs)</t>
        </is>
      </c>
      <c r="M56" s="6" t="inlineStr">
        <is>
          <t>S15</t>
        </is>
      </c>
      <c r="N56" s="6" t="inlineStr">
        <is>
          <t>Lead + fresh reviewer</t>
        </is>
      </c>
      <c r="O56" s="6" t="inlineStr">
        <is>
          <t>Closed; moved to Archive</t>
        </is>
      </c>
      <c r="P56" s="6" t="inlineStr">
        <is>
          <t>Partly</t>
        </is>
      </c>
      <c r="Q56" s="6" t="inlineStr">
        <is>
          <t>Scientific unknown</t>
        </is>
      </c>
      <c r="R56" s="6" t="inlineStr">
        <is>
          <t>Sub-item</t>
        </is>
      </c>
      <c r="S56" s="6" t="inlineStr">
        <is>
          <t>C-R01</t>
        </is>
      </c>
      <c r="T56" s="6" t="inlineStr">
        <is>
          <t>SRC-06 C01: D4's arm selection, multiplicity and test-split failure handling.</t>
        </is>
      </c>
      <c r="U56"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56" s="6" t="inlineStr">
        <is>
          <t>Closed 2026-10-20: criterion 'independent re-check and a dated fix' met (RV-0008; the v3 D4 text read on this date).</t>
        </is>
      </c>
      <c r="W56" s="6" t="inlineStr"/>
      <c r="X56" s="6" t="inlineStr"/>
      <c r="Y56" s="6" t="inlineStr"/>
      <c r="Z56" s="6" t="inlineStr"/>
      <c r="AA56" s="6" t="inlineStr"/>
      <c r="AB56" s="6" t="inlineStr">
        <is>
          <t>RECORD+DATA</t>
        </is>
      </c>
      <c r="AC56" s="6" t="inlineStr">
        <is>
          <t>n/a (sub-item)</t>
        </is>
      </c>
      <c r="AD56" s="6" t="inlineStr">
        <is>
          <t>NEW (SRC-11 sub-row)</t>
        </is>
      </c>
      <c r="AE56" s="6" t="inlineStr">
        <is>
          <t>2026-10-20</t>
        </is>
      </c>
      <c r="AF56" s="6" t="inlineStr">
        <is>
          <t>reviews/RV-0008.md (fresh reviewer, same model family, read the current text); design/package-v3/02-supervisor-decision-graph.md:63; design/package-v4/06-corrections-proposed.md</t>
        </is>
      </c>
      <c r="AG56" s="6" t="inlineStr"/>
      <c r="AH56" s="6" t="inlineStr">
        <is>
          <t>No</t>
        </is>
      </c>
      <c r="AI56" s="6" t="inlineStr">
        <is>
          <t>Closed 2026-10-20: the arm-selection, multiplicity and failed-confirmation rules exist in the text and were independently re-read; the table's content is a decision carried by C-D08/ARMS and C-S14/MULT.</t>
        </is>
      </c>
      <c r="AJ56" s="6" t="inlineStr">
        <is>
          <t>SRC-11 section D4</t>
        </is>
      </c>
      <c r="AK56" s="6" t="inlineStr">
        <is>
          <t>SRC-06 C01, CH-0040</t>
        </is>
      </c>
      <c r="AL56" s="6" t="inlineStr">
        <is>
          <t>S09</t>
        </is>
      </c>
    </row>
    <row r="57" ht="115.5" customHeight="1">
      <c r="A57" s="5" t="inlineStr">
        <is>
          <t>C-R01/C02</t>
        </is>
      </c>
      <c r="B57" s="6" t="inlineStr">
        <is>
          <t>Annotations / substitute reference</t>
        </is>
      </c>
      <c r="C57" s="6" t="inlineStr">
        <is>
          <t>CLOSED - BY EVIDENCE</t>
        </is>
      </c>
      <c r="D57" s="6" t="inlineStr">
        <is>
          <t>No</t>
        </is>
      </c>
      <c r="E57" s="6" t="inlineStr"/>
      <c r="F57" s="6" t="inlineStr"/>
      <c r="G57" s="8" t="inlineStr">
        <is>
          <t>RECORDS-AT-HAND</t>
        </is>
      </c>
      <c r="H57" s="6" t="inlineStr">
        <is>
          <t>K17 Record repair &amp; procedure error</t>
        </is>
      </c>
      <c r="I57" s="6" t="inlineStr">
        <is>
          <t>G3 Before confirmatory study</t>
        </is>
      </c>
      <c r="J57" s="6" t="inlineStr">
        <is>
          <t>Normal</t>
        </is>
      </c>
      <c r="K57" s="6" t="n">
        <v>132</v>
      </c>
      <c r="L57" s="6" t="inlineStr">
        <is>
          <t>W2 Desk work (no model runs)</t>
        </is>
      </c>
      <c r="M57" s="6" t="inlineStr">
        <is>
          <t>S15</t>
        </is>
      </c>
      <c r="N57" s="6" t="inlineStr">
        <is>
          <t>Lead + fresh reviewer</t>
        </is>
      </c>
      <c r="O57" s="6" t="inlineStr">
        <is>
          <t>Closed; moved to Archive</t>
        </is>
      </c>
      <c r="P57" s="6" t="inlineStr">
        <is>
          <t>Partly</t>
        </is>
      </c>
      <c r="Q57" s="6" t="inlineStr">
        <is>
          <t>Scientific unknown</t>
        </is>
      </c>
      <c r="R57" s="6" t="inlineStr">
        <is>
          <t>Sub-item</t>
        </is>
      </c>
      <c r="S57" s="6" t="inlineStr">
        <is>
          <t>C-R01</t>
        </is>
      </c>
      <c r="T57" s="6" t="inlineStr">
        <is>
          <t>SRC-06 C02: source of annotations and the substitute reference.</t>
        </is>
      </c>
      <c r="U57"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57" s="6" t="inlineStr">
        <is>
          <t>Closed 2026-10-20: criterion met (RV-0008 re-check; v4 text).</t>
        </is>
      </c>
      <c r="W57" s="6" t="inlineStr"/>
      <c r="X57" s="6" t="inlineStr"/>
      <c r="Y57" s="6" t="inlineStr"/>
      <c r="Z57" s="6" t="inlineStr"/>
      <c r="AA57" s="6" t="inlineStr"/>
      <c r="AB57" s="6" t="inlineStr">
        <is>
          <t>RECORD+DATA</t>
        </is>
      </c>
      <c r="AC57" s="6" t="inlineStr">
        <is>
          <t>n/a (sub-item)</t>
        </is>
      </c>
      <c r="AD57" s="6" t="inlineStr">
        <is>
          <t>NEW (SRC-11 sub-row)</t>
        </is>
      </c>
      <c r="AE57" s="6" t="inlineStr">
        <is>
          <t>2026-10-20</t>
        </is>
      </c>
      <c r="AF57" s="6" t="inlineStr">
        <is>
          <t>reviews/RV-0008.md (fresh reviewer, same model family, read the current text); design/package-v4/02-policy-graph-and-protocol.md section 4</t>
        </is>
      </c>
      <c r="AG57" s="6" t="inlineStr"/>
      <c r="AH57" s="6" t="inlineStr">
        <is>
          <t>No</t>
        </is>
      </c>
      <c r="AI57" s="6" t="inlineStr">
        <is>
          <t>Closed 2026-10-20: the substitute-reference wording is replaced and independently re-read; the open points are carried by C-S13/POOLDIR and C-D08/STRATA.</t>
        </is>
      </c>
      <c r="AJ57" s="6" t="inlineStr">
        <is>
          <t>SRC-11 section D4</t>
        </is>
      </c>
      <c r="AK57" s="6" t="inlineStr">
        <is>
          <t>SRC-06 C02, CH-0038</t>
        </is>
      </c>
      <c r="AL57" s="6" t="inlineStr">
        <is>
          <t>S09</t>
        </is>
      </c>
    </row>
    <row r="58" ht="115.5" customHeight="1">
      <c r="A58" s="5" t="inlineStr">
        <is>
          <t>C-R01/C05</t>
        </is>
      </c>
      <c r="B58" s="6" t="inlineStr">
        <is>
          <t>Fair baseline / usage knowledge</t>
        </is>
      </c>
      <c r="C58" s="6" t="inlineStr">
        <is>
          <t>CLOSED - BY EVIDENCE</t>
        </is>
      </c>
      <c r="D58" s="6" t="inlineStr">
        <is>
          <t>No</t>
        </is>
      </c>
      <c r="E58" s="6" t="inlineStr"/>
      <c r="F58" s="6" t="inlineStr"/>
      <c r="G58" s="8" t="inlineStr">
        <is>
          <t>RECORDS-AT-HAND</t>
        </is>
      </c>
      <c r="H58" s="6" t="inlineStr">
        <is>
          <t>K17 Record repair &amp; procedure error</t>
        </is>
      </c>
      <c r="I58" s="6" t="inlineStr">
        <is>
          <t>G3 Before confirmatory study</t>
        </is>
      </c>
      <c r="J58" s="6" t="inlineStr">
        <is>
          <t>Normal</t>
        </is>
      </c>
      <c r="K58" s="6" t="n">
        <v>135</v>
      </c>
      <c r="L58" s="6" t="inlineStr">
        <is>
          <t>W2 Desk work (no model runs)</t>
        </is>
      </c>
      <c r="M58" s="6" t="inlineStr">
        <is>
          <t>S15</t>
        </is>
      </c>
      <c r="N58" s="6" t="inlineStr">
        <is>
          <t>Lead + fresh reviewer</t>
        </is>
      </c>
      <c r="O58" s="6" t="inlineStr">
        <is>
          <t>Closed; moved to Archive</t>
        </is>
      </c>
      <c r="P58" s="6" t="inlineStr">
        <is>
          <t>Partly</t>
        </is>
      </c>
      <c r="Q58" s="6" t="inlineStr">
        <is>
          <t>Scientific unknown</t>
        </is>
      </c>
      <c r="R58" s="6" t="inlineStr">
        <is>
          <t>Sub-item</t>
        </is>
      </c>
      <c r="S58" s="6" t="inlineStr">
        <is>
          <t>C-R01</t>
        </is>
      </c>
      <c r="T58" s="6" t="inlineStr">
        <is>
          <t>SRC-06 C05: fair baseline and the usage knowledge a hand-picked core needs.</t>
        </is>
      </c>
      <c r="U58"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58" s="6" t="inlineStr">
        <is>
          <t>Closed 2026-10-20: criterion met (RV-0008 re-check; text quoted).</t>
        </is>
      </c>
      <c r="W58" s="6" t="inlineStr"/>
      <c r="X58" s="6" t="inlineStr"/>
      <c r="Y58" s="6" t="inlineStr"/>
      <c r="Z58" s="6" t="inlineStr"/>
      <c r="AA58" s="6" t="inlineStr"/>
      <c r="AB58" s="6" t="inlineStr">
        <is>
          <t>RECORD+DATA</t>
        </is>
      </c>
      <c r="AC58" s="6" t="inlineStr">
        <is>
          <t>n/a (sub-item)</t>
        </is>
      </c>
      <c r="AD58" s="6" t="inlineStr">
        <is>
          <t>NEW (SRC-11 sub-row)</t>
        </is>
      </c>
      <c r="AE58" s="6" t="inlineStr">
        <is>
          <t>2026-10-20</t>
        </is>
      </c>
      <c r="AF58" s="6" t="inlineStr">
        <is>
          <t>reviews/RV-0008.md (fresh reviewer, same model family, read the current text); design/package-v3/03-comparison.md:35; design/package-v4/01-supervisor-brief.md:86</t>
        </is>
      </c>
      <c r="AG58" s="6" t="inlineStr"/>
      <c r="AH58" s="6" t="inlineStr">
        <is>
          <t>No</t>
        </is>
      </c>
      <c r="AI58" s="6" t="inlineStr">
        <is>
          <t>Closed 2026-10-20: the unfair-baseline wording is corrected and independently re-read.</t>
        </is>
      </c>
      <c r="AJ58" s="6" t="inlineStr">
        <is>
          <t>SRC-11 section D4</t>
        </is>
      </c>
      <c r="AK58" s="6" t="inlineStr">
        <is>
          <t>SRC-06 C05, CH-0043</t>
        </is>
      </c>
      <c r="AL58" s="6" t="inlineStr">
        <is>
          <t>S09</t>
        </is>
      </c>
    </row>
    <row r="59" ht="203" customHeight="1">
      <c r="A59" s="5" t="inlineStr">
        <is>
          <t>C-R01/V4RES</t>
        </is>
      </c>
      <c r="B59" s="6" t="inlineStr">
        <is>
          <t>v4 round-2 residuals R1-R9: fixes applied but not re-verified</t>
        </is>
      </c>
      <c r="C59" s="6" t="inlineStr">
        <is>
          <t>CLOSED - BY EVIDENCE</t>
        </is>
      </c>
      <c r="D59" s="6" t="inlineStr">
        <is>
          <t>No</t>
        </is>
      </c>
      <c r="E59" s="6" t="inlineStr"/>
      <c r="F59" s="6" t="inlineStr"/>
      <c r="G59" s="8" t="inlineStr">
        <is>
          <t>RECORDS-AT-HAND</t>
        </is>
      </c>
      <c r="H59" s="6" t="inlineStr">
        <is>
          <t>K17 Record repair &amp; procedure error</t>
        </is>
      </c>
      <c r="I59" s="6" t="inlineStr">
        <is>
          <t>G4 Before claims</t>
        </is>
      </c>
      <c r="J59" s="6" t="inlineStr">
        <is>
          <t>Normal</t>
        </is>
      </c>
      <c r="K59" s="6" t="n">
        <v>143</v>
      </c>
      <c r="L59" s="6" t="inlineStr">
        <is>
          <t>W2 Desk work (no model runs)</t>
        </is>
      </c>
      <c r="M59" s="6" t="inlineStr">
        <is>
          <t>S15</t>
        </is>
      </c>
      <c r="N59" s="6" t="inlineStr">
        <is>
          <t>Lead + fresh reviewer</t>
        </is>
      </c>
      <c r="O59" s="6" t="inlineStr">
        <is>
          <t>Closed; moved to Archive</t>
        </is>
      </c>
      <c r="P59" s="6" t="inlineStr">
        <is>
          <t>Partly</t>
        </is>
      </c>
      <c r="Q59" s="6" t="inlineStr">
        <is>
          <t>Record fix</t>
        </is>
      </c>
      <c r="R59" s="6" t="inlineStr">
        <is>
          <t>Sub-item</t>
        </is>
      </c>
      <c r="S59" s="6" t="inlineStr">
        <is>
          <t>C-R01</t>
        </is>
      </c>
      <c r="T59"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59"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59" s="6" t="inlineStr">
        <is>
          <t>Closed 2026-10-19: criterion 'a fresh reviewer re-checks the last edits' met; residual defects moved to new rows.</t>
        </is>
      </c>
      <c r="W59" s="6" t="inlineStr"/>
      <c r="X59" s="6" t="inlineStr"/>
      <c r="Y59" s="6" t="inlineStr"/>
      <c r="Z59" s="6" t="inlineStr"/>
      <c r="AA59" s="6" t="inlineStr"/>
      <c r="AB59" s="6" t="inlineStr">
        <is>
          <t>RECORD+SOURCE</t>
        </is>
      </c>
      <c r="AC59" s="6" t="inlineStr">
        <is>
          <t>n/a (sub-item)</t>
        </is>
      </c>
      <c r="AD59" s="6" t="inlineStr">
        <is>
          <t>NEW (repo sweep)</t>
        </is>
      </c>
      <c r="AE59" s="6" t="inlineStr">
        <is>
          <t>2026-10-19</t>
        </is>
      </c>
      <c r="AF59" s="6" t="inlineStr">
        <is>
          <t>RV-0009 (reviews/RV-0009.md), thread T-20261019-104</t>
        </is>
      </c>
      <c r="AG59" s="6" t="inlineStr"/>
      <c r="AH59" s="6" t="inlineStr">
        <is>
          <t>No</t>
        </is>
      </c>
      <c r="AI59" s="6" t="inlineStr">
        <is>
          <t>Closed 2026-10-19: the fixes applied after RV-0005 round 2 were re-read by a fresh reviewer; verified except R1 (partly), tracked in new rows.</t>
        </is>
      </c>
      <c r="AJ59" s="6" t="inlineStr">
        <is>
          <t>repo: v4-03 section 6 / RV-0005 / RV-0007</t>
        </is>
      </c>
      <c r="AK59" s="6" t="inlineStr">
        <is>
          <t>CH-0049, CH-0055, RV-0005 R1-R9</t>
        </is>
      </c>
      <c r="AL59" s="6" t="inlineStr">
        <is>
          <t>S15</t>
        </is>
      </c>
    </row>
    <row r="60" ht="290.5" customHeight="1">
      <c r="A60" s="5" t="inlineStr">
        <is>
          <t>C-R03/C22</t>
        </is>
      </c>
      <c r="B60" s="6" t="inlineStr">
        <is>
          <t>Uniform concessions rely on an incomplete steward</t>
        </is>
      </c>
      <c r="C60" s="6" t="inlineStr">
        <is>
          <t>CLOSED - BY EVIDENCE</t>
        </is>
      </c>
      <c r="D60" s="6" t="inlineStr">
        <is>
          <t>No</t>
        </is>
      </c>
      <c r="E60" s="6" t="inlineStr"/>
      <c r="F60" s="6" t="inlineStr"/>
      <c r="G60" s="8" t="inlineStr">
        <is>
          <t>RECORDS-AT-HAND</t>
        </is>
      </c>
      <c r="H60" s="6" t="inlineStr">
        <is>
          <t>K17 Record repair &amp; procedure error</t>
        </is>
      </c>
      <c r="I60" s="6" t="inlineStr">
        <is>
          <t>G4 Before claims</t>
        </is>
      </c>
      <c r="J60" s="6" t="inlineStr">
        <is>
          <t>Normal</t>
        </is>
      </c>
      <c r="K60" s="6" t="n">
        <v>147</v>
      </c>
      <c r="L60" s="6" t="inlineStr">
        <is>
          <t>W2 Desk work (no model runs)</t>
        </is>
      </c>
      <c r="M60" s="6" t="inlineStr">
        <is>
          <t>S15</t>
        </is>
      </c>
      <c r="N60" s="6" t="inlineStr">
        <is>
          <t>Lead + fresh reviewer</t>
        </is>
      </c>
      <c r="O60" s="6" t="inlineStr">
        <is>
          <t>Closed; moved to Archive</t>
        </is>
      </c>
      <c r="P60" s="6" t="inlineStr">
        <is>
          <t>Partly</t>
        </is>
      </c>
      <c r="Q60" s="6" t="inlineStr">
        <is>
          <t>Record fix</t>
        </is>
      </c>
      <c r="R60" s="6" t="inlineStr">
        <is>
          <t>Sub-item</t>
        </is>
      </c>
      <c r="S60" s="6" t="inlineStr">
        <is>
          <t>C-R03</t>
        </is>
      </c>
      <c r="T60" s="6" t="inlineStr">
        <is>
          <t>SRC-06 C22: uniform concessions in the AUTH-004 thread relied on an incomplete steward.</t>
        </is>
      </c>
      <c r="U60"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60" s="6" t="inlineStr">
        <is>
          <t>Closed 2026-10-20: criterion 'concessions re-checked against sources' met.</t>
        </is>
      </c>
      <c r="W60" s="6" t="inlineStr"/>
      <c r="X60" s="6" t="inlineStr"/>
      <c r="Y60" s="6" t="inlineStr"/>
      <c r="Z60" s="6" t="inlineStr"/>
      <c r="AA60" s="6" t="inlineStr"/>
      <c r="AB60" s="6" t="inlineStr">
        <is>
          <t>RECORD+DATA</t>
        </is>
      </c>
      <c r="AC60" s="6" t="inlineStr">
        <is>
          <t>n/a (sub-item)</t>
        </is>
      </c>
      <c r="AD60" s="6" t="inlineStr">
        <is>
          <t>NEW (SRC-11 sub-row)</t>
        </is>
      </c>
      <c r="AE60" s="6" t="inlineStr">
        <is>
          <t>2026-10-20</t>
        </is>
      </c>
      <c r="AF60" s="6" t="inlineStr">
        <is>
          <t>reviews/RV-0017.md, RV-0018.md, RV-0019.md (fresh reviewers, same model family; RV-0018 ended at its turn limit after CH-0016 and CH-0017 to CH-0019 were done in RV-0019; no shell, so no origin extraction runs)</t>
        </is>
      </c>
      <c r="AG60" s="6" t="inlineStr"/>
      <c r="AH60" s="6" t="inlineStr">
        <is>
          <t>No</t>
        </is>
      </c>
      <c r="AI60" s="6" t="inlineStr">
        <is>
          <t>Closed 2026-10-20: the uniform concessions were re-checked against the sources; all warranted; residual edits tracked in C-R03/C22-RESID.</t>
        </is>
      </c>
      <c r="AJ60" s="6" t="inlineStr">
        <is>
          <t>SRC-11 section D4</t>
        </is>
      </c>
      <c r="AK60" s="6" t="inlineStr">
        <is>
          <t>SRC-06 C22</t>
        </is>
      </c>
      <c r="AL60" s="6" t="inlineStr">
        <is>
          <t>S15</t>
        </is>
      </c>
    </row>
    <row r="61" ht="300" customHeight="1">
      <c r="A61" s="5" t="inlineStr">
        <is>
          <t>C-R03/CMTF</t>
        </is>
      </c>
      <c r="B61" s="6" t="inlineStr">
        <is>
          <t>How CMTF obtains its causal path is unverified</t>
        </is>
      </c>
      <c r="C61" s="6" t="inlineStr">
        <is>
          <t>CLOSED - BY EVIDENCE</t>
        </is>
      </c>
      <c r="D61" s="6" t="inlineStr">
        <is>
          <t>No</t>
        </is>
      </c>
      <c r="E61" s="6" t="inlineStr"/>
      <c r="F61" s="6" t="inlineStr"/>
      <c r="G61" s="14" t="inlineStr">
        <is>
          <t>SOURCE-REREAD</t>
        </is>
      </c>
      <c r="H61" s="6" t="inlineStr">
        <is>
          <t>K17 Record repair &amp; procedure error</t>
        </is>
      </c>
      <c r="I61" s="6" t="inlineStr">
        <is>
          <t>G4 Before claims</t>
        </is>
      </c>
      <c r="J61" s="6" t="inlineStr">
        <is>
          <t>Normal</t>
        </is>
      </c>
      <c r="K61" s="6" t="n">
        <v>154</v>
      </c>
      <c r="L61" s="6" t="inlineStr">
        <is>
          <t>W2 Desk work (no model runs)</t>
        </is>
      </c>
      <c r="M61" s="6" t="inlineStr">
        <is>
          <t>S15</t>
        </is>
      </c>
      <c r="N61" s="6" t="inlineStr">
        <is>
          <t>Lead + fresh reviewer</t>
        </is>
      </c>
      <c r="O61" s="6" t="inlineStr">
        <is>
          <t>Closed; moved to Archive</t>
        </is>
      </c>
      <c r="P61" s="6" t="inlineStr">
        <is>
          <t>Yes - stored text, unread</t>
        </is>
      </c>
      <c r="Q61" s="6" t="inlineStr">
        <is>
          <t>Record fix</t>
        </is>
      </c>
      <c r="R61" s="6" t="inlineStr">
        <is>
          <t>Sub-item</t>
        </is>
      </c>
      <c r="S61" s="6" t="inlineStr">
        <is>
          <t>C-R03</t>
        </is>
      </c>
      <c r="T61" s="6" t="inlineStr">
        <is>
          <t>ToolMenuBench's best method (CMTF, 85.7% at 1,125 tokens) is described as using 'the next causally necessary action'; whether it uses information a deployed policy would not have is not verified.</t>
        </is>
      </c>
      <c r="U6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61" s="6" t="inlineStr">
        <is>
          <t>Closed 2026-10-19: the stored texts say how the causal path is obtained; the brief's 'suggests it uses information a deployed policy would not have' is consistent with them.</t>
        </is>
      </c>
      <c r="W61" s="6" t="inlineStr"/>
      <c r="X61" s="6" t="inlineStr"/>
      <c r="Y61" s="6" t="inlineStr"/>
      <c r="Z61" s="6" t="inlineStr"/>
      <c r="AA61" s="6" t="inlineStr"/>
      <c r="AB61" s="6" t="inlineStr">
        <is>
          <t>RECORD+SOURCE</t>
        </is>
      </c>
      <c r="AC61" s="6" t="inlineStr">
        <is>
          <t>n/a (sub-item)</t>
        </is>
      </c>
      <c r="AD61" s="6" t="inlineStr">
        <is>
          <t>NEW (repo sweep)</t>
        </is>
      </c>
      <c r="AE61" s="6" t="inlineStr">
        <is>
          <t>2026-10-19</t>
        </is>
      </c>
      <c r="AF61" s="6" t="inlineStr">
        <is>
          <t>FND-0025 (findings/SUM-0027); EXT-0205, EXT-0206, EXT-0207, EXT-0208</t>
        </is>
      </c>
      <c r="AG61" s="6" t="inlineStr"/>
      <c r="AH61" s="6" t="inlineStr">
        <is>
          <t>No</t>
        </is>
      </c>
      <c r="AI61" s="6" t="inlineStr">
        <is>
          <t>Closed 2026-10-19: CMTF uses an annotated goal state in ToolMenuBench (given, not inferred); GIST-CMTF infers it among candidates; no deployment evidence.</t>
        </is>
      </c>
      <c r="AJ61" s="6" t="inlineStr">
        <is>
          <t>repo: v4-03 section 6 / RV-0005 / RV-0007</t>
        </is>
      </c>
      <c r="AK61" s="6" t="inlineStr">
        <is>
          <t>RV-0005 R3</t>
        </is>
      </c>
      <c r="AL61" s="6" t="inlineStr">
        <is>
          <t>S15</t>
        </is>
      </c>
    </row>
    <row r="62" ht="215.5" customHeight="1">
      <c r="A62" s="5" t="inlineStr">
        <is>
          <t>C-R03/DIGESTS</t>
        </is>
      </c>
      <c r="B62" s="6" t="inlineStr">
        <is>
          <t>S4F/S4G digest contexts not read by the lead (R8)</t>
        </is>
      </c>
      <c r="C62" s="6" t="inlineStr">
        <is>
          <t>CLOSED - BY EVIDENCE</t>
        </is>
      </c>
      <c r="D62" s="6" t="inlineStr">
        <is>
          <t>No</t>
        </is>
      </c>
      <c r="E62" s="6" t="inlineStr"/>
      <c r="F62" s="6" t="inlineStr"/>
      <c r="G62" s="14" t="inlineStr">
        <is>
          <t>SOURCE-REREAD</t>
        </is>
      </c>
      <c r="H62" s="6" t="inlineStr">
        <is>
          <t>K17 Record repair &amp; procedure error</t>
        </is>
      </c>
      <c r="I62" s="6" t="inlineStr">
        <is>
          <t>G4 Before claims</t>
        </is>
      </c>
      <c r="J62" s="6" t="inlineStr">
        <is>
          <t>Normal</t>
        </is>
      </c>
      <c r="K62" s="6" t="n">
        <v>155</v>
      </c>
      <c r="L62" s="6" t="inlineStr">
        <is>
          <t>W2 Desk work (no model runs)</t>
        </is>
      </c>
      <c r="M62" s="6" t="inlineStr">
        <is>
          <t>S15</t>
        </is>
      </c>
      <c r="N62" s="6" t="inlineStr">
        <is>
          <t>Lead + fresh reviewer</t>
        </is>
      </c>
      <c r="O62" s="6" t="inlineStr">
        <is>
          <t>Closed; moved to Archive</t>
        </is>
      </c>
      <c r="P62" s="6" t="inlineStr">
        <is>
          <t>Yes - stored text, unread</t>
        </is>
      </c>
      <c r="Q62" s="6" t="inlineStr">
        <is>
          <t>Record fix</t>
        </is>
      </c>
      <c r="R62" s="6" t="inlineStr">
        <is>
          <t>Sub-item</t>
        </is>
      </c>
      <c r="S62" s="6" t="inlineStr">
        <is>
          <t>C-R03</t>
        </is>
      </c>
      <c r="T62" s="6" t="inlineStr">
        <is>
          <t>'not clean' is attributed to S4G line 23 and S4F line 41 says '(U)'; the lead did not read the digests beyond the quoted lines.</t>
        </is>
      </c>
      <c r="U6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62" s="6" t="inlineStr">
        <is>
          <t>Closed 2026-10-19: criterion 'digest lines read in context' met.</t>
        </is>
      </c>
      <c r="W62" s="6" t="inlineStr"/>
      <c r="X62" s="6" t="inlineStr"/>
      <c r="Y62" s="6" t="inlineStr"/>
      <c r="Z62" s="6" t="inlineStr"/>
      <c r="AA62" s="6" t="inlineStr"/>
      <c r="AB62" s="6" t="inlineStr">
        <is>
          <t>RECORD+SOURCE</t>
        </is>
      </c>
      <c r="AC62" s="6" t="inlineStr">
        <is>
          <t>n/a (sub-item)</t>
        </is>
      </c>
      <c r="AD62" s="6" t="inlineStr">
        <is>
          <t>NEW (repo sweep)</t>
        </is>
      </c>
      <c r="AE62" s="6" t="inlineStr">
        <is>
          <t>2026-10-19</t>
        </is>
      </c>
      <c r="AF62" s="6" t="inlineStr">
        <is>
          <t>evidence/governing/stage-reports/S4G-SELECTION-READY-BRIEF-20261015.md:23; evidence/governing/stage-reports/S4F-VEHICLE-FEASIBILITY-REPORT-20261015.md:41; FND-0020 (findings/SUM-0022)</t>
        </is>
      </c>
      <c r="AG62" s="6" t="inlineStr"/>
      <c r="AH62" s="6" t="inlineStr">
        <is>
          <t>No</t>
        </is>
      </c>
      <c r="AI62" s="6" t="inlineStr">
        <is>
          <t>Closed 2026-10-19: the 'not clean' wording in S4G is an interpretation of an S4F unknown (U); the historical records are not rewritten.</t>
        </is>
      </c>
      <c r="AJ62" s="6" t="inlineStr">
        <is>
          <t>repo: v4-03 section 6 / RV-0005 / RV-0007</t>
        </is>
      </c>
      <c r="AK62" s="6" t="inlineStr">
        <is>
          <t>RV-0005 R8</t>
        </is>
      </c>
      <c r="AL62" s="6" t="inlineStr">
        <is>
          <t>S15</t>
        </is>
      </c>
    </row>
    <row r="63" ht="300" customHeight="1">
      <c r="A63" s="5" t="inlineStr">
        <is>
          <t>C-R03/ROUND45</t>
        </is>
      </c>
      <c r="B63" s="6" t="inlineStr">
        <is>
          <t>Literature rounds 4-5 and the corrected text were not challenged</t>
        </is>
      </c>
      <c r="C63" s="6" t="inlineStr">
        <is>
          <t>CLOSED - BY EVIDENCE</t>
        </is>
      </c>
      <c r="D63" s="6" t="inlineStr">
        <is>
          <t>No</t>
        </is>
      </c>
      <c r="E63" s="6" t="inlineStr"/>
      <c r="F63" s="6" t="inlineStr"/>
      <c r="G63" s="14" t="inlineStr">
        <is>
          <t>SOURCE-REREAD</t>
        </is>
      </c>
      <c r="H63" s="6" t="inlineStr">
        <is>
          <t>K17 Record repair &amp; procedure error</t>
        </is>
      </c>
      <c r="I63" s="6" t="inlineStr">
        <is>
          <t>G4 Before claims</t>
        </is>
      </c>
      <c r="J63" s="6" t="inlineStr">
        <is>
          <t>Normal</t>
        </is>
      </c>
      <c r="K63" s="6" t="n">
        <v>156</v>
      </c>
      <c r="L63" s="6" t="inlineStr">
        <is>
          <t>W2 Desk work (no model runs)</t>
        </is>
      </c>
      <c r="M63" s="6" t="inlineStr">
        <is>
          <t>S15</t>
        </is>
      </c>
      <c r="N63" s="6" t="inlineStr">
        <is>
          <t>Lead + fresh reviewer</t>
        </is>
      </c>
      <c r="O63" s="6" t="inlineStr">
        <is>
          <t>Closed; moved to Archive</t>
        </is>
      </c>
      <c r="P63" s="6" t="inlineStr">
        <is>
          <t>Partly</t>
        </is>
      </c>
      <c r="Q63" s="6" t="inlineStr">
        <is>
          <t>Record fix</t>
        </is>
      </c>
      <c r="R63" s="6" t="inlineStr">
        <is>
          <t>Sub-item</t>
        </is>
      </c>
      <c r="S63" s="6" t="inlineStr">
        <is>
          <t>C-R03</t>
        </is>
      </c>
      <c r="T63" s="6" t="inlineStr">
        <is>
          <t>v4-05 header: rounds 4 and 5 and the corrected text have not been re-checked by the challenger; BFCL statistics are the lead's own computation (reproduced in the review).</t>
        </is>
      </c>
      <c r="U6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63" s="6" t="inlineStr">
        <is>
          <t>Closed 2026-10-20: criterion 'a fresh reviewer checks rounds 4-5' met.</t>
        </is>
      </c>
      <c r="W63" s="6" t="inlineStr"/>
      <c r="X63" s="6" t="inlineStr"/>
      <c r="Y63" s="6" t="inlineStr"/>
      <c r="Z63" s="6" t="inlineStr"/>
      <c r="AA63" s="6" t="inlineStr"/>
      <c r="AB63" s="6" t="inlineStr">
        <is>
          <t>RECORD+SOURCE</t>
        </is>
      </c>
      <c r="AC63" s="6" t="inlineStr">
        <is>
          <t>n/a (sub-item)</t>
        </is>
      </c>
      <c r="AD63" s="6" t="inlineStr">
        <is>
          <t>NEW (repo sweep)</t>
        </is>
      </c>
      <c r="AE63" s="6" t="inlineStr">
        <is>
          <t>2026-10-20</t>
        </is>
      </c>
      <c r="AF63" s="6" t="inlineStr">
        <is>
          <t>reviews/RV-0014.md, RV-0015.md, RV-0016.md (fresh reviewers, same model family, each read the source texts; RV-0014 and RV-0016 ended at their turn limit, drafts); reviews/RV-0010.md; design/package-v4/06-corrections-proposed.md</t>
        </is>
      </c>
      <c r="AG63" s="6" t="inlineStr"/>
      <c r="AH63" s="6" t="inlineStr">
        <is>
          <t>No</t>
        </is>
      </c>
      <c r="AI63" s="6" t="inlineStr">
        <is>
          <t>Closed 2026-10-20: fresh reviewers checked rounds 4-5; defects are tracked in C-R03/ROUND45-W and drafted in the successor note.</t>
        </is>
      </c>
      <c r="AJ63" s="6" t="inlineStr">
        <is>
          <t>repo: v4-03 section 6 / RV-0005 / RV-0007</t>
        </is>
      </c>
      <c r="AK63" s="6" t="inlineStr"/>
      <c r="AL63" s="6" t="inlineStr">
        <is>
          <t>S15</t>
        </is>
      </c>
    </row>
    <row r="64" ht="300" customHeight="1">
      <c r="A64" s="5" t="inlineStr">
        <is>
          <t>C-R03/RV7UNCHK</t>
        </is>
      </c>
      <c r="B64" s="6" t="inlineStr">
        <is>
          <t>RV-0007 'Not checked' list</t>
        </is>
      </c>
      <c r="C64" s="6" t="inlineStr">
        <is>
          <t>CLOSED - BY EVIDENCE</t>
        </is>
      </c>
      <c r="D64" s="6" t="inlineStr">
        <is>
          <t>No</t>
        </is>
      </c>
      <c r="E64" s="6" t="inlineStr"/>
      <c r="F64" s="6" t="inlineStr"/>
      <c r="G64" s="14" t="inlineStr">
        <is>
          <t>SOURCE-REREAD</t>
        </is>
      </c>
      <c r="H64" s="6" t="inlineStr">
        <is>
          <t>K17 Record repair &amp; procedure error</t>
        </is>
      </c>
      <c r="I64" s="6" t="inlineStr">
        <is>
          <t>G4 Before claims</t>
        </is>
      </c>
      <c r="J64" s="6" t="inlineStr">
        <is>
          <t>Normal</t>
        </is>
      </c>
      <c r="K64" s="6" t="n">
        <v>158</v>
      </c>
      <c r="L64" s="6" t="inlineStr">
        <is>
          <t>W2 Desk work (no model runs)</t>
        </is>
      </c>
      <c r="M64" s="6" t="inlineStr">
        <is>
          <t>S15</t>
        </is>
      </c>
      <c r="N64" s="6" t="inlineStr">
        <is>
          <t>Lead + fresh reviewer</t>
        </is>
      </c>
      <c r="O64" s="6" t="inlineStr">
        <is>
          <t>Closed; moved to Archive</t>
        </is>
      </c>
      <c r="P64" s="6" t="inlineStr">
        <is>
          <t>Yes - stored text, unread</t>
        </is>
      </c>
      <c r="Q64" s="6" t="inlineStr">
        <is>
          <t>Record fix</t>
        </is>
      </c>
      <c r="R64" s="6" t="inlineStr">
        <is>
          <t>Sub-item</t>
        </is>
      </c>
      <c r="S64" s="6" t="inlineStr">
        <is>
          <t>C-R03</t>
        </is>
      </c>
      <c r="T64"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64"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64" s="6" t="inlineStr">
        <is>
          <t>Closed 2026-10-20: criterion 'each re-read in the stored literature texts or labelled unchecked' met.</t>
        </is>
      </c>
      <c r="W64" s="6" t="inlineStr"/>
      <c r="X64" s="6" t="inlineStr"/>
      <c r="Y64" s="6" t="inlineStr"/>
      <c r="Z64" s="6" t="inlineStr"/>
      <c r="AA64" s="6" t="inlineStr"/>
      <c r="AB64" s="6" t="inlineStr">
        <is>
          <t>RECORD+SOURCE</t>
        </is>
      </c>
      <c r="AC64" s="6" t="inlineStr">
        <is>
          <t>n/a (sub-item)</t>
        </is>
      </c>
      <c r="AD64" s="6" t="inlineStr">
        <is>
          <t>NEW (repo sweep)</t>
        </is>
      </c>
      <c r="AE64" s="6" t="inlineStr">
        <is>
          <t>2026-10-20</t>
        </is>
      </c>
      <c r="AF64" s="6" t="inlineStr">
        <is>
          <t>FND-0023; reviews/RV-0014.md, RV-0015.md, RV-0016.md (fresh reviewers, same model family, each read the source texts; RV-0014 and RV-0016 ended at their turn limit, drafts); design/package-v4/06-corrections-proposed.md</t>
        </is>
      </c>
      <c r="AG64" s="6" t="inlineStr"/>
      <c r="AH64" s="6" t="inlineStr">
        <is>
          <t>No</t>
        </is>
      </c>
      <c r="AI64" s="6" t="inlineStr">
        <is>
          <t>Closed 2026-10-20: each item re-read in the stored literature texts or labelled unchecked.</t>
        </is>
      </c>
      <c r="AJ64" s="6" t="inlineStr">
        <is>
          <t>repo: v4-03 section 6 / RV-0005 / RV-0007</t>
        </is>
      </c>
      <c r="AK64" s="6" t="inlineStr">
        <is>
          <t>RV-0007 Not checked, CH-0074</t>
        </is>
      </c>
      <c r="AL64" s="6" t="inlineStr">
        <is>
          <t>S15</t>
        </is>
      </c>
    </row>
    <row r="65" ht="300" customHeight="1">
      <c r="A65" s="5" t="inlineStr">
        <is>
          <t>N-17/CH0040</t>
        </is>
      </c>
      <c r="B65" s="6" t="inlineStr">
        <is>
          <t>CH-0040 (a)(b) multiplicity: v3 files say fixed, v4 02 and 03 say still open</t>
        </is>
      </c>
      <c r="C65" s="6" t="inlineStr">
        <is>
          <t>CLOSED - BY EVIDENCE</t>
        </is>
      </c>
      <c r="D65" s="6" t="inlineStr">
        <is>
          <t>No</t>
        </is>
      </c>
      <c r="E65" s="6" t="inlineStr"/>
      <c r="F65" s="6" t="inlineStr"/>
      <c r="G65" s="8" t="inlineStr">
        <is>
          <t>RECORDS-AT-HAND</t>
        </is>
      </c>
      <c r="H65" s="6" t="inlineStr">
        <is>
          <t>K17 Record repair &amp; procedure error</t>
        </is>
      </c>
      <c r="I65" s="6" t="inlineStr">
        <is>
          <t>G4 Before claims</t>
        </is>
      </c>
      <c r="J65" s="6" t="inlineStr">
        <is>
          <t>Normal</t>
        </is>
      </c>
      <c r="K65" s="6" t="n">
        <v>161</v>
      </c>
      <c r="L65" s="6" t="inlineStr">
        <is>
          <t>W2 Desk work (no model runs)</t>
        </is>
      </c>
      <c r="M65" s="6" t="inlineStr">
        <is>
          <t>S15</t>
        </is>
      </c>
      <c r="N65" s="6" t="inlineStr">
        <is>
          <t>Lead drafts, you approve</t>
        </is>
      </c>
      <c r="O65" s="6" t="inlineStr">
        <is>
          <t>Closed; moved to Archive</t>
        </is>
      </c>
      <c r="P65" s="6" t="inlineStr">
        <is>
          <t>Answered (see basis)</t>
        </is>
      </c>
      <c r="Q65" s="6" t="inlineStr">
        <is>
          <t>Record fix</t>
        </is>
      </c>
      <c r="R65" s="6" t="inlineStr">
        <is>
          <t>Sub-item</t>
        </is>
      </c>
      <c r="S65" s="6" t="inlineStr">
        <is>
          <t>N-17</t>
        </is>
      </c>
      <c r="T65"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65"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65" s="6" t="inlineStr">
        <is>
          <t>Closed 2026-10-19: criterion 'the operative text states once whether (a)(b) are fixed or open' is replaced by the question it served ('which is true?'), answered from the v3 and v4 text; the wording correction is drafted under C-R01/V4-03-STALE.</t>
        </is>
      </c>
      <c r="W65" s="6" t="inlineStr"/>
      <c r="X65" s="6" t="inlineStr"/>
      <c r="Y65" s="6" t="inlineStr"/>
      <c r="Z65" s="6" t="inlineStr"/>
      <c r="AA65" s="6" t="inlineStr"/>
      <c r="AB65" s="6" t="inlineStr">
        <is>
          <t>RECORD+DEC</t>
        </is>
      </c>
      <c r="AC65" s="6" t="inlineStr">
        <is>
          <t>n/a (sub-item)</t>
        </is>
      </c>
      <c r="AD65" s="6" t="inlineStr">
        <is>
          <t>NEW (repo sweep)</t>
        </is>
      </c>
      <c r="AE65" s="6" t="inlineStr">
        <is>
          <t>2026-10-19</t>
        </is>
      </c>
      <c r="AF65" s="6" t="inlineStr">
        <is>
          <t>design/package-v3/02-supervisor-decision-graph.md:63; design/package-v3/04-objections-and-experiments.md:13; design/package-v4/02-policy-graph-and-protocol.md:3, 66-70, 92; design/package-v4/03-review-adjudication.md:40; reviews/RV-0008.md (CH-0040)</t>
        </is>
      </c>
      <c r="AG65" s="6" t="inlineStr"/>
      <c r="AH65" s="6" t="inlineStr">
        <is>
          <t>No (editing needs the human's approval)</t>
        </is>
      </c>
      <c r="AI65" s="6" t="inlineStr">
        <is>
          <t>Closed 2026-10-19 by the text: no contradiction on the rule; the table and its size are open as a human decision (CH-0040 stays open for that); the v4 sentence at 02 line 92 and the missing Figure 2 failure branch are tracked in C-R01/V4-03-STALE and C-R01/FIG2.</t>
        </is>
      </c>
      <c r="AJ65" s="6" t="inlineStr">
        <is>
          <t>RV-0008 (Reviewer 6a)</t>
        </is>
      </c>
      <c r="AK65" s="6" t="inlineStr"/>
      <c r="AL65" s="6" t="inlineStr">
        <is>
          <t>S15</t>
        </is>
      </c>
    </row>
    <row r="66" ht="90.5" customHeight="1">
      <c r="A66" s="5" t="inlineStr">
        <is>
          <t>N-18</t>
        </is>
      </c>
      <c r="B66" s="6" t="inlineStr">
        <is>
          <t>v4-05 says the BFCL paper 'was not fetched' but sources.json stores it</t>
        </is>
      </c>
      <c r="C66" s="6" t="inlineStr">
        <is>
          <t>CLOSED - BY EVIDENCE</t>
        </is>
      </c>
      <c r="D66" s="6" t="inlineStr">
        <is>
          <t>No</t>
        </is>
      </c>
      <c r="E66" s="6" t="inlineStr"/>
      <c r="F66" s="6" t="inlineStr"/>
      <c r="G66" s="8" t="inlineStr">
        <is>
          <t>RECORDS-AT-HAND</t>
        </is>
      </c>
      <c r="H66" s="6" t="inlineStr">
        <is>
          <t>K17 Record repair &amp; procedure error</t>
        </is>
      </c>
      <c r="I66" s="6" t="inlineStr">
        <is>
          <t>G5 Housekeeping / no block</t>
        </is>
      </c>
      <c r="J66" s="6" t="inlineStr">
        <is>
          <t>Low</t>
        </is>
      </c>
      <c r="K66" s="6" t="n">
        <v>164</v>
      </c>
      <c r="L66" s="6" t="inlineStr">
        <is>
          <t>W2 Desk work (no model runs)</t>
        </is>
      </c>
      <c r="M66" s="6" t="inlineStr">
        <is>
          <t>S15</t>
        </is>
      </c>
      <c r="N66" s="6" t="inlineStr">
        <is>
          <t>Lead</t>
        </is>
      </c>
      <c r="O66" s="6" t="inlineStr">
        <is>
          <t>Closed; moved to Archive</t>
        </is>
      </c>
      <c r="P66" s="6" t="inlineStr">
        <is>
          <t>Answered (see basis)</t>
        </is>
      </c>
      <c r="Q66" s="6" t="inlineStr">
        <is>
          <t>Record fix</t>
        </is>
      </c>
      <c r="R66" s="6" t="inlineStr">
        <is>
          <t>Item</t>
        </is>
      </c>
      <c r="S66" s="6" t="inlineStr"/>
      <c r="T66" s="6" t="inlineStr">
        <is>
          <t>design/package-v4/05-literature-check-summary.md section 5 says the BFCL paper itself was not fetched; evidence/sources.json lists r3-bfcl (patil25a.pdf, 22 pp, 110 KB text).</t>
        </is>
      </c>
      <c r="U66"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66" s="6" t="inlineStr">
        <is>
          <t>v4-05 wording corrected (successor note).</t>
        </is>
      </c>
      <c r="W66" s="6" t="inlineStr"/>
      <c r="X66" s="6" t="inlineStr"/>
      <c r="Y66" s="6" t="inlineStr"/>
      <c r="Z66" s="6" t="inlineStr"/>
      <c r="AA66" s="6" t="inlineStr"/>
      <c r="AB66" s="6" t="inlineStr">
        <is>
          <t>RECORD</t>
        </is>
      </c>
      <c r="AC66" s="6" t="inlineStr">
        <is>
          <t>n/a (new)</t>
        </is>
      </c>
      <c r="AD66" s="6" t="inlineStr">
        <is>
          <t>NEW (repo sweep)</t>
        </is>
      </c>
      <c r="AE66" s="6" t="inlineStr">
        <is>
          <t>2026-10-19</t>
        </is>
      </c>
      <c r="AF66" s="6" t="inlineStr">
        <is>
          <t>FND-0009 (findings/SUM-0011); evidence/sources.json r3-bfcl; v4-05 section 5</t>
        </is>
      </c>
      <c r="AG66" s="6" t="inlineStr">
        <is>
          <t>If a design record starts to cite one of the six</t>
        </is>
      </c>
      <c r="AH66" s="6" t="inlineStr">
        <is>
          <t>No</t>
        </is>
      </c>
      <c r="AI66" s="6" t="inlineStr">
        <is>
          <t>Closed 2026-10-19; correction recorded in this ledger (C-E02/E20, N-18).</t>
        </is>
      </c>
      <c r="AJ66" s="6" t="inlineStr">
        <is>
          <t>review 19 Oct + repo sweep</t>
        </is>
      </c>
      <c r="AK66" s="6" t="inlineStr"/>
      <c r="AL66" s="6" t="inlineStr">
        <is>
          <t>S15</t>
        </is>
      </c>
    </row>
    <row r="67" ht="300" customHeight="1">
      <c r="A67" s="5" t="inlineStr">
        <is>
          <t>C-S03/EXCEPTIONS</t>
        </is>
      </c>
      <c r="B67" s="6" t="inlineStr">
        <is>
          <t>Documented cache exceptions are untested</t>
        </is>
      </c>
      <c r="C67" s="6" t="inlineStr">
        <is>
          <t>CLOSED - BY EVIDENCE</t>
        </is>
      </c>
      <c r="D67" s="6" t="inlineStr">
        <is>
          <t>No</t>
        </is>
      </c>
      <c r="E67" s="6" t="inlineStr"/>
      <c r="F67" s="6" t="inlineStr"/>
      <c r="G67" s="17" t="inlineStr">
        <is>
          <t>TEST-PILOT</t>
        </is>
      </c>
      <c r="H67" s="6" t="inlineStr">
        <is>
          <t>K9 Cache &amp; billing</t>
        </is>
      </c>
      <c r="I67" s="6" t="inlineStr">
        <is>
          <t>G3 Before confirmatory study</t>
        </is>
      </c>
      <c r="J67" s="6" t="inlineStr">
        <is>
          <t>Normal</t>
        </is>
      </c>
      <c r="K67" s="6" t="n">
        <v>169</v>
      </c>
      <c r="L67" s="6" t="inlineStr">
        <is>
          <t>W3 Pilots (AUTH)</t>
        </is>
      </c>
      <c r="M67" s="6" t="inlineStr">
        <is>
          <t>S18</t>
        </is>
      </c>
      <c r="N67" s="6" t="inlineStr">
        <is>
          <t>Team / provider</t>
        </is>
      </c>
      <c r="O67" s="6" t="inlineStr">
        <is>
          <t>Closed; moved to Archive</t>
        </is>
      </c>
      <c r="P67" s="6" t="inlineStr">
        <is>
          <t>Partly</t>
        </is>
      </c>
      <c r="Q67" s="6" t="inlineStr">
        <is>
          <t>Scientific unknown</t>
        </is>
      </c>
      <c r="R67" s="6" t="inlineStr">
        <is>
          <t>Sub-item</t>
        </is>
      </c>
      <c r="S67" s="6" t="inlineStr">
        <is>
          <t>C-S03</t>
        </is>
      </c>
      <c r="T67" s="6" t="inlineStr">
        <is>
          <t>Vendor-documented exceptions (e.g., a conversation with no non-deferred tool pays one full miss; a tool-search tool counts as non-deferred) have not been tested.</t>
        </is>
      </c>
      <c r="U6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 2026-10-21 (AUTH-019): under the human's principle (INT-T-005 line 1 (the human's principle: do not re-test what is already well tested)) the documented cache exceptions are the providers' statements of their own mechanism and are adopted as design constraints, not re-tested (EXT-0158, EXT-0131, EXT-0142; FND-0037 (findings/SUM-0039)); caveat: that a tool-search tool counts as non-deferred is implied, not stated (EXT-0161).</t>
        </is>
      </c>
      <c r="V67" s="6" t="inlineStr">
        <is>
          <t>Closed 2026-10-21: documented mechanism adopted (the human's principle).</t>
        </is>
      </c>
      <c r="W67" s="6" t="inlineStr">
        <is>
          <t>C-D09, C-D08</t>
        </is>
      </c>
      <c r="X67" s="6" t="inlineStr"/>
      <c r="Y67" s="6" t="inlineStr"/>
      <c r="Z67" s="6" t="inlineStr"/>
      <c r="AA67" s="6" t="inlineStr"/>
      <c r="AB67" s="6" t="inlineStr">
        <is>
          <t>DATA+SOURCE</t>
        </is>
      </c>
      <c r="AC67" s="6" t="inlineStr">
        <is>
          <t>n/a (sub-item)</t>
        </is>
      </c>
      <c r="AD67" s="6" t="inlineStr">
        <is>
          <t>NEW (SRC-11 sub-row)</t>
        </is>
      </c>
      <c r="AE67" s="6" t="inlineStr">
        <is>
          <t>2026-10-21</t>
        </is>
      </c>
      <c r="AF67" s="6" t="inlineStr">
        <is>
          <t>FND-0037 (findings/SUM-0039); EXT-0158, EXT-0131, EXT-0142</t>
        </is>
      </c>
      <c r="AG67" s="6" t="inlineStr"/>
      <c r="AH67" s="6" t="inlineStr">
        <is>
          <t>Yes</t>
        </is>
      </c>
      <c r="AI67" s="6" t="inlineStr">
        <is>
          <t>Closed 2026-10-21: adopted from the providers' documentation as constraints; no re-test.</t>
        </is>
      </c>
      <c r="AJ67" s="6" t="inlineStr">
        <is>
          <t>repo: v4-05 section 1A / v2-05 / v3-04</t>
        </is>
      </c>
      <c r="AK67" s="6" t="inlineStr"/>
      <c r="AL67" s="6" t="inlineStr">
        <is>
          <t>S18</t>
        </is>
      </c>
    </row>
    <row r="68" ht="253" customHeight="1">
      <c r="A68" s="5" t="inlineStr">
        <is>
          <t>C-S03/MINCACHE</t>
        </is>
      </c>
      <c r="B68" s="6" t="inlineStr">
        <is>
          <t>Minimum cacheable length: a small restricted prefix may fall below the cache threshold</t>
        </is>
      </c>
      <c r="C68" s="6" t="inlineStr">
        <is>
          <t>CLOSED - BY EVIDENCE</t>
        </is>
      </c>
      <c r="D68" s="6" t="inlineStr">
        <is>
          <t>No</t>
        </is>
      </c>
      <c r="E68" s="6" t="inlineStr"/>
      <c r="F68" s="6" t="inlineStr"/>
      <c r="G68" s="17" t="inlineStr">
        <is>
          <t>TEST-PILOT</t>
        </is>
      </c>
      <c r="H68" s="6" t="inlineStr">
        <is>
          <t>K9 Cache &amp; billing</t>
        </is>
      </c>
      <c r="I68" s="6" t="inlineStr">
        <is>
          <t>G3 Before confirmatory study</t>
        </is>
      </c>
      <c r="J68" s="6" t="inlineStr">
        <is>
          <t>Normal</t>
        </is>
      </c>
      <c r="K68" s="6" t="n">
        <v>170</v>
      </c>
      <c r="L68" s="6" t="inlineStr">
        <is>
          <t>W3 Pilots (AUTH)</t>
        </is>
      </c>
      <c r="M68" s="6" t="inlineStr">
        <is>
          <t>S18</t>
        </is>
      </c>
      <c r="N68" s="6" t="inlineStr">
        <is>
          <t>Team / provider</t>
        </is>
      </c>
      <c r="O68" s="6" t="inlineStr">
        <is>
          <t>Closed; moved to Archive</t>
        </is>
      </c>
      <c r="P68" s="6" t="inlineStr">
        <is>
          <t>Partly</t>
        </is>
      </c>
      <c r="Q68" s="6" t="inlineStr">
        <is>
          <t>Scientific unknown</t>
        </is>
      </c>
      <c r="R68" s="6" t="inlineStr">
        <is>
          <t>Sub-item</t>
        </is>
      </c>
      <c r="S68" s="6" t="inlineStr">
        <is>
          <t>C-S03</t>
        </is>
      </c>
      <c r="T68" s="6" t="inlineStr">
        <is>
          <t>Cache study: minimum cacheable length 1,024-4,096 tokens by provider; a small restricted prefix can fall under it and lose caching entirely.</t>
        </is>
      </c>
      <c r="U6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 2026-10-21 (AUTH-019): the minimum cacheable length is documented per provider and model (EXT-0150; FND-0039 Table 3) and adopted; the value for the model chosen is read at implementation time, not tested.</t>
        </is>
      </c>
      <c r="V68" s="6" t="inlineStr">
        <is>
          <t>Closed 2026-10-21: documented mechanism adopted.</t>
        </is>
      </c>
      <c r="W68" s="6" t="inlineStr">
        <is>
          <t>C-D09, C-D08</t>
        </is>
      </c>
      <c r="X68" s="6" t="inlineStr"/>
      <c r="Y68" s="6" t="inlineStr"/>
      <c r="Z68" s="6" t="inlineStr"/>
      <c r="AA68" s="6" t="inlineStr"/>
      <c r="AB68" s="6" t="inlineStr">
        <is>
          <t>DATA</t>
        </is>
      </c>
      <c r="AC68" s="6" t="inlineStr">
        <is>
          <t>n/a (sub-item)</t>
        </is>
      </c>
      <c r="AD68" s="6" t="inlineStr">
        <is>
          <t>NEW (SRC-11 sub-row)</t>
        </is>
      </c>
      <c r="AE68" s="6" t="inlineStr">
        <is>
          <t>2026-10-21</t>
        </is>
      </c>
      <c r="AF68" s="6" t="inlineStr">
        <is>
          <t>FND-0037 (findings/SUM-0039); EXT-0150</t>
        </is>
      </c>
      <c r="AG68" s="6" t="inlineStr"/>
      <c r="AH68" s="6" t="inlineStr">
        <is>
          <t>Yes</t>
        </is>
      </c>
      <c r="AI68" s="6" t="inlineStr">
        <is>
          <t>Closed 2026-10-21: documented minimums adopted; check the chosen model's value at implementation.</t>
        </is>
      </c>
      <c r="AJ68" s="6" t="inlineStr">
        <is>
          <t>repo: v4-05 section 1A / v2-05 / v3-04</t>
        </is>
      </c>
      <c r="AK68" s="6" t="inlineStr"/>
      <c r="AL68" s="6" t="inlineStr">
        <is>
          <t>S18</t>
        </is>
      </c>
    </row>
    <row r="69" ht="78" customHeight="1">
      <c r="A69" s="5" t="inlineStr">
        <is>
          <t>AS-14</t>
        </is>
      </c>
      <c r="B69" s="6" t="inlineStr">
        <is>
          <t>Supervisor assertion A14: a trivial 'hello' / 'hi' exchange consumes about 10,000 tokens where 10-30 would do</t>
        </is>
      </c>
      <c r="C69" s="6" t="inlineStr">
        <is>
          <t>SUPERSEDED / MERGED</t>
        </is>
      </c>
      <c r="D69" s="6" t="inlineStr">
        <is>
          <t>No</t>
        </is>
      </c>
      <c r="E69" s="6" t="inlineStr"/>
      <c r="F69" s="6" t="inlineStr"/>
      <c r="G69" s="17" t="inlineStr">
        <is>
          <t>TEST-PILOT</t>
        </is>
      </c>
      <c r="H69" s="6" t="inlineStr">
        <is>
          <t>K12 Selector &amp; need estimation</t>
        </is>
      </c>
      <c r="I69" s="6" t="inlineStr">
        <is>
          <t>G4 Before claims</t>
        </is>
      </c>
      <c r="J69" s="6" t="inlineStr">
        <is>
          <t>Normal</t>
        </is>
      </c>
      <c r="K69" s="6" t="n">
        <v>192</v>
      </c>
      <c r="L69" s="6" t="inlineStr">
        <is>
          <t>W3 Pilots (AUTH)</t>
        </is>
      </c>
      <c r="M69" s="6" t="inlineStr">
        <is>
          <t>S20</t>
        </is>
      </c>
      <c r="N69" s="6" t="inlineStr">
        <is>
          <t>Team</t>
        </is>
      </c>
      <c r="O69" s="6" t="inlineStr">
        <is>
          <t>Closed; moved to Archive</t>
        </is>
      </c>
      <c r="P69" s="6" t="inlineStr">
        <is>
          <t>No</t>
        </is>
      </c>
      <c r="Q69" s="6" t="inlineStr">
        <is>
          <t>Claim to test</t>
        </is>
      </c>
      <c r="R69" s="6" t="inlineStr">
        <is>
          <t>Item</t>
        </is>
      </c>
      <c r="S69" s="6" t="inlineStr"/>
      <c r="T69" s="6" t="inlineStr">
        <is>
          <t>Said on 21 October (INT-T-002 L190-L207). Testable directly in the first token-accounting measurement (E1).</t>
        </is>
      </c>
      <c r="U69" s="6" t="inlineStr">
        <is>
          <t>Recorded as his assertion. 2026-10-21 (AUTH-019, the human's decisions): the 'hello / hi costs 10,000 tokens' remark is read by the human as the same illustration (line 20); it is not tested as a separate claim, and the first token accounting will show the real numbers anyway.</t>
        </is>
      </c>
      <c r="V69" s="6" t="inlineStr">
        <is>
          <t>Merged into C-D02.</t>
        </is>
      </c>
      <c r="W69" s="6" t="inlineStr"/>
      <c r="X69" s="6" t="inlineStr"/>
      <c r="Y69" s="6" t="inlineStr"/>
      <c r="Z69" s="6" t="inlineStr"/>
      <c r="AA69" s="6" t="inlineStr"/>
      <c r="AB69" s="6" t="inlineStr">
        <is>
          <t>DATA</t>
        </is>
      </c>
      <c r="AC69" s="6" t="inlineStr">
        <is>
          <t>n/a (new, 21 Oct meeting)</t>
        </is>
      </c>
      <c r="AD69" s="6" t="inlineStr">
        <is>
          <t>NEW (supervisor meeting 2026-10-21)</t>
        </is>
      </c>
      <c r="AE69" s="6" t="inlineStr">
        <is>
          <t>2026-10-21</t>
        </is>
      </c>
      <c r="AF69" s="6" t="inlineStr">
        <is>
          <t>INT-T-005 (requirements/intake/2026-10-21-user-decisions-after-meetings.md)</t>
        </is>
      </c>
      <c r="AG69" s="6" t="inlineStr"/>
      <c r="AH69" s="6" t="inlineStr">
        <is>
          <t>Yes for any experiment</t>
        </is>
      </c>
      <c r="AI69" s="6" t="inlineStr">
        <is>
          <t>Merged 2026-10-21: an illustration, not a separate claim.</t>
        </is>
      </c>
      <c r="AJ69" s="6" t="inlineStr">
        <is>
          <t>Supervisor meetings intake (AUTH-018)</t>
        </is>
      </c>
      <c r="AK69" s="6" t="inlineStr"/>
      <c r="AL69" s="6" t="inlineStr">
        <is>
          <t>S11</t>
        </is>
      </c>
    </row>
    <row r="70" ht="153" customHeight="1">
      <c r="A70" s="5" t="inlineStr">
        <is>
          <t>N-29</t>
        </is>
      </c>
      <c r="B70" s="6" t="inlineStr">
        <is>
          <t>Tool responses kept in files and searched, instead of kept in the context (supervisor's example; '80% of the cost')</t>
        </is>
      </c>
      <c r="C70" s="6" t="inlineStr">
        <is>
          <t>SUPERSEDED / MERGED</t>
        </is>
      </c>
      <c r="D70" s="6" t="inlineStr">
        <is>
          <t>No</t>
        </is>
      </c>
      <c r="E70" s="6" t="inlineStr"/>
      <c r="F70" s="6" t="inlineStr"/>
      <c r="G70" s="17" t="inlineStr">
        <is>
          <t>TEST-PILOT</t>
        </is>
      </c>
      <c r="H70" s="6" t="inlineStr">
        <is>
          <t>K11 End-to-end comparison</t>
        </is>
      </c>
      <c r="I70" s="6" t="inlineStr">
        <is>
          <t>G2 Before the affected pilot/arm</t>
        </is>
      </c>
      <c r="J70" s="6" t="inlineStr">
        <is>
          <t>Normal</t>
        </is>
      </c>
      <c r="K70" s="6" t="n">
        <v>218</v>
      </c>
      <c r="L70" s="6" t="inlineStr">
        <is>
          <t>W4 End-to-end</t>
        </is>
      </c>
      <c r="M70" s="6" t="inlineStr">
        <is>
          <t>S23</t>
        </is>
      </c>
      <c r="N70" s="6" t="inlineStr">
        <is>
          <t>Team</t>
        </is>
      </c>
      <c r="O70" s="6" t="inlineStr">
        <is>
          <t>Closed; moved to Archive</t>
        </is>
      </c>
      <c r="P70" s="6" t="inlineStr">
        <is>
          <t>No</t>
        </is>
      </c>
      <c r="Q70" s="6" t="inlineStr">
        <is>
          <t>Claim to test</t>
        </is>
      </c>
      <c r="R70" s="6" t="inlineStr">
        <is>
          <t>Item</t>
        </is>
      </c>
      <c r="S70" s="6" t="inlineStr"/>
      <c r="T70"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70" s="6" t="inlineStr">
        <is>
          <t>Recorded; no stored source measures this practice in our setting (the code-mode and programmatic-tool-calling sources concern tool results kept out of the context, EXT-0183, EXT-0016: related, not the same). 2026-10-21 (AUTH-019, the human's decisions): 'I gues here he means like resoruces should not all be given to the model he is not saying sth new he is just expalining the idea of our thessis in a very simplicitic example' (line 20): the files-not-context example is an illustration of the thesis aim, merged into C-D02 and N-2.</t>
        </is>
      </c>
      <c r="V70" s="6" t="inlineStr">
        <is>
          <t>Merged into C-D02 and N-2.</t>
        </is>
      </c>
      <c r="W70" s="6" t="inlineStr"/>
      <c r="X70" s="6" t="inlineStr"/>
      <c r="Y70" s="6" t="inlineStr">
        <is>
          <t>Q-J30</t>
        </is>
      </c>
      <c r="Z70" s="6" t="inlineStr"/>
      <c r="AA70" s="6" t="inlineStr"/>
      <c r="AB70" s="6" t="inlineStr">
        <is>
          <t>DATA</t>
        </is>
      </c>
      <c r="AC70" s="6" t="inlineStr">
        <is>
          <t>n/a (new, 21 Oct meeting)</t>
        </is>
      </c>
      <c r="AD70" s="6" t="inlineStr">
        <is>
          <t>NEW (supervisor meeting 2026-10-21)</t>
        </is>
      </c>
      <c r="AE70" s="6" t="inlineStr">
        <is>
          <t>2026-10-21</t>
        </is>
      </c>
      <c r="AF70" s="6" t="inlineStr">
        <is>
          <t>INT-T-005 (requirements/intake/2026-10-21-user-decisions-after-meetings.md)</t>
        </is>
      </c>
      <c r="AG70" s="6" t="inlineStr"/>
      <c r="AH70" s="6" t="inlineStr">
        <is>
          <t>Yes for any experiment</t>
        </is>
      </c>
      <c r="AI70" s="6" t="inlineStr">
        <is>
          <t>Merged 2026-10-21: an illustration of the thesis aim, not a separate claim (the human's reading).</t>
        </is>
      </c>
      <c r="AJ70" s="6" t="inlineStr">
        <is>
          <t>Supervisor meetings intake (AUTH-018)</t>
        </is>
      </c>
      <c r="AK70" s="6" t="inlineStr"/>
      <c r="AL70" s="6" t="inlineStr">
        <is>
          <t>S22</t>
        </is>
      </c>
    </row>
    <row r="71" ht="140.5" customHeight="1">
      <c r="A71" s="5" t="inlineStr">
        <is>
          <t>C-E03/O7-26</t>
        </is>
      </c>
      <c r="B71" s="6" t="inlineStr">
        <is>
          <t>Vendor figures unreplicated/inconsistent (GitHub 27.5 vs 25.5; Anthropic 85% vs ~89%)</t>
        </is>
      </c>
      <c r="C71" s="6" t="inlineStr">
        <is>
          <t>CLOSED - BY EVIDENCE</t>
        </is>
      </c>
      <c r="D71" s="6" t="inlineStr">
        <is>
          <t>No</t>
        </is>
      </c>
      <c r="E71" s="6" t="inlineStr"/>
      <c r="F71" s="6" t="inlineStr"/>
      <c r="G71" s="14" t="inlineStr">
        <is>
          <t>SOURCE-REREAD</t>
        </is>
      </c>
      <c r="H71" s="6" t="inlineStr">
        <is>
          <t>K14 Source &amp; vendor verification</t>
        </is>
      </c>
      <c r="I71" s="6" t="inlineStr">
        <is>
          <t>G4 Before claims</t>
        </is>
      </c>
      <c r="J71" s="6" t="inlineStr">
        <is>
          <t>Normal</t>
        </is>
      </c>
      <c r="K71" s="6" t="n">
        <v>226</v>
      </c>
      <c r="L71" s="6" t="inlineStr">
        <is>
          <t>W5 Claim-time</t>
        </is>
      </c>
      <c r="M71" s="6" t="inlineStr">
        <is>
          <t>S24</t>
        </is>
      </c>
      <c r="N71" s="6" t="inlineStr">
        <is>
          <t>Lead</t>
        </is>
      </c>
      <c r="O71" s="6" t="inlineStr">
        <is>
          <t>Closed; moved to Archive</t>
        </is>
      </c>
      <c r="P71" s="6" t="inlineStr">
        <is>
          <t>Partly</t>
        </is>
      </c>
      <c r="Q71" s="6" t="inlineStr">
        <is>
          <t>Source check</t>
        </is>
      </c>
      <c r="R71" s="6" t="inlineStr">
        <is>
          <t>Sub-item</t>
        </is>
      </c>
      <c r="S71" s="6" t="inlineStr">
        <is>
          <t>C-E03</t>
        </is>
      </c>
      <c r="T71" s="6" t="inlineStr">
        <is>
          <t>SRC-07 26: vendor figures are unreplicated or inconsistent (GitHub 27.5 vs 25.5; Anthropic 85% vs ~89%).</t>
        </is>
      </c>
      <c r="U71"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71" s="6" t="inlineStr">
        <is>
          <t>Denominators recomputed; vendor report separated from independent results.</t>
        </is>
      </c>
      <c r="W71" s="6" t="inlineStr"/>
      <c r="X71" s="6" t="inlineStr"/>
      <c r="Y71" s="6" t="inlineStr"/>
      <c r="Z71" s="6" t="inlineStr"/>
      <c r="AA71" s="6" t="inlineStr"/>
      <c r="AB71" s="6" t="inlineStr">
        <is>
          <t>SOURCE+DATA</t>
        </is>
      </c>
      <c r="AC71" s="6" t="inlineStr">
        <is>
          <t>n/a (sub-item)</t>
        </is>
      </c>
      <c r="AD71" s="6" t="inlineStr">
        <is>
          <t>NEW (SRC-11 sub-row)</t>
        </is>
      </c>
      <c r="AE71" s="6" t="inlineStr">
        <is>
          <t>2026-10-19</t>
        </is>
      </c>
      <c r="AF71" s="6" t="inlineStr">
        <is>
          <t>FND-0012 (findings/SUM-0014); EXT-0161, EXT-0163</t>
        </is>
      </c>
      <c r="AG71" s="6" t="inlineStr"/>
      <c r="AH71" s="6" t="inlineStr">
        <is>
          <t>No</t>
        </is>
      </c>
      <c r="AI71" s="6" t="inlineStr">
        <is>
          <t>Closed 2026-10-19: denominators recomputed from the pages; the vendor statements are separated from the derived numbers; the discrepancies stay recorded as vendor-page inconsistencies.</t>
        </is>
      </c>
      <c r="AJ71" s="6" t="inlineStr">
        <is>
          <t>SRC-11 section D1</t>
        </is>
      </c>
      <c r="AK71" s="6" t="inlineStr">
        <is>
          <t>SRC-07 26, CAVEATS 8</t>
        </is>
      </c>
      <c r="AL71" s="6" t="inlineStr">
        <is>
          <t>S11</t>
        </is>
      </c>
    </row>
    <row r="72" ht="28" customHeight="1">
      <c r="A72" s="5" t="inlineStr">
        <is>
          <t>A-01</t>
        </is>
      </c>
      <c r="B72" s="6" t="inlineStr">
        <is>
          <t>Oct formulation centres on reducing tool count while keeping accuracy high</t>
        </is>
      </c>
      <c r="C72" s="6" t="inlineStr">
        <is>
          <t>CLOSED - CLAUSE</t>
        </is>
      </c>
      <c r="D72" s="6" t="inlineStr">
        <is>
          <t>No</t>
        </is>
      </c>
      <c r="E72" s="6" t="inlineStr"/>
      <c r="F72" s="6" t="inlineStr"/>
      <c r="G72" s="18" t="inlineStr">
        <is>
          <t>CROSS-REFERENCE</t>
        </is>
      </c>
      <c r="H72" s="6" t="inlineStr">
        <is>
          <t>K2 Objective &amp; accounting</t>
        </is>
      </c>
      <c r="I72" s="6" t="inlineStr">
        <is>
          <t>G5 Housekeeping / no block</t>
        </is>
      </c>
      <c r="J72" s="6" t="inlineStr">
        <is>
          <t>Low</t>
        </is>
      </c>
      <c r="K72" s="6" t="n">
        <v>228</v>
      </c>
      <c r="L72" s="6" t="inlineStr">
        <is>
          <t>W5 Claim-time</t>
        </is>
      </c>
      <c r="M72" s="6" t="inlineStr">
        <is>
          <t>S25</t>
        </is>
      </c>
      <c r="N72" s="6" t="inlineStr">
        <is>
          <t>n/a</t>
        </is>
      </c>
      <c r="O72" s="6" t="inlineStr">
        <is>
          <t>None; closes when its parents close</t>
        </is>
      </c>
      <c r="P72" s="6" t="inlineStr">
        <is>
          <t>Partly</t>
        </is>
      </c>
      <c r="Q72" s="6" t="inlineStr">
        <is>
          <t>Answered clause</t>
        </is>
      </c>
      <c r="R72" s="6" t="inlineStr">
        <is>
          <t>Clause</t>
        </is>
      </c>
      <c r="S72" s="6" t="inlineStr">
        <is>
          <t>C-D02</t>
        </is>
      </c>
      <c r="T72" s="6" t="inlineStr">
        <is>
          <t>Joaa's October spoken formulation centres on reducing the number of tools while keeping accuracy high.</t>
        </is>
      </c>
      <c r="U72" s="6" t="inlineStr">
        <is>
          <t>Corroborated by repo excerpt E1; it does not amend every June clause.</t>
        </is>
      </c>
      <c r="V72" s="6" t="inlineStr">
        <is>
          <t>Closed within the cited record; the parent row keeps the rest.</t>
        </is>
      </c>
      <c r="W72" s="6" t="inlineStr"/>
      <c r="X72" s="6" t="inlineStr"/>
      <c r="Y72" s="6" t="inlineStr"/>
      <c r="Z72" s="6" t="inlineStr"/>
      <c r="AA72" s="6" t="inlineStr"/>
      <c r="AB72" s="6" t="inlineStr"/>
      <c r="AC72" s="6" t="inlineStr">
        <is>
          <t>Answered clause (SRC-11)</t>
        </is>
      </c>
      <c r="AD72" s="6" t="inlineStr">
        <is>
          <t>CLOSED (baseline)</t>
        </is>
      </c>
      <c r="AE72" s="6" t="inlineStr">
        <is>
          <t>2026-10-19</t>
        </is>
      </c>
      <c r="AF72" s="6" t="inlineStr">
        <is>
          <t>SRC-05 ~00:07 (via SRC-09); repo intake E1 (00:07:04) says this</t>
        </is>
      </c>
      <c r="AG72" s="6" t="inlineStr"/>
      <c r="AH72" s="6" t="inlineStr">
        <is>
          <t>No</t>
        </is>
      </c>
      <c r="AI72" s="6" t="inlineStr">
        <is>
          <t>Closed within the cited record at baseline.</t>
        </is>
      </c>
      <c r="AJ72" s="6" t="inlineStr">
        <is>
          <t>SRC-11 'What is answered narrowly already'</t>
        </is>
      </c>
      <c r="AK72" s="6" t="inlineStr"/>
      <c r="AL72" s="6" t="inlineStr">
        <is>
          <t>S01</t>
        </is>
      </c>
    </row>
    <row r="73" ht="40.5" customHeight="1">
      <c r="A73" s="5" t="inlineStr">
        <is>
          <t>A-02</t>
        </is>
      </c>
      <c r="B73" s="6" t="inlineStr">
        <is>
          <t>Context-dependent questions and stages requested; stage count unfixed; filtered tool may return</t>
        </is>
      </c>
      <c r="C73" s="6" t="inlineStr">
        <is>
          <t>CLOSED - CLAUSE</t>
        </is>
      </c>
      <c r="D73" s="6" t="inlineStr">
        <is>
          <t>No</t>
        </is>
      </c>
      <c r="E73" s="6" t="inlineStr"/>
      <c r="F73" s="6" t="inlineStr"/>
      <c r="G73" s="18" t="inlineStr">
        <is>
          <t>CROSS-REFERENCE</t>
        </is>
      </c>
      <c r="H73" s="6" t="inlineStr">
        <is>
          <t>K3 Policy form</t>
        </is>
      </c>
      <c r="I73" s="6" t="inlineStr">
        <is>
          <t>G5 Housekeeping / no block</t>
        </is>
      </c>
      <c r="J73" s="6" t="inlineStr">
        <is>
          <t>Low</t>
        </is>
      </c>
      <c r="K73" s="6" t="n">
        <v>229</v>
      </c>
      <c r="L73" s="6" t="inlineStr">
        <is>
          <t>W5 Claim-time</t>
        </is>
      </c>
      <c r="M73" s="6" t="inlineStr">
        <is>
          <t>S25</t>
        </is>
      </c>
      <c r="N73" s="6" t="inlineStr">
        <is>
          <t>n/a</t>
        </is>
      </c>
      <c r="O73" s="6" t="inlineStr">
        <is>
          <t>None; closes when its parents close</t>
        </is>
      </c>
      <c r="P73" s="6" t="inlineStr">
        <is>
          <t>Partly</t>
        </is>
      </c>
      <c r="Q73" s="6" t="inlineStr">
        <is>
          <t>Answered clause</t>
        </is>
      </c>
      <c r="R73" s="6" t="inlineStr">
        <is>
          <t>Clause</t>
        </is>
      </c>
      <c r="S73" s="6" t="inlineStr">
        <is>
          <t>C-D03</t>
        </is>
      </c>
      <c r="T73" s="6" t="inlineStr">
        <is>
          <t>He requested context-dependent questions and successive stages, did not fix the stage count and allowed a filtered tool to return later.</t>
        </is>
      </c>
      <c r="U73" s="6" t="inlineStr">
        <is>
          <t>Corroborated by repo excerpts E5-E8; does not approve a zero-stage output.</t>
        </is>
      </c>
      <c r="V73" s="6" t="inlineStr">
        <is>
          <t>Closed within the cited record; the parent row keeps the rest.</t>
        </is>
      </c>
      <c r="W73" s="6" t="inlineStr"/>
      <c r="X73" s="6" t="inlineStr"/>
      <c r="Y73" s="6" t="inlineStr"/>
      <c r="Z73" s="6" t="inlineStr"/>
      <c r="AA73" s="6" t="inlineStr"/>
      <c r="AB73" s="6" t="inlineStr"/>
      <c r="AC73" s="6" t="inlineStr">
        <is>
          <t>Answered clause (SRC-11)</t>
        </is>
      </c>
      <c r="AD73" s="6" t="inlineStr">
        <is>
          <t>CLOSED (baseline)</t>
        </is>
      </c>
      <c r="AE73" s="6" t="inlineStr">
        <is>
          <t>2026-10-19</t>
        </is>
      </c>
      <c r="AF73" s="6" t="inlineStr">
        <is>
          <t>SRC-05 ~00:19-00:28; repo intake E5-E8</t>
        </is>
      </c>
      <c r="AG73" s="6" t="inlineStr"/>
      <c r="AH73" s="6" t="inlineStr">
        <is>
          <t>No</t>
        </is>
      </c>
      <c r="AI73" s="6" t="inlineStr">
        <is>
          <t>Closed within the cited record at baseline.</t>
        </is>
      </c>
      <c r="AJ73" s="6" t="inlineStr">
        <is>
          <t>SRC-11 'What is answered narrowly already'</t>
        </is>
      </c>
      <c r="AK73" s="6" t="inlineStr"/>
      <c r="AL73" s="6" t="inlineStr">
        <is>
          <t>S01</t>
        </is>
      </c>
    </row>
    <row r="74" ht="28" customHeight="1">
      <c r="A74" s="5" t="inlineStr">
        <is>
          <t>A-03</t>
        </is>
      </c>
      <c r="B74" s="6" t="inlineStr">
        <is>
          <t>Savings need not occur on every turn</t>
        </is>
      </c>
      <c r="C74" s="6" t="inlineStr">
        <is>
          <t>CLOSED - CLAUSE</t>
        </is>
      </c>
      <c r="D74" s="6" t="inlineStr">
        <is>
          <t>No</t>
        </is>
      </c>
      <c r="E74" s="6" t="inlineStr"/>
      <c r="F74" s="6" t="inlineStr"/>
      <c r="G74" s="18" t="inlineStr">
        <is>
          <t>CROSS-REFERENCE</t>
        </is>
      </c>
      <c r="H74" s="6" t="inlineStr">
        <is>
          <t>K3 Policy form</t>
        </is>
      </c>
      <c r="I74" s="6" t="inlineStr">
        <is>
          <t>G5 Housekeeping / no block</t>
        </is>
      </c>
      <c r="J74" s="6" t="inlineStr">
        <is>
          <t>Low</t>
        </is>
      </c>
      <c r="K74" s="6" t="n">
        <v>230</v>
      </c>
      <c r="L74" s="6" t="inlineStr">
        <is>
          <t>W5 Claim-time</t>
        </is>
      </c>
      <c r="M74" s="6" t="inlineStr">
        <is>
          <t>S25</t>
        </is>
      </c>
      <c r="N74" s="6" t="inlineStr">
        <is>
          <t>n/a</t>
        </is>
      </c>
      <c r="O74" s="6" t="inlineStr">
        <is>
          <t>None; closes when its parents close</t>
        </is>
      </c>
      <c r="P74" s="6" t="inlineStr">
        <is>
          <t>Partly</t>
        </is>
      </c>
      <c r="Q74" s="6" t="inlineStr">
        <is>
          <t>Answered clause</t>
        </is>
      </c>
      <c r="R74" s="6" t="inlineStr">
        <is>
          <t>Clause</t>
        </is>
      </c>
      <c r="S74" s="6" t="inlineStr">
        <is>
          <t>C-D04</t>
        </is>
      </c>
      <c r="T74" s="6" t="inlineStr">
        <is>
          <t>Savings need not occur on every turn; a costlier turn can be accepted over a longer trajectory.</t>
        </is>
      </c>
      <c r="U74" s="6" t="inlineStr">
        <is>
          <t>Second-hand in the repo; whether every stage must pay is separate.</t>
        </is>
      </c>
      <c r="V74" s="6" t="inlineStr">
        <is>
          <t>Closed within the cited record; the parent row keeps the rest.</t>
        </is>
      </c>
      <c r="W74" s="6" t="inlineStr"/>
      <c r="X74" s="6" t="inlineStr"/>
      <c r="Y74" s="6" t="inlineStr"/>
      <c r="Z74" s="6" t="inlineStr"/>
      <c r="AA74" s="6" t="inlineStr"/>
      <c r="AB74" s="6" t="inlineStr"/>
      <c r="AC74" s="6" t="inlineStr">
        <is>
          <t>Answered clause (SRC-11)</t>
        </is>
      </c>
      <c r="AD74" s="6" t="inlineStr">
        <is>
          <t>CLOSED (baseline)</t>
        </is>
      </c>
      <c r="AE74" s="6" t="inlineStr">
        <is>
          <t>2026-10-19</t>
        </is>
      </c>
      <c r="AF74" s="6" t="inlineStr">
        <is>
          <t>SRC-04 ~00:53-00:54; repo EXT-0002 line 27 (transcript L468-L476, second-hand)</t>
        </is>
      </c>
      <c r="AG74" s="6" t="inlineStr"/>
      <c r="AH74" s="6" t="inlineStr">
        <is>
          <t>No</t>
        </is>
      </c>
      <c r="AI74" s="6" t="inlineStr">
        <is>
          <t>Closed within the cited record at baseline.</t>
        </is>
      </c>
      <c r="AJ74" s="6" t="inlineStr">
        <is>
          <t>SRC-11 'What is answered narrowly already'</t>
        </is>
      </c>
      <c r="AK74" s="6" t="inlineStr"/>
      <c r="AL74" s="6" t="inlineStr">
        <is>
          <t>S01</t>
        </is>
      </c>
    </row>
    <row r="75" ht="28" customHeight="1">
      <c r="A75" s="5" t="inlineStr">
        <is>
          <t>A-04</t>
        </is>
      </c>
      <c r="B75" s="6" t="inlineStr">
        <is>
          <t>A sound negative result can still be a thesis</t>
        </is>
      </c>
      <c r="C75" s="6" t="inlineStr">
        <is>
          <t>CLOSED - CLAUSE</t>
        </is>
      </c>
      <c r="D75" s="6" t="inlineStr">
        <is>
          <t>No</t>
        </is>
      </c>
      <c r="E75" s="6" t="inlineStr"/>
      <c r="F75" s="6" t="inlineStr"/>
      <c r="G75" s="18" t="inlineStr">
        <is>
          <t>CROSS-REFERENCE</t>
        </is>
      </c>
      <c r="H75" s="6" t="inlineStr">
        <is>
          <t>K5 Evaluation contract</t>
        </is>
      </c>
      <c r="I75" s="6" t="inlineStr">
        <is>
          <t>G5 Housekeeping / no block</t>
        </is>
      </c>
      <c r="J75" s="6" t="inlineStr">
        <is>
          <t>Low</t>
        </is>
      </c>
      <c r="K75" s="6" t="n">
        <v>231</v>
      </c>
      <c r="L75" s="6" t="inlineStr">
        <is>
          <t>W5 Claim-time</t>
        </is>
      </c>
      <c r="M75" s="6" t="inlineStr">
        <is>
          <t>S25</t>
        </is>
      </c>
      <c r="N75" s="6" t="inlineStr">
        <is>
          <t>n/a</t>
        </is>
      </c>
      <c r="O75" s="6" t="inlineStr">
        <is>
          <t>None; closes when its parents close</t>
        </is>
      </c>
      <c r="P75" s="6" t="inlineStr">
        <is>
          <t>Partly</t>
        </is>
      </c>
      <c r="Q75" s="6" t="inlineStr">
        <is>
          <t>Answered clause</t>
        </is>
      </c>
      <c r="R75" s="6" t="inlineStr">
        <is>
          <t>Clause</t>
        </is>
      </c>
      <c r="S75" s="6" t="inlineStr">
        <is>
          <t>C-D06</t>
        </is>
      </c>
      <c r="T75" s="6" t="inlineStr">
        <is>
          <t>A sound negative result can still be a thesis; systematic evidence matters.</t>
        </is>
      </c>
      <c r="U75" s="6" t="inlineStr">
        <is>
          <t>NOT in the repo's admitted excerpts (E3 says only 'some kind of findings'); see N-20.</t>
        </is>
      </c>
      <c r="V75" s="6" t="inlineStr">
        <is>
          <t>Closed within the cited record; the parent row keeps the rest.</t>
        </is>
      </c>
      <c r="W75" s="6" t="inlineStr"/>
      <c r="X75" s="6" t="inlineStr"/>
      <c r="Y75" s="6" t="inlineStr"/>
      <c r="Z75" s="6" t="inlineStr"/>
      <c r="AA75" s="6" t="inlineStr"/>
      <c r="AB75" s="6" t="inlineStr"/>
      <c r="AC75" s="6" t="inlineStr">
        <is>
          <t>Answered clause (SRC-11)</t>
        </is>
      </c>
      <c r="AD75" s="6" t="inlineStr">
        <is>
          <t>CLOSED (baseline)</t>
        </is>
      </c>
      <c r="AE75" s="6" t="inlineStr">
        <is>
          <t>2026-10-19</t>
        </is>
      </c>
      <c r="AF75" s="6" t="inlineStr">
        <is>
          <t>SRC-05 ~00:12-00:13, ~00:25-00:26 (as reported in SRC-11)</t>
        </is>
      </c>
      <c r="AG75" s="6" t="inlineStr"/>
      <c r="AH75" s="6" t="inlineStr">
        <is>
          <t>No</t>
        </is>
      </c>
      <c r="AI75" s="6" t="inlineStr">
        <is>
          <t>Closed within the cited record at baseline.</t>
        </is>
      </c>
      <c r="AJ75" s="6" t="inlineStr">
        <is>
          <t>SRC-11 'What is answered narrowly already'</t>
        </is>
      </c>
      <c r="AK75" s="6" t="inlineStr"/>
      <c r="AL75" s="6" t="inlineStr">
        <is>
          <t>S01</t>
        </is>
      </c>
    </row>
    <row r="76" ht="40.5" customHeight="1">
      <c r="A76" s="5" t="inlineStr">
        <is>
          <t>A-05</t>
        </is>
      </c>
      <c r="B76" s="6" t="inlineStr">
        <is>
          <t>All-tools exposure and the Executor were discussed as baselines</t>
        </is>
      </c>
      <c r="C76" s="6" t="inlineStr">
        <is>
          <t>CLOSED - CLAUSE</t>
        </is>
      </c>
      <c r="D76" s="6" t="inlineStr">
        <is>
          <t>No</t>
        </is>
      </c>
      <c r="E76" s="6" t="inlineStr"/>
      <c r="F76" s="6" t="inlineStr"/>
      <c r="G76" s="18" t="inlineStr">
        <is>
          <t>CROSS-REFERENCE</t>
        </is>
      </c>
      <c r="H76" s="6" t="inlineStr">
        <is>
          <t>K5 Evaluation contract</t>
        </is>
      </c>
      <c r="I76" s="6" t="inlineStr">
        <is>
          <t>G5 Housekeeping / no block</t>
        </is>
      </c>
      <c r="J76" s="6" t="inlineStr">
        <is>
          <t>Low</t>
        </is>
      </c>
      <c r="K76" s="6" t="n">
        <v>232</v>
      </c>
      <c r="L76" s="6" t="inlineStr">
        <is>
          <t>W5 Claim-time</t>
        </is>
      </c>
      <c r="M76" s="6" t="inlineStr">
        <is>
          <t>S25</t>
        </is>
      </c>
      <c r="N76" s="6" t="inlineStr">
        <is>
          <t>n/a</t>
        </is>
      </c>
      <c r="O76" s="6" t="inlineStr">
        <is>
          <t>None; closes when its parents close</t>
        </is>
      </c>
      <c r="P76" s="6" t="inlineStr">
        <is>
          <t>Partly</t>
        </is>
      </c>
      <c r="Q76" s="6" t="inlineStr">
        <is>
          <t>Answered clause</t>
        </is>
      </c>
      <c r="R76" s="6" t="inlineStr">
        <is>
          <t>Clause</t>
        </is>
      </c>
      <c r="S76" s="6" t="inlineStr">
        <is>
          <t>C-D08</t>
        </is>
      </c>
      <c r="T76" s="6" t="inlineStr">
        <is>
          <t>All-tools exposure and the Executor were discussed as baselines.</t>
        </is>
      </c>
      <c r="U76" s="6" t="inlineStr">
        <is>
          <t>CAVEATS 6: 'Executor as supervisor-named baseline' is a researcher identification; exact arms remain open.</t>
        </is>
      </c>
      <c r="V76" s="6" t="inlineStr">
        <is>
          <t>Closed within the cited record; the parent row keeps the rest.</t>
        </is>
      </c>
      <c r="W76" s="6" t="inlineStr"/>
      <c r="X76" s="6" t="inlineStr"/>
      <c r="Y76" s="6" t="inlineStr"/>
      <c r="Z76" s="6" t="inlineStr"/>
      <c r="AA76" s="6" t="inlineStr"/>
      <c r="AB76" s="6" t="inlineStr"/>
      <c r="AC76" s="6" t="inlineStr">
        <is>
          <t>Answered clause (SRC-11)</t>
        </is>
      </c>
      <c r="AD76" s="6" t="inlineStr">
        <is>
          <t>CLOSED (baseline)</t>
        </is>
      </c>
      <c r="AE76" s="6" t="inlineStr">
        <is>
          <t>2026-10-19</t>
        </is>
      </c>
      <c r="AF76" s="6" t="inlineStr">
        <is>
          <t>SRC-04 ~00:11, ~00:43-00:44 (via SRC-09)</t>
        </is>
      </c>
      <c r="AG76" s="6" t="inlineStr"/>
      <c r="AH76" s="6" t="inlineStr">
        <is>
          <t>No</t>
        </is>
      </c>
      <c r="AI76" s="6" t="inlineStr">
        <is>
          <t>Closed within the cited record at baseline.</t>
        </is>
      </c>
      <c r="AJ76" s="6" t="inlineStr">
        <is>
          <t>SRC-11 'What is answered narrowly already'</t>
        </is>
      </c>
      <c r="AK76" s="6" t="inlineStr"/>
      <c r="AL76" s="6" t="inlineStr">
        <is>
          <t>S01</t>
        </is>
      </c>
    </row>
    <row r="77" ht="28" customHeight="1">
      <c r="A77" s="5" t="inlineStr">
        <is>
          <t>A-06</t>
        </is>
      </c>
      <c r="B77" s="6" t="inlineStr">
        <is>
          <t>A policy draft came before implementation/experiments</t>
        </is>
      </c>
      <c r="C77" s="6" t="inlineStr">
        <is>
          <t>CLOSED - CLAUSE</t>
        </is>
      </c>
      <c r="D77" s="6" t="inlineStr">
        <is>
          <t>No</t>
        </is>
      </c>
      <c r="E77" s="6" t="inlineStr"/>
      <c r="F77" s="6" t="inlineStr"/>
      <c r="G77" s="18" t="inlineStr">
        <is>
          <t>CROSS-REFERENCE</t>
        </is>
      </c>
      <c r="H77" s="6" t="inlineStr">
        <is>
          <t>K6 Deliverable &amp; authorization</t>
        </is>
      </c>
      <c r="I77" s="6" t="inlineStr">
        <is>
          <t>G5 Housekeeping / no block</t>
        </is>
      </c>
      <c r="J77" s="6" t="inlineStr">
        <is>
          <t>Low</t>
        </is>
      </c>
      <c r="K77" s="6" t="n">
        <v>233</v>
      </c>
      <c r="L77" s="6" t="inlineStr">
        <is>
          <t>W5 Claim-time</t>
        </is>
      </c>
      <c r="M77" s="6" t="inlineStr">
        <is>
          <t>S25</t>
        </is>
      </c>
      <c r="N77" s="6" t="inlineStr">
        <is>
          <t>n/a</t>
        </is>
      </c>
      <c r="O77" s="6" t="inlineStr">
        <is>
          <t>None; closes when its parents close</t>
        </is>
      </c>
      <c r="P77" s="6" t="inlineStr">
        <is>
          <t>Partly</t>
        </is>
      </c>
      <c r="Q77" s="6" t="inlineStr">
        <is>
          <t>Answered clause</t>
        </is>
      </c>
      <c r="R77" s="6" t="inlineStr">
        <is>
          <t>Clause</t>
        </is>
      </c>
      <c r="S77" s="6" t="inlineStr">
        <is>
          <t>C-D05</t>
        </is>
      </c>
      <c r="T77" s="6" t="inlineStr">
        <is>
          <t>A policy draft came before implementation or experiments in these meetings.</t>
        </is>
      </c>
      <c r="U77" s="6" t="inlineStr">
        <is>
          <t>Corroborated by E9; evaluation-script boundary open.</t>
        </is>
      </c>
      <c r="V77" s="6" t="inlineStr">
        <is>
          <t>Closed within the cited record; the parent row keeps the rest.</t>
        </is>
      </c>
      <c r="W77" s="6" t="inlineStr"/>
      <c r="X77" s="6" t="inlineStr"/>
      <c r="Y77" s="6" t="inlineStr"/>
      <c r="Z77" s="6" t="inlineStr"/>
      <c r="AA77" s="6" t="inlineStr"/>
      <c r="AB77" s="6" t="inlineStr"/>
      <c r="AC77" s="6" t="inlineStr">
        <is>
          <t>Answered clause (SRC-11)</t>
        </is>
      </c>
      <c r="AD77" s="6" t="inlineStr">
        <is>
          <t>CLOSED (baseline)</t>
        </is>
      </c>
      <c r="AE77" s="6" t="inlineStr">
        <is>
          <t>2026-10-19</t>
        </is>
      </c>
      <c r="AF77" s="6" t="inlineStr">
        <is>
          <t>SRC-04 ~00:52-00:55; SRC-05 ~00:27, ~00:30-00:31; repo intake E9</t>
        </is>
      </c>
      <c r="AG77" s="6" t="inlineStr"/>
      <c r="AH77" s="6" t="inlineStr">
        <is>
          <t>No</t>
        </is>
      </c>
      <c r="AI77" s="6" t="inlineStr">
        <is>
          <t>Closed within the cited record at baseline.</t>
        </is>
      </c>
      <c r="AJ77" s="6" t="inlineStr">
        <is>
          <t>SRC-11 'What is answered narrowly already'</t>
        </is>
      </c>
      <c r="AK77" s="6" t="inlineStr"/>
      <c r="AL77" s="6" t="inlineStr">
        <is>
          <t>S01</t>
        </is>
      </c>
    </row>
    <row r="78" ht="28" customHeight="1">
      <c r="A78" s="5" t="inlineStr">
        <is>
          <t>A-07</t>
        </is>
      </c>
      <c r="B78" s="6" t="inlineStr">
        <is>
          <t>V3 corrected five mathematical/wording errors</t>
        </is>
      </c>
      <c r="C78" s="6" t="inlineStr">
        <is>
          <t>CLOSED - CLAUSE</t>
        </is>
      </c>
      <c r="D78" s="6" t="inlineStr">
        <is>
          <t>No</t>
        </is>
      </c>
      <c r="E78" s="6" t="inlineStr"/>
      <c r="F78" s="6" t="inlineStr"/>
      <c r="G78" s="18" t="inlineStr">
        <is>
          <t>CROSS-REFERENCE</t>
        </is>
      </c>
      <c r="H78" s="6" t="inlineStr">
        <is>
          <t>K17 Record repair &amp; procedure error</t>
        </is>
      </c>
      <c r="I78" s="6" t="inlineStr">
        <is>
          <t>G5 Housekeeping / no block</t>
        </is>
      </c>
      <c r="J78" s="6" t="inlineStr">
        <is>
          <t>Low</t>
        </is>
      </c>
      <c r="K78" s="6" t="n">
        <v>234</v>
      </c>
      <c r="L78" s="6" t="inlineStr">
        <is>
          <t>W5 Claim-time</t>
        </is>
      </c>
      <c r="M78" s="6" t="inlineStr">
        <is>
          <t>S25</t>
        </is>
      </c>
      <c r="N78" s="6" t="inlineStr">
        <is>
          <t>n/a</t>
        </is>
      </c>
      <c r="O78" s="6" t="inlineStr">
        <is>
          <t>None; closes when its parents close</t>
        </is>
      </c>
      <c r="P78" s="6" t="inlineStr">
        <is>
          <t>Partly</t>
        </is>
      </c>
      <c r="Q78" s="6" t="inlineStr">
        <is>
          <t>Answered clause</t>
        </is>
      </c>
      <c r="R78" s="6" t="inlineStr">
        <is>
          <t>Clause</t>
        </is>
      </c>
      <c r="S78" s="6" t="inlineStr">
        <is>
          <t>C-R01</t>
        </is>
      </c>
      <c r="T78" s="6" t="inlineStr">
        <is>
          <t>V3 corrected five mathematical or wording errors.</t>
        </is>
      </c>
      <c r="U78" s="6" t="inlineStr">
        <is>
          <t>Textual correction, not validation.</t>
        </is>
      </c>
      <c r="V78" s="6" t="inlineStr">
        <is>
          <t>Closed within the cited record; the parent row keeps the rest.</t>
        </is>
      </c>
      <c r="W78" s="6" t="inlineStr"/>
      <c r="X78" s="6" t="inlineStr"/>
      <c r="Y78" s="6" t="inlineStr"/>
      <c r="Z78" s="6" t="inlineStr"/>
      <c r="AA78" s="6" t="inlineStr"/>
      <c r="AB78" s="6" t="inlineStr"/>
      <c r="AC78" s="6" t="inlineStr">
        <is>
          <t>Answered clause (SRC-11)</t>
        </is>
      </c>
      <c r="AD78" s="6" t="inlineStr">
        <is>
          <t>CLOSED (baseline)</t>
        </is>
      </c>
      <c r="AE78" s="6" t="inlineStr">
        <is>
          <t>2026-10-19</t>
        </is>
      </c>
      <c r="AF78" s="6" t="inlineStr">
        <is>
          <t>v3-01 sections 1-5; SRC-08 section G</t>
        </is>
      </c>
      <c r="AG78" s="6" t="inlineStr"/>
      <c r="AH78" s="6" t="inlineStr">
        <is>
          <t>No</t>
        </is>
      </c>
      <c r="AI78" s="6" t="inlineStr">
        <is>
          <t>Closed within the cited record at baseline.</t>
        </is>
      </c>
      <c r="AJ78" s="6" t="inlineStr">
        <is>
          <t>SRC-11 'What is answered narrowly already'</t>
        </is>
      </c>
      <c r="AK78" s="6" t="inlineStr"/>
      <c r="AL78" s="6" t="inlineStr">
        <is>
          <t>S01</t>
        </is>
      </c>
    </row>
    <row r="79" ht="40.5" customHeight="1">
      <c r="A79" s="5" t="inlineStr">
        <is>
          <t>A-08</t>
        </is>
      </c>
      <c r="B79" s="6" t="inlineStr">
        <is>
          <t>Independent MCPVerse reading reports three narrow findings</t>
        </is>
      </c>
      <c r="C79" s="6" t="inlineStr">
        <is>
          <t>CLOSED - CLAUSE</t>
        </is>
      </c>
      <c r="D79" s="6" t="inlineStr">
        <is>
          <t>No</t>
        </is>
      </c>
      <c r="E79" s="6" t="inlineStr"/>
      <c r="F79" s="6" t="inlineStr"/>
      <c r="G79" s="18" t="inlineStr">
        <is>
          <t>CROSS-REFERENCE</t>
        </is>
      </c>
      <c r="H79" s="6" t="inlineStr">
        <is>
          <t>K14 Source &amp; vendor verification</t>
        </is>
      </c>
      <c r="I79" s="6" t="inlineStr">
        <is>
          <t>G5 Housekeeping / no block</t>
        </is>
      </c>
      <c r="J79" s="6" t="inlineStr">
        <is>
          <t>Low</t>
        </is>
      </c>
      <c r="K79" s="6" t="n">
        <v>235</v>
      </c>
      <c r="L79" s="6" t="inlineStr">
        <is>
          <t>W5 Claim-time</t>
        </is>
      </c>
      <c r="M79" s="6" t="inlineStr">
        <is>
          <t>S25</t>
        </is>
      </c>
      <c r="N79" s="6" t="inlineStr">
        <is>
          <t>n/a</t>
        </is>
      </c>
      <c r="O79" s="6" t="inlineStr">
        <is>
          <t>None; closes when its parents close</t>
        </is>
      </c>
      <c r="P79" s="6" t="inlineStr">
        <is>
          <t>Partly</t>
        </is>
      </c>
      <c r="Q79" s="6" t="inlineStr">
        <is>
          <t>Answered clause</t>
        </is>
      </c>
      <c r="R79" s="6" t="inlineStr">
        <is>
          <t>Clause</t>
        </is>
      </c>
      <c r="S79" s="6" t="inlineStr">
        <is>
          <t>C-S19</t>
        </is>
      </c>
      <c r="T79" s="6" t="inlineStr">
        <is>
          <t>The independent MCPVerse reading source-reports three narrow findings (judge change insufficient; one Claude v2 row consistent; 140k/147k not v2-only).</t>
        </is>
      </c>
      <c r="U79" s="6" t="inlineStr">
        <is>
          <t>Original papers not freshly verified in SRC-09/10; one unverified lead reading in the repo.</t>
        </is>
      </c>
      <c r="V79" s="6" t="inlineStr">
        <is>
          <t>Closed within the cited record; the parent row keeps the rest.</t>
        </is>
      </c>
      <c r="W79" s="6" t="inlineStr"/>
      <c r="X79" s="6" t="inlineStr"/>
      <c r="Y79" s="6" t="inlineStr"/>
      <c r="Z79" s="6" t="inlineStr"/>
      <c r="AA79" s="6" t="inlineStr"/>
      <c r="AB79" s="6" t="inlineStr"/>
      <c r="AC79" s="6" t="inlineStr">
        <is>
          <t>Answered clause (SRC-11)</t>
        </is>
      </c>
      <c r="AD79" s="6" t="inlineStr">
        <is>
          <t>CLOSED (baseline)</t>
        </is>
      </c>
      <c r="AE79" s="6" t="inlineStr">
        <is>
          <t>2026-10-19</t>
        </is>
      </c>
      <c r="AF79" s="6" t="inlineStr">
        <is>
          <t>SRC-08 section G; SRC-09 C-S19; repo WD AUTH-008 partly corroborates</t>
        </is>
      </c>
      <c r="AG79" s="6" t="inlineStr"/>
      <c r="AH79" s="6" t="inlineStr">
        <is>
          <t>No</t>
        </is>
      </c>
      <c r="AI79" s="6" t="inlineStr">
        <is>
          <t>Closed within the cited record at baseline.</t>
        </is>
      </c>
      <c r="AJ79" s="6" t="inlineStr">
        <is>
          <t>SRC-11 'What is answered narrowly already'</t>
        </is>
      </c>
      <c r="AK79" s="6" t="inlineStr"/>
      <c r="AL79" s="6" t="inlineStr">
        <is>
          <t>S01</t>
        </is>
      </c>
    </row>
    <row r="80" ht="40.5" customHeight="1">
      <c r="A80" s="5" t="inlineStr">
        <is>
          <t>C-E04</t>
        </is>
      </c>
      <c r="B80" s="6" t="inlineStr">
        <is>
          <t>Blind investigator, comparator, the repo's agents and this review share a model family and some sources.</t>
        </is>
      </c>
      <c r="C80" s="6" t="inlineStr">
        <is>
          <t>ACCEPTED LIMITATION</t>
        </is>
      </c>
      <c r="D80" s="6" t="inlineStr">
        <is>
          <t>No</t>
        </is>
      </c>
      <c r="E80" s="6" t="inlineStr"/>
      <c r="F80" s="6" t="inlineStr"/>
      <c r="G80" s="12" t="inlineStr">
        <is>
          <t>ACCEPT-LIMITATION</t>
        </is>
      </c>
      <c r="H80" s="6" t="inlineStr">
        <is>
          <t>K16 Limits &amp; provenance</t>
        </is>
      </c>
      <c r="I80" s="6" t="inlineStr">
        <is>
          <t>G5 Housekeeping / no block</t>
        </is>
      </c>
      <c r="J80" s="6" t="inlineStr">
        <is>
          <t>Low</t>
        </is>
      </c>
      <c r="K80" s="6" t="n">
        <v>243</v>
      </c>
      <c r="L80" s="6" t="inlineStr">
        <is>
          <t>W5 Claim-time</t>
        </is>
      </c>
      <c r="M80" s="6" t="inlineStr">
        <is>
          <t>S25</t>
        </is>
      </c>
      <c r="N80" s="6" t="inlineStr">
        <is>
          <t>You</t>
        </is>
      </c>
      <c r="O80" s="6" t="inlineStr">
        <is>
          <t>Closed; moved to Archive</t>
        </is>
      </c>
      <c r="P80" s="6" t="inlineStr">
        <is>
          <t>n/a</t>
        </is>
      </c>
      <c r="Q80" s="6" t="inlineStr">
        <is>
          <t>Limitation</t>
        </is>
      </c>
      <c r="R80" s="6" t="inlineStr">
        <is>
          <t>Item</t>
        </is>
      </c>
      <c r="S80" s="6" t="inlineStr"/>
      <c r="T80" s="6" t="inlineStr">
        <is>
          <t>Blind investigator, comparator, the repo's agents and this review share a model family and some sources.</t>
        </is>
      </c>
      <c r="U80" s="6" t="inlineStr">
        <is>
          <t>Now also true of the repo's steward/challenger checks (all Sonnet).</t>
        </is>
      </c>
      <c r="V80" s="6" t="inlineStr">
        <is>
          <t>Accepted 2026-10-20 (the human); a limitation is closed by being stated, not by a test.</t>
        </is>
      </c>
      <c r="W80" s="6" t="inlineStr"/>
      <c r="X80" s="6" t="inlineStr"/>
      <c r="Y80" s="6" t="inlineStr">
        <is>
          <t>Q-U20</t>
        </is>
      </c>
      <c r="Z80" s="6" t="inlineStr"/>
      <c r="AA80" s="6" t="inlineStr"/>
      <c r="AB80" s="6" t="inlineStr">
        <is>
          <t>BOUND+RECORD</t>
        </is>
      </c>
      <c r="AC80" s="6" t="inlineStr">
        <is>
          <t>BOUNDARY</t>
        </is>
      </c>
      <c r="AD80" s="6" t="inlineStr">
        <is>
          <t>UNCHANGED</t>
        </is>
      </c>
      <c r="AE80" s="6" t="inlineStr">
        <is>
          <t>2026-10-20</t>
        </is>
      </c>
      <c r="AF80" s="6" t="inlineStr">
        <is>
          <t>Questions Q-U20 (answer cell, verbatim); chat message of 2026-10-20</t>
        </is>
      </c>
      <c r="AG80" s="6" t="inlineStr"/>
      <c r="AH80" s="6" t="inlineStr">
        <is>
          <t>No</t>
        </is>
      </c>
      <c r="AI80" s="6" t="inlineStr">
        <is>
          <t>Accepted by the human on 2026-10-20, in the human's words: "I accept all 7 in B"</t>
        </is>
      </c>
      <c r="AJ80" s="6" t="inlineStr">
        <is>
          <t>SRC-11 canonical</t>
        </is>
      </c>
      <c r="AK80" s="6" t="inlineStr">
        <is>
          <t>SRC-06 P05, SRC-06 P08, SRC-07 30, CAVEATS 11</t>
        </is>
      </c>
      <c r="AL80" s="6" t="inlineStr">
        <is>
          <t>S25</t>
        </is>
      </c>
    </row>
    <row r="81" ht="40.5" customHeight="1">
      <c r="A81" s="5" t="inlineStr">
        <is>
          <t>C-P02/P05</t>
        </is>
      </c>
      <c r="B81" s="6" t="inlineStr">
        <is>
          <t>Same-model/operator/source risk</t>
        </is>
      </c>
      <c r="C81" s="6" t="inlineStr">
        <is>
          <t>ACCEPTED LIMITATION</t>
        </is>
      </c>
      <c r="D81" s="6" t="inlineStr">
        <is>
          <t>No</t>
        </is>
      </c>
      <c r="E81" s="6" t="inlineStr"/>
      <c r="F81" s="6" t="inlineStr"/>
      <c r="G81" s="12" t="inlineStr">
        <is>
          <t>ACCEPT-LIMITATION</t>
        </is>
      </c>
      <c r="H81" s="6" t="inlineStr">
        <is>
          <t>K16 Limits &amp; provenance</t>
        </is>
      </c>
      <c r="I81" s="6" t="inlineStr">
        <is>
          <t>G5 Housekeeping / no block</t>
        </is>
      </c>
      <c r="J81" s="6" t="inlineStr">
        <is>
          <t>Low</t>
        </is>
      </c>
      <c r="K81" s="6" t="n">
        <v>250</v>
      </c>
      <c r="L81" s="6" t="inlineStr">
        <is>
          <t>W5 Claim-time</t>
        </is>
      </c>
      <c r="M81" s="6" t="inlineStr">
        <is>
          <t>S25</t>
        </is>
      </c>
      <c r="N81" s="6" t="inlineStr">
        <is>
          <t>You</t>
        </is>
      </c>
      <c r="O81" s="6" t="inlineStr">
        <is>
          <t>Closed; moved to Archive</t>
        </is>
      </c>
      <c r="P81" s="6" t="inlineStr">
        <is>
          <t>No</t>
        </is>
      </c>
      <c r="Q81" s="6" t="inlineStr">
        <is>
          <t>Limitation</t>
        </is>
      </c>
      <c r="R81" s="6" t="inlineStr">
        <is>
          <t>Sub-item</t>
        </is>
      </c>
      <c r="S81" s="6" t="inlineStr">
        <is>
          <t>C-P02</t>
        </is>
      </c>
      <c r="T81" s="6" t="inlineStr">
        <is>
          <t>SRC-06 P05: the independent work shares model family, operator and sources with the thesis work.</t>
        </is>
      </c>
      <c r="U81" s="6" t="inlineStr">
        <is>
          <t>Outside the repo.</t>
        </is>
      </c>
      <c r="V81" s="6" t="inlineStr">
        <is>
          <t>Accepted 2026-10-20 (the human); a limitation is closed by being stated, not by a test.</t>
        </is>
      </c>
      <c r="W81" s="6" t="inlineStr"/>
      <c r="X81" s="6" t="inlineStr"/>
      <c r="Y81" s="6" t="inlineStr">
        <is>
          <t>Q-U20</t>
        </is>
      </c>
      <c r="Z81" s="6" t="inlineStr"/>
      <c r="AA81" s="6" t="inlineStr"/>
      <c r="AB81" s="6" t="inlineStr">
        <is>
          <t>BOUND+RECORD</t>
        </is>
      </c>
      <c r="AC81" s="6" t="inlineStr">
        <is>
          <t>n/a (sub-item)</t>
        </is>
      </c>
      <c r="AD81" s="6" t="inlineStr">
        <is>
          <t>NEW (SRC-11 sub-row)</t>
        </is>
      </c>
      <c r="AE81" s="6" t="inlineStr">
        <is>
          <t>2026-10-20</t>
        </is>
      </c>
      <c r="AF81" s="6" t="inlineStr">
        <is>
          <t>Questions Q-U20 (answer cell, verbatim); chat message of 2026-10-20</t>
        </is>
      </c>
      <c r="AG81" s="6" t="inlineStr"/>
      <c r="AH81" s="6" t="inlineStr">
        <is>
          <t>No</t>
        </is>
      </c>
      <c r="AI81" s="6" t="inlineStr">
        <is>
          <t>Accepted by the human on 2026-10-20, in the human's words: "I accept all 7 in B"</t>
        </is>
      </c>
      <c r="AJ81" s="6" t="inlineStr">
        <is>
          <t>SRC-11 section D5</t>
        </is>
      </c>
      <c r="AK81" s="6" t="inlineStr">
        <is>
          <t>SRC-06 P05, CAVEATS 11</t>
        </is>
      </c>
      <c r="AL81" s="6" t="inlineStr">
        <is>
          <t>S25</t>
        </is>
      </c>
    </row>
    <row r="82" ht="40.5" customHeight="1">
      <c r="A82" s="5" t="inlineStr">
        <is>
          <t>C-P02/P07</t>
        </is>
      </c>
      <c r="B82" s="6" t="inlineStr">
        <is>
          <t>Asymmetric coverage between investigations</t>
        </is>
      </c>
      <c r="C82" s="6" t="inlineStr">
        <is>
          <t>ACCEPTED LIMITATION</t>
        </is>
      </c>
      <c r="D82" s="6" t="inlineStr">
        <is>
          <t>No</t>
        </is>
      </c>
      <c r="E82" s="6" t="inlineStr"/>
      <c r="F82" s="6" t="inlineStr"/>
      <c r="G82" s="12" t="inlineStr">
        <is>
          <t>ACCEPT-LIMITATION</t>
        </is>
      </c>
      <c r="H82" s="6" t="inlineStr">
        <is>
          <t>K16 Limits &amp; provenance</t>
        </is>
      </c>
      <c r="I82" s="6" t="inlineStr">
        <is>
          <t>G5 Housekeeping / no block</t>
        </is>
      </c>
      <c r="J82" s="6" t="inlineStr">
        <is>
          <t>Low</t>
        </is>
      </c>
      <c r="K82" s="6" t="n">
        <v>252</v>
      </c>
      <c r="L82" s="6" t="inlineStr">
        <is>
          <t>W5 Claim-time</t>
        </is>
      </c>
      <c r="M82" s="6" t="inlineStr">
        <is>
          <t>S25</t>
        </is>
      </c>
      <c r="N82" s="6" t="inlineStr">
        <is>
          <t>You</t>
        </is>
      </c>
      <c r="O82" s="6" t="inlineStr">
        <is>
          <t>Closed; moved to Archive</t>
        </is>
      </c>
      <c r="P82" s="6" t="inlineStr">
        <is>
          <t>No</t>
        </is>
      </c>
      <c r="Q82" s="6" t="inlineStr">
        <is>
          <t>Limitation</t>
        </is>
      </c>
      <c r="R82" s="6" t="inlineStr">
        <is>
          <t>Sub-item</t>
        </is>
      </c>
      <c r="S82" s="6" t="inlineStr">
        <is>
          <t>C-P02</t>
        </is>
      </c>
      <c r="T82" s="6" t="inlineStr">
        <is>
          <t>SRC-06 P07: coverage asymmetry between the independent and the thesis tracks.</t>
        </is>
      </c>
      <c r="U82" s="6" t="inlineStr">
        <is>
          <t>Outside the repo.</t>
        </is>
      </c>
      <c r="V82" s="6" t="inlineStr">
        <is>
          <t>Accepted 2026-10-20 (the human); a limitation is closed by being stated, not by a test.</t>
        </is>
      </c>
      <c r="W82" s="6" t="inlineStr"/>
      <c r="X82" s="6" t="inlineStr"/>
      <c r="Y82" s="6" t="inlineStr">
        <is>
          <t>Q-U20</t>
        </is>
      </c>
      <c r="Z82" s="6" t="inlineStr"/>
      <c r="AA82" s="6" t="inlineStr"/>
      <c r="AB82" s="6" t="inlineStr">
        <is>
          <t>BOUND</t>
        </is>
      </c>
      <c r="AC82" s="6" t="inlineStr">
        <is>
          <t>n/a (sub-item)</t>
        </is>
      </c>
      <c r="AD82" s="6" t="inlineStr">
        <is>
          <t>NEW (SRC-11 sub-row)</t>
        </is>
      </c>
      <c r="AE82" s="6" t="inlineStr">
        <is>
          <t>2026-10-20</t>
        </is>
      </c>
      <c r="AF82" s="6" t="inlineStr">
        <is>
          <t>Questions Q-U20 (answer cell, verbatim); chat message of 2026-10-20</t>
        </is>
      </c>
      <c r="AG82" s="6" t="inlineStr"/>
      <c r="AH82" s="6" t="inlineStr">
        <is>
          <t>No</t>
        </is>
      </c>
      <c r="AI82" s="6" t="inlineStr">
        <is>
          <t>Accepted by the human on 2026-10-20, in the human's words: "I accept all 7 in B"</t>
        </is>
      </c>
      <c r="AJ82" s="6" t="inlineStr">
        <is>
          <t>SRC-11 section D5</t>
        </is>
      </c>
      <c r="AK82" s="6" t="inlineStr">
        <is>
          <t>SRC-06 P07</t>
        </is>
      </c>
      <c r="AL82" s="6" t="inlineStr">
        <is>
          <t>S25</t>
        </is>
      </c>
    </row>
    <row r="83" ht="40.5" customHeight="1">
      <c r="A83" s="5" t="inlineStr">
        <is>
          <t>C-P02/P08</t>
        </is>
      </c>
      <c r="B83" s="6" t="inlineStr">
        <is>
          <t>Shared-source convergence</t>
        </is>
      </c>
      <c r="C83" s="6" t="inlineStr">
        <is>
          <t>ACCEPTED LIMITATION</t>
        </is>
      </c>
      <c r="D83" s="6" t="inlineStr">
        <is>
          <t>No</t>
        </is>
      </c>
      <c r="E83" s="6" t="inlineStr"/>
      <c r="F83" s="6" t="inlineStr"/>
      <c r="G83" s="12" t="inlineStr">
        <is>
          <t>ACCEPT-LIMITATION</t>
        </is>
      </c>
      <c r="H83" s="6" t="inlineStr">
        <is>
          <t>K16 Limits &amp; provenance</t>
        </is>
      </c>
      <c r="I83" s="6" t="inlineStr">
        <is>
          <t>G5 Housekeeping / no block</t>
        </is>
      </c>
      <c r="J83" s="6" t="inlineStr">
        <is>
          <t>Low</t>
        </is>
      </c>
      <c r="K83" s="6" t="n">
        <v>253</v>
      </c>
      <c r="L83" s="6" t="inlineStr">
        <is>
          <t>W5 Claim-time</t>
        </is>
      </c>
      <c r="M83" s="6" t="inlineStr">
        <is>
          <t>S25</t>
        </is>
      </c>
      <c r="N83" s="6" t="inlineStr">
        <is>
          <t>You</t>
        </is>
      </c>
      <c r="O83" s="6" t="inlineStr">
        <is>
          <t>Closed; moved to Archive</t>
        </is>
      </c>
      <c r="P83" s="6" t="inlineStr">
        <is>
          <t>No</t>
        </is>
      </c>
      <c r="Q83" s="6" t="inlineStr">
        <is>
          <t>Limitation</t>
        </is>
      </c>
      <c r="R83" s="6" t="inlineStr">
        <is>
          <t>Sub-item</t>
        </is>
      </c>
      <c r="S83" s="6" t="inlineStr">
        <is>
          <t>C-P02</t>
        </is>
      </c>
      <c r="T83" s="6" t="inlineStr">
        <is>
          <t>SRC-06 P08: convergence may come from shared sources.</t>
        </is>
      </c>
      <c r="U83" s="6" t="inlineStr">
        <is>
          <t>Outside the repo.</t>
        </is>
      </c>
      <c r="V83" s="6" t="inlineStr">
        <is>
          <t>Accepted 2026-10-20 (the human); a limitation is closed by being stated, not by a test.</t>
        </is>
      </c>
      <c r="W83" s="6" t="inlineStr"/>
      <c r="X83" s="6" t="inlineStr"/>
      <c r="Y83" s="6" t="inlineStr">
        <is>
          <t>Q-U20</t>
        </is>
      </c>
      <c r="Z83" s="6" t="inlineStr"/>
      <c r="AA83" s="6" t="inlineStr"/>
      <c r="AB83" s="6" t="inlineStr">
        <is>
          <t>BOUND</t>
        </is>
      </c>
      <c r="AC83" s="6" t="inlineStr">
        <is>
          <t>n/a (sub-item)</t>
        </is>
      </c>
      <c r="AD83" s="6" t="inlineStr">
        <is>
          <t>NEW (SRC-11 sub-row)</t>
        </is>
      </c>
      <c r="AE83" s="6" t="inlineStr">
        <is>
          <t>2026-10-20</t>
        </is>
      </c>
      <c r="AF83" s="6" t="inlineStr">
        <is>
          <t>Questions Q-U20 (answer cell, verbatim); chat message of 2026-10-20</t>
        </is>
      </c>
      <c r="AG83" s="6" t="inlineStr"/>
      <c r="AH83" s="6" t="inlineStr">
        <is>
          <t>No</t>
        </is>
      </c>
      <c r="AI83" s="6" t="inlineStr">
        <is>
          <t>Accepted by the human on 2026-10-20, in the human's words: "I accept all 7 in B"</t>
        </is>
      </c>
      <c r="AJ83" s="6" t="inlineStr">
        <is>
          <t>SRC-11 section D5</t>
        </is>
      </c>
      <c r="AK83" s="6" t="inlineStr">
        <is>
          <t>SRC-06 P08, CAVEATS 11</t>
        </is>
      </c>
      <c r="AL83" s="6" t="inlineStr">
        <is>
          <t>S25</t>
        </is>
      </c>
    </row>
    <row r="84" ht="40.5" customHeight="1">
      <c r="A84" s="5" t="inlineStr">
        <is>
          <t>C-P02/P09</t>
        </is>
      </c>
      <c r="B84" s="6" t="inlineStr">
        <is>
          <t>One or no adversarial reviews</t>
        </is>
      </c>
      <c r="C84" s="6" t="inlineStr">
        <is>
          <t>ACCEPTED LIMITATION</t>
        </is>
      </c>
      <c r="D84" s="6" t="inlineStr">
        <is>
          <t>No</t>
        </is>
      </c>
      <c r="E84" s="6" t="inlineStr"/>
      <c r="F84" s="6" t="inlineStr"/>
      <c r="G84" s="12" t="inlineStr">
        <is>
          <t>ACCEPT-LIMITATION</t>
        </is>
      </c>
      <c r="H84" s="6" t="inlineStr">
        <is>
          <t>K16 Limits &amp; provenance</t>
        </is>
      </c>
      <c r="I84" s="6" t="inlineStr">
        <is>
          <t>G5 Housekeeping / no block</t>
        </is>
      </c>
      <c r="J84" s="6" t="inlineStr">
        <is>
          <t>Low</t>
        </is>
      </c>
      <c r="K84" s="6" t="n">
        <v>254</v>
      </c>
      <c r="L84" s="6" t="inlineStr">
        <is>
          <t>W5 Claim-time</t>
        </is>
      </c>
      <c r="M84" s="6" t="inlineStr">
        <is>
          <t>S25</t>
        </is>
      </c>
      <c r="N84" s="6" t="inlineStr">
        <is>
          <t>You</t>
        </is>
      </c>
      <c r="O84" s="6" t="inlineStr">
        <is>
          <t>Closed; moved to Archive</t>
        </is>
      </c>
      <c r="P84" s="6" t="inlineStr">
        <is>
          <t>No</t>
        </is>
      </c>
      <c r="Q84" s="6" t="inlineStr">
        <is>
          <t>Limitation</t>
        </is>
      </c>
      <c r="R84" s="6" t="inlineStr">
        <is>
          <t>Sub-item</t>
        </is>
      </c>
      <c r="S84" s="6" t="inlineStr">
        <is>
          <t>C-P02</t>
        </is>
      </c>
      <c r="T84" s="6" t="inlineStr">
        <is>
          <t>SRC-06 P09: one or no adversarial reviews of the independent work.</t>
        </is>
      </c>
      <c r="U84" s="6" t="inlineStr">
        <is>
          <t>Outside the repo.</t>
        </is>
      </c>
      <c r="V84" s="6" t="inlineStr">
        <is>
          <t>Accepted 2026-10-20 (the human); a limitation is closed by being stated, not by a test.</t>
        </is>
      </c>
      <c r="W84" s="6" t="inlineStr"/>
      <c r="X84" s="6" t="inlineStr"/>
      <c r="Y84" s="6" t="inlineStr">
        <is>
          <t>Q-U20</t>
        </is>
      </c>
      <c r="Z84" s="6" t="inlineStr"/>
      <c r="AA84" s="6" t="inlineStr"/>
      <c r="AB84" s="6" t="inlineStr">
        <is>
          <t>BOUND</t>
        </is>
      </c>
      <c r="AC84" s="6" t="inlineStr">
        <is>
          <t>n/a (sub-item)</t>
        </is>
      </c>
      <c r="AD84" s="6" t="inlineStr">
        <is>
          <t>NEW (SRC-11 sub-row)</t>
        </is>
      </c>
      <c r="AE84" s="6" t="inlineStr">
        <is>
          <t>2026-10-20</t>
        </is>
      </c>
      <c r="AF84" s="6" t="inlineStr">
        <is>
          <t>Questions Q-U20 (answer cell, verbatim); chat message of 2026-10-20</t>
        </is>
      </c>
      <c r="AG84" s="6" t="inlineStr"/>
      <c r="AH84" s="6" t="inlineStr">
        <is>
          <t>No</t>
        </is>
      </c>
      <c r="AI84" s="6" t="inlineStr">
        <is>
          <t>Accepted by the human on 2026-10-20, in the human's words: "I accept all 7 in B"</t>
        </is>
      </c>
      <c r="AJ84" s="6" t="inlineStr">
        <is>
          <t>SRC-11 section D5</t>
        </is>
      </c>
      <c r="AK84" s="6" t="inlineStr">
        <is>
          <t>SRC-06 P09</t>
        </is>
      </c>
      <c r="AL84" s="6" t="inlineStr">
        <is>
          <t>S25</t>
        </is>
      </c>
    </row>
    <row r="85" ht="40.5" customHeight="1">
      <c r="A85" s="5" t="inlineStr">
        <is>
          <t>C-P03/P14</t>
        </is>
      </c>
      <c r="B85" s="6" t="inlineStr">
        <is>
          <t>Older workspace saw excerpts/ASR; SRC-09 read full October notes</t>
        </is>
      </c>
      <c r="C85" s="6" t="inlineStr">
        <is>
          <t>ACCEPTED LIMITATION</t>
        </is>
      </c>
      <c r="D85" s="6" t="inlineStr">
        <is>
          <t>No</t>
        </is>
      </c>
      <c r="E85" s="6" t="inlineStr"/>
      <c r="F85" s="6" t="inlineStr"/>
      <c r="G85" s="12" t="inlineStr">
        <is>
          <t>ACCEPT-LIMITATION</t>
        </is>
      </c>
      <c r="H85" s="6" t="inlineStr">
        <is>
          <t>K16 Limits &amp; provenance</t>
        </is>
      </c>
      <c r="I85" s="6" t="inlineStr">
        <is>
          <t>G5 Housekeeping / no block</t>
        </is>
      </c>
      <c r="J85" s="6" t="inlineStr">
        <is>
          <t>Low</t>
        </is>
      </c>
      <c r="K85" s="6" t="n">
        <v>258</v>
      </c>
      <c r="L85" s="6" t="inlineStr">
        <is>
          <t>W5 Claim-time</t>
        </is>
      </c>
      <c r="M85" s="6" t="inlineStr">
        <is>
          <t>S25</t>
        </is>
      </c>
      <c r="N85" s="6" t="inlineStr">
        <is>
          <t>You</t>
        </is>
      </c>
      <c r="O85" s="6" t="inlineStr">
        <is>
          <t>Closed; moved to Archive</t>
        </is>
      </c>
      <c r="P85" s="6" t="inlineStr">
        <is>
          <t>Partly</t>
        </is>
      </c>
      <c r="Q85" s="6" t="inlineStr">
        <is>
          <t>Limitation</t>
        </is>
      </c>
      <c r="R85" s="6" t="inlineStr">
        <is>
          <t>Sub-item</t>
        </is>
      </c>
      <c r="S85" s="6" t="inlineStr">
        <is>
          <t>C-P03</t>
        </is>
      </c>
      <c r="T85" s="6" t="inlineStr">
        <is>
          <t>SRC-06 P14: the older workspace saw excerpts and automatic transcription only, while SRC-09 read the full October notes.</t>
        </is>
      </c>
      <c r="U85" s="6" t="inlineStr">
        <is>
          <t>This repo has only the nine excerpts of 14 Oct.</t>
        </is>
      </c>
      <c r="V85" s="6" t="inlineStr">
        <is>
          <t>Accepted 2026-10-20 (the human); a limitation is closed by being stated, not by a test.</t>
        </is>
      </c>
      <c r="W85" s="6" t="inlineStr"/>
      <c r="X85" s="6" t="inlineStr"/>
      <c r="Y85" s="6" t="inlineStr">
        <is>
          <t>Q-U20</t>
        </is>
      </c>
      <c r="Z85" s="6" t="inlineStr"/>
      <c r="AA85" s="6" t="inlineStr"/>
      <c r="AB85" s="6" t="inlineStr">
        <is>
          <t>RECORD+DEC</t>
        </is>
      </c>
      <c r="AC85" s="6" t="inlineStr">
        <is>
          <t>n/a (sub-item)</t>
        </is>
      </c>
      <c r="AD85" s="6" t="inlineStr">
        <is>
          <t>NEW (SRC-11 sub-row)</t>
        </is>
      </c>
      <c r="AE85" s="6" t="inlineStr">
        <is>
          <t>2026-10-20</t>
        </is>
      </c>
      <c r="AF85" s="6" t="inlineStr">
        <is>
          <t>Questions Q-U20 (answer cell, verbatim); chat message of 2026-10-20</t>
        </is>
      </c>
      <c r="AG85" s="6" t="inlineStr"/>
      <c r="AH85" s="6" t="inlineStr">
        <is>
          <t>Yes (reconciliation)</t>
        </is>
      </c>
      <c r="AI85" s="6" t="inlineStr">
        <is>
          <t>Accepted by the human on 2026-10-20, in the human's words: "I accept all 7 in B"</t>
        </is>
      </c>
      <c r="AJ85" s="6" t="inlineStr">
        <is>
          <t>SRC-11 section D5</t>
        </is>
      </c>
      <c r="AK85" s="6" t="inlineStr">
        <is>
          <t>SRC-06 P14</t>
        </is>
      </c>
      <c r="AL85" s="6" t="inlineStr">
        <is>
          <t>S25</t>
        </is>
      </c>
    </row>
    <row r="86" ht="15" customHeight="1"/>
    <row r="87" ht="15" customHeight="1">
      <c r="A87" s="22" t="inlineStr">
        <is>
          <t>Closed rows live here. Move a row from Ledger to here only when its status is CLOSED and the Change log records it; the ID stays unique across Ledger and Archive (see Overview checks).</t>
        </is>
      </c>
    </row>
  </sheetData>
  <autoFilter ref="A1:AL85"/>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548"/>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8" ht="15.5" customHeight="1">
      <c r="A448" s="6" t="inlineStr">
        <is>
          <t>2026-10-21</t>
        </is>
      </c>
      <c r="B448" s="6" t="inlineStr">
        <is>
          <t>N-28</t>
        </is>
      </c>
      <c r="C448" s="6" t="inlineStr">
        <is>
          <t>Current status</t>
        </is>
      </c>
      <c r="D448" s="6" t="inlineStr">
        <is>
          <t>OPEN</t>
        </is>
      </c>
      <c r="E448" s="6" t="inlineStr">
        <is>
          <t>CLOSED - BY DECISION</t>
        </is>
      </c>
      <c r="F448" s="6" t="inlineStr">
        <is>
          <t>closed on the human's recorded words</t>
        </is>
      </c>
      <c r="G448" s="6" t="inlineStr">
        <is>
          <t>batch 17a (AUTH-019)</t>
        </is>
      </c>
      <c r="H448" s="6" t="inlineStr">
        <is>
          <t>Claude</t>
        </is>
      </c>
    </row>
    <row r="449" ht="15.5" customHeight="1">
      <c r="A449" s="6" t="inlineStr">
        <is>
          <t>2026-10-21</t>
        </is>
      </c>
      <c r="B449" s="6" t="inlineStr">
        <is>
          <t>C-D01</t>
        </is>
      </c>
      <c r="C449" s="6" t="inlineStr">
        <is>
          <t>Current status</t>
        </is>
      </c>
      <c r="D449" s="6" t="inlineStr">
        <is>
          <t>PARTLY ANSWERED</t>
        </is>
      </c>
      <c r="E449" s="6" t="inlineStr">
        <is>
          <t>CLOSED - BY DECISION</t>
        </is>
      </c>
      <c r="F449" s="6" t="inlineStr">
        <is>
          <t>closed on the human's recorded words</t>
        </is>
      </c>
      <c r="G449" s="6" t="inlineStr">
        <is>
          <t>batch 17a (AUTH-019)</t>
        </is>
      </c>
      <c r="H449" s="6" t="inlineStr">
        <is>
          <t>Claude</t>
        </is>
      </c>
    </row>
    <row r="450" ht="15.5" customHeight="1">
      <c r="A450" s="6" t="inlineStr">
        <is>
          <t>2026-10-21</t>
        </is>
      </c>
      <c r="B450" s="6" t="inlineStr">
        <is>
          <t>C-D07</t>
        </is>
      </c>
      <c r="C450" s="6" t="inlineStr">
        <is>
          <t>Current status</t>
        </is>
      </c>
      <c r="D450" s="6" t="inlineStr">
        <is>
          <t>PARTLY ANSWERED</t>
        </is>
      </c>
      <c r="E450" s="6" t="inlineStr">
        <is>
          <t>CLOSED - BY DECISION</t>
        </is>
      </c>
      <c r="F450" s="6" t="inlineStr">
        <is>
          <t>closed on the human's recorded words</t>
        </is>
      </c>
      <c r="G450" s="6" t="inlineStr">
        <is>
          <t>batch 17a (AUTH-019)</t>
        </is>
      </c>
      <c r="H450" s="6" t="inlineStr">
        <is>
          <t>Claude</t>
        </is>
      </c>
    </row>
    <row r="451" ht="15.5" customHeight="1">
      <c r="A451" s="6" t="inlineStr">
        <is>
          <t>2026-10-21</t>
        </is>
      </c>
      <c r="B451" s="6" t="inlineStr">
        <is>
          <t>C-D07/GRADED</t>
        </is>
      </c>
      <c r="C451" s="6" t="inlineStr">
        <is>
          <t>Current status</t>
        </is>
      </c>
      <c r="D451" s="6" t="inlineStr">
        <is>
          <t>PARTLY ANSWERED</t>
        </is>
      </c>
      <c r="E451" s="6" t="inlineStr">
        <is>
          <t>CLOSED - BY DECISION</t>
        </is>
      </c>
      <c r="F451" s="6" t="inlineStr">
        <is>
          <t>closed on the human's recorded words</t>
        </is>
      </c>
      <c r="G451" s="6" t="inlineStr">
        <is>
          <t>batch 17a (AUTH-019)</t>
        </is>
      </c>
      <c r="H451" s="6" t="inlineStr">
        <is>
          <t>Claude</t>
        </is>
      </c>
    </row>
    <row r="452" ht="15.5" customHeight="1">
      <c r="A452" s="6" t="inlineStr">
        <is>
          <t>2026-10-21</t>
        </is>
      </c>
      <c r="B452" s="6" t="inlineStr">
        <is>
          <t>C-D05</t>
        </is>
      </c>
      <c r="C452" s="6" t="inlineStr">
        <is>
          <t>Current status</t>
        </is>
      </c>
      <c r="D452" s="6" t="inlineStr">
        <is>
          <t>PARTLY ANSWERED</t>
        </is>
      </c>
      <c r="E452" s="6" t="inlineStr">
        <is>
          <t>CLOSED - BY DECISION</t>
        </is>
      </c>
      <c r="F452" s="6" t="inlineStr">
        <is>
          <t>closed on the human's recorded words</t>
        </is>
      </c>
      <c r="G452" s="6" t="inlineStr">
        <is>
          <t>batch 17a (AUTH-019)</t>
        </is>
      </c>
      <c r="H452" s="6" t="inlineStr">
        <is>
          <t>Claude</t>
        </is>
      </c>
    </row>
    <row r="453" ht="15.5" customHeight="1">
      <c r="A453" s="6" t="inlineStr">
        <is>
          <t>2026-10-21</t>
        </is>
      </c>
      <c r="B453" s="6" t="inlineStr">
        <is>
          <t>C-D02</t>
        </is>
      </c>
      <c r="C453" s="6" t="inlineStr">
        <is>
          <t>Current status</t>
        </is>
      </c>
      <c r="D453" s="6" t="inlineStr">
        <is>
          <t>PARTLY ANSWERED</t>
        </is>
      </c>
      <c r="E453" s="6" t="inlineStr">
        <is>
          <t>CLOSED - BY DECISION</t>
        </is>
      </c>
      <c r="F453" s="6" t="inlineStr">
        <is>
          <t>closed on the human's recorded words</t>
        </is>
      </c>
      <c r="G453" s="6" t="inlineStr">
        <is>
          <t>batch 17a (AUTH-019)</t>
        </is>
      </c>
      <c r="H453" s="6" t="inlineStr">
        <is>
          <t>Claude</t>
        </is>
      </c>
    </row>
    <row r="454" ht="15.5" customHeight="1">
      <c r="A454" s="6" t="inlineStr">
        <is>
          <t>2026-10-21</t>
        </is>
      </c>
      <c r="B454" s="6" t="inlineStr">
        <is>
          <t>N-1</t>
        </is>
      </c>
      <c r="C454" s="6" t="inlineStr">
        <is>
          <t>Current status</t>
        </is>
      </c>
      <c r="D454" s="6" t="inlineStr">
        <is>
          <t>PARTLY ANSWERED</t>
        </is>
      </c>
      <c r="E454" s="6" t="inlineStr">
        <is>
          <t>CLOSED - BY DECISION</t>
        </is>
      </c>
      <c r="F454" s="6" t="inlineStr">
        <is>
          <t>closed on the human's recorded words</t>
        </is>
      </c>
      <c r="G454" s="6" t="inlineStr">
        <is>
          <t>batch 17a (AUTH-019)</t>
        </is>
      </c>
      <c r="H454" s="6" t="inlineStr">
        <is>
          <t>Claude</t>
        </is>
      </c>
    </row>
    <row r="455" ht="15.5" customHeight="1">
      <c r="A455" s="6" t="inlineStr">
        <is>
          <t>2026-10-21</t>
        </is>
      </c>
      <c r="B455" s="6" t="inlineStr">
        <is>
          <t>N-4</t>
        </is>
      </c>
      <c r="C455" s="6" t="inlineStr">
        <is>
          <t>Current status</t>
        </is>
      </c>
      <c r="D455" s="6" t="inlineStr">
        <is>
          <t>PARTLY ANSWERED</t>
        </is>
      </c>
      <c r="E455" s="6" t="inlineStr">
        <is>
          <t>CLOSED - BY DECISION</t>
        </is>
      </c>
      <c r="F455" s="6" t="inlineStr">
        <is>
          <t>closed on the human's recorded words</t>
        </is>
      </c>
      <c r="G455" s="6" t="inlineStr">
        <is>
          <t>batch 17a (AUTH-019)</t>
        </is>
      </c>
      <c r="H455" s="6" t="inlineStr">
        <is>
          <t>Claude</t>
        </is>
      </c>
    </row>
    <row r="456" ht="15.5" customHeight="1">
      <c r="A456" s="6" t="inlineStr">
        <is>
          <t>2026-10-21</t>
        </is>
      </c>
      <c r="B456" s="6" t="inlineStr">
        <is>
          <t>N-27</t>
        </is>
      </c>
      <c r="C456" s="6" t="inlineStr">
        <is>
          <t>Current status</t>
        </is>
      </c>
      <c r="D456" s="6" t="inlineStr">
        <is>
          <t>PARTLY ANSWERED</t>
        </is>
      </c>
      <c r="E456" s="6" t="inlineStr">
        <is>
          <t>CLOSED - BY DECISION</t>
        </is>
      </c>
      <c r="F456" s="6" t="inlineStr">
        <is>
          <t>closed on the human's recorded words</t>
        </is>
      </c>
      <c r="G456" s="6" t="inlineStr">
        <is>
          <t>batch 17a (AUTH-019)</t>
        </is>
      </c>
      <c r="H456" s="6" t="inlineStr">
        <is>
          <t>Claude</t>
        </is>
      </c>
    </row>
    <row r="457" ht="15.5" customHeight="1">
      <c r="A457" s="6" t="inlineStr">
        <is>
          <t>2026-10-21</t>
        </is>
      </c>
      <c r="B457" s="6" t="inlineStr">
        <is>
          <t>N-25</t>
        </is>
      </c>
      <c r="C457" s="6" t="inlineStr">
        <is>
          <t>Current status</t>
        </is>
      </c>
      <c r="D457" s="6" t="inlineStr">
        <is>
          <t>PARTLY ANSWERED</t>
        </is>
      </c>
      <c r="E457" s="6" t="inlineStr">
        <is>
          <t>CLOSED - BY DECISION</t>
        </is>
      </c>
      <c r="F457" s="6" t="inlineStr">
        <is>
          <t>closed on the human's recorded words</t>
        </is>
      </c>
      <c r="G457" s="6" t="inlineStr">
        <is>
          <t>batch 17a (AUTH-019)</t>
        </is>
      </c>
      <c r="H457" s="6" t="inlineStr">
        <is>
          <t>Claude</t>
        </is>
      </c>
    </row>
    <row r="458" ht="15.5" customHeight="1">
      <c r="A458" s="6" t="inlineStr">
        <is>
          <t>2026-10-21</t>
        </is>
      </c>
      <c r="B458" s="6" t="inlineStr">
        <is>
          <t>C-D08/DELTA</t>
        </is>
      </c>
      <c r="C458" s="6" t="inlineStr">
        <is>
          <t>Current status</t>
        </is>
      </c>
      <c r="D458" s="6" t="inlineStr">
        <is>
          <t>PARTLY ANSWERED</t>
        </is>
      </c>
      <c r="E458" s="6" t="inlineStr">
        <is>
          <t>CLOSED - BY DECISION</t>
        </is>
      </c>
      <c r="F458" s="6" t="inlineStr">
        <is>
          <t>closed on the human's recorded words</t>
        </is>
      </c>
      <c r="G458" s="6" t="inlineStr">
        <is>
          <t>batch 17a (AUTH-019)</t>
        </is>
      </c>
      <c r="H458" s="6" t="inlineStr">
        <is>
          <t>Claude</t>
        </is>
      </c>
    </row>
    <row r="459" ht="15.5" customHeight="1">
      <c r="A459" s="6" t="inlineStr">
        <is>
          <t>2026-10-21</t>
        </is>
      </c>
      <c r="B459" s="6" t="inlineStr">
        <is>
          <t>C-D08/EPS</t>
        </is>
      </c>
      <c r="C459" s="6" t="inlineStr">
        <is>
          <t>Current status</t>
        </is>
      </c>
      <c r="D459" s="6" t="inlineStr">
        <is>
          <t>OPEN</t>
        </is>
      </c>
      <c r="E459" s="6" t="inlineStr">
        <is>
          <t>CLOSED - BY DECISION</t>
        </is>
      </c>
      <c r="F459" s="6" t="inlineStr">
        <is>
          <t>closed on the human's recorded words</t>
        </is>
      </c>
      <c r="G459" s="6" t="inlineStr">
        <is>
          <t>batch 17a (AUTH-019)</t>
        </is>
      </c>
      <c r="H459" s="6" t="inlineStr">
        <is>
          <t>Claude</t>
        </is>
      </c>
    </row>
    <row r="460" ht="15.5" customHeight="1">
      <c r="A460" s="6" t="inlineStr">
        <is>
          <t>2026-10-21</t>
        </is>
      </c>
      <c r="B460" s="6" t="inlineStr">
        <is>
          <t>N-29</t>
        </is>
      </c>
      <c r="C460" s="6" t="inlineStr">
        <is>
          <t>Current status</t>
        </is>
      </c>
      <c r="D460" s="6" t="inlineStr">
        <is>
          <t>OPEN</t>
        </is>
      </c>
      <c r="E460" s="6" t="inlineStr">
        <is>
          <t>SUPERSEDED / MERGED</t>
        </is>
      </c>
      <c r="F460" s="6" t="inlineStr">
        <is>
          <t>closed on the human's recorded words</t>
        </is>
      </c>
      <c r="G460" s="6" t="inlineStr">
        <is>
          <t>batch 17a (AUTH-019)</t>
        </is>
      </c>
      <c r="H460" s="6" t="inlineStr">
        <is>
          <t>Claude</t>
        </is>
      </c>
    </row>
    <row r="461" ht="15.5" customHeight="1">
      <c r="A461" s="6" t="inlineStr">
        <is>
          <t>2026-10-21</t>
        </is>
      </c>
      <c r="B461" s="6" t="inlineStr">
        <is>
          <t>AS-14</t>
        </is>
      </c>
      <c r="C461" s="6" t="inlineStr">
        <is>
          <t>Current status</t>
        </is>
      </c>
      <c r="D461" s="6" t="inlineStr">
        <is>
          <t>OPEN</t>
        </is>
      </c>
      <c r="E461" s="6" t="inlineStr">
        <is>
          <t>SUPERSEDED / MERGED</t>
        </is>
      </c>
      <c r="F461" s="6" t="inlineStr">
        <is>
          <t>closed on the human's recorded words</t>
        </is>
      </c>
      <c r="G461" s="6" t="inlineStr">
        <is>
          <t>batch 17a (AUTH-019)</t>
        </is>
      </c>
      <c r="H461" s="6" t="inlineStr">
        <is>
          <t>Claude</t>
        </is>
      </c>
    </row>
    <row r="462" ht="65.5" customHeight="1">
      <c r="A462" s="6" t="inlineStr">
        <is>
          <t>2026-10-21</t>
        </is>
      </c>
      <c r="B462" s="6" t="inlineStr">
        <is>
          <t>C-E06</t>
        </is>
      </c>
      <c r="C462" s="6" t="inlineStr">
        <is>
          <t>Known / basis</t>
        </is>
      </c>
      <c r="D462" s="6" t="inlineStr">
        <is>
          <t>(previous text)</t>
        </is>
      </c>
      <c r="E462" s="6" t="inlineStr">
        <is>
          <t>Stated explicitly in v4: above n_fit no noninferiority-to-expose-all claim; a policy from a frontier needs a human margin or budget. 2026-10-20: the h</t>
        </is>
      </c>
      <c r="F462" s="6" t="inlineStr">
        <is>
          <t>margin question decided</t>
        </is>
      </c>
      <c r="G462" s="6" t="inlineStr">
        <is>
          <t>batch 17a (AUTH-019)</t>
        </is>
      </c>
      <c r="H462" s="6" t="inlineStr">
        <is>
          <t>Claude</t>
        </is>
      </c>
    </row>
    <row r="463" ht="28" customHeight="1">
      <c r="A463" s="6" t="inlineStr">
        <is>
          <t>2026-10-21</t>
        </is>
      </c>
      <c r="B463" s="6" t="inlineStr">
        <is>
          <t>C-R01/FIG2-POINTS</t>
        </is>
      </c>
      <c r="C463" s="6" t="inlineStr">
        <is>
          <t>Current status</t>
        </is>
      </c>
      <c r="D463" s="6" t="inlineStr">
        <is>
          <t>OPEN</t>
        </is>
      </c>
      <c r="E463" s="6" t="inlineStr">
        <is>
          <t>PARTLY ANSWERED</t>
        </is>
      </c>
      <c r="F463" s="6" t="inlineStr">
        <is>
          <t>point (c) decided</t>
        </is>
      </c>
      <c r="G463" s="6" t="inlineStr">
        <is>
          <t>batch 17a (AUTH-019)</t>
        </is>
      </c>
      <c r="H463" s="6" t="inlineStr">
        <is>
          <t>Claude</t>
        </is>
      </c>
    </row>
    <row r="464" ht="65.5" customHeight="1">
      <c r="A464" s="6" t="inlineStr">
        <is>
          <t>2026-10-21</t>
        </is>
      </c>
      <c r="B464" s="6" t="inlineStr">
        <is>
          <t>C-D08/EC5</t>
        </is>
      </c>
      <c r="C464" s="6" t="inlineStr">
        <is>
          <t>Known / basis</t>
        </is>
      </c>
      <c r="D464" s="6" t="inlineStr">
        <is>
          <t>(previous text)</t>
        </is>
      </c>
      <c r="E464" s="6" t="inlineStr">
        <is>
          <t>Tokens are the working criterion; bill recorded separately; latency is not in any criterion. 2026-10-21 (AUTH-018): money cost per turn, tokens and re</t>
        </is>
      </c>
      <c r="F464" s="6" t="inlineStr">
        <is>
          <t>accounting decided in principle</t>
        </is>
      </c>
      <c r="G464" s="6" t="inlineStr">
        <is>
          <t>batch 17a (AUTH-019)</t>
        </is>
      </c>
      <c r="H464" s="6" t="inlineStr">
        <is>
          <t>Claude</t>
        </is>
      </c>
    </row>
    <row r="465" ht="65.5" customHeight="1">
      <c r="A465" s="6" t="inlineStr">
        <is>
          <t>2026-10-21</t>
        </is>
      </c>
      <c r="B465" s="6" t="inlineStr">
        <is>
          <t>C-D08/EC1</t>
        </is>
      </c>
      <c r="C465" s="6" t="inlineStr">
        <is>
          <t>Known / basis</t>
        </is>
      </c>
      <c r="D465" s="6" t="inlineStr">
        <is>
          <t>(previous text)</t>
        </is>
      </c>
      <c r="E465" s="6" t="inlineStr">
        <is>
          <t>Complete trajectories are the working unit; models, providers, repeats unset. 2026-10-21 (AUTH-018): requirements now in his words: 'multiple differen</t>
        </is>
      </c>
      <c r="F465" s="6" t="inlineStr">
        <is>
          <t>narrowed</t>
        </is>
      </c>
      <c r="G465" s="6" t="inlineStr">
        <is>
          <t>batch 17a (AUTH-019)</t>
        </is>
      </c>
      <c r="H465" s="6" t="inlineStr">
        <is>
          <t>Claude</t>
        </is>
      </c>
    </row>
    <row r="466" ht="65.5" customHeight="1">
      <c r="A466" s="6" t="inlineStr">
        <is>
          <t>2026-10-21</t>
        </is>
      </c>
      <c r="B466" s="6" t="inlineStr">
        <is>
          <t>C-S17</t>
        </is>
      </c>
      <c r="C466" s="6" t="inlineStr">
        <is>
          <t>Known / basis</t>
        </is>
      </c>
      <c r="D466" s="6" t="inlineStr">
        <is>
          <t>(previous text)</t>
        </is>
      </c>
      <c r="E466" s="6" t="inlineStr">
        <is>
          <t>C_tok includes O_dev/N_dep; N_dep unset. 2026-10-21 (AUTH-018): filtering cost counts against the saving: 'you cannot use many tokens because you're s</t>
        </is>
      </c>
      <c r="F466" s="6" t="inlineStr">
        <is>
          <t>runtime overhead decided</t>
        </is>
      </c>
      <c r="G466" s="6" t="inlineStr">
        <is>
          <t>batch 17a (AUTH-019)</t>
        </is>
      </c>
      <c r="H466" s="6" t="inlineStr">
        <is>
          <t>Claude</t>
        </is>
      </c>
    </row>
    <row r="467" ht="65.5" customHeight="1">
      <c r="A467" s="6" t="inlineStr">
        <is>
          <t>2026-10-21</t>
        </is>
      </c>
      <c r="B467" s="6" t="inlineStr">
        <is>
          <t>N-26</t>
        </is>
      </c>
      <c r="C467" s="6" t="inlineStr">
        <is>
          <t>Known / basis</t>
        </is>
      </c>
      <c r="D467" s="6" t="inlineStr">
        <is>
          <t>(previous text)</t>
        </is>
      </c>
      <c r="E467" s="6" t="inlineStr">
        <is>
          <t>Documented mechanisms in the pages read (facts, not the decision): Anthropic automatic or explicit via cache_control (EXT-0115); Bedrock explicit chec</t>
        </is>
      </c>
      <c r="F467" s="6" t="inlineStr">
        <is>
          <t>design idea recorded</t>
        </is>
      </c>
      <c r="G467" s="6" t="inlineStr">
        <is>
          <t>batch 17a (AUTH-019)</t>
        </is>
      </c>
      <c r="H467" s="6" t="inlineStr">
        <is>
          <t>Claude</t>
        </is>
      </c>
    </row>
    <row r="468" ht="65.5" customHeight="1">
      <c r="A468" s="6" t="inlineStr">
        <is>
          <t>2026-10-21</t>
        </is>
      </c>
      <c r="B468" s="6" t="inlineStr">
        <is>
          <t>C-S13/CALIB</t>
        </is>
      </c>
      <c r="C468" s="6" t="inlineStr">
        <is>
          <t>Known / basis</t>
        </is>
      </c>
      <c r="D468" s="6" t="inlineStr">
        <is>
          <t>(previous text)</t>
        </is>
      </c>
      <c r="E468" s="6" t="inlineStr">
        <is>
          <t>Documented as unresolved. 2026-10-21 (AUTH-019, the human's decisions): no hard thresholds (line 16): a calibration result is reported, not judged aga</t>
        </is>
      </c>
      <c r="F468" s="6" t="inlineStr">
        <is>
          <t>threshold question decided</t>
        </is>
      </c>
      <c r="G468" s="6" t="inlineStr">
        <is>
          <t>batch 17a (AUTH-019)</t>
        </is>
      </c>
      <c r="H468" s="6" t="inlineStr">
        <is>
          <t>Claude</t>
        </is>
      </c>
    </row>
    <row r="469" ht="15.5" customHeight="1">
      <c r="A469" s="6" t="inlineStr">
        <is>
          <t>2026-10-21</t>
        </is>
      </c>
      <c r="B469" s="6" t="inlineStr">
        <is>
          <t>C-S14</t>
        </is>
      </c>
      <c r="C469" s="6" t="inlineStr">
        <is>
          <t>Current status</t>
        </is>
      </c>
      <c r="D469" s="6" t="inlineStr">
        <is>
          <t>PARTLY ANSWERED</t>
        </is>
      </c>
      <c r="E469" s="6" t="inlineStr">
        <is>
          <t>DEFERRED</t>
        </is>
      </c>
      <c r="F469" s="6" t="inlineStr">
        <is>
          <t>belongs to the end-to-end phase (the human's process)</t>
        </is>
      </c>
      <c r="G469" s="6" t="inlineStr">
        <is>
          <t>batch 17a (AUTH-019)</t>
        </is>
      </c>
      <c r="H469" s="6" t="inlineStr">
        <is>
          <t>Claude</t>
        </is>
      </c>
    </row>
    <row r="470" ht="15.5" customHeight="1">
      <c r="A470" s="6" t="inlineStr">
        <is>
          <t>2026-10-21</t>
        </is>
      </c>
      <c r="B470" s="6" t="inlineStr">
        <is>
          <t>C-S14/MULT</t>
        </is>
      </c>
      <c r="C470" s="6" t="inlineStr">
        <is>
          <t>Current status</t>
        </is>
      </c>
      <c r="D470" s="6" t="inlineStr">
        <is>
          <t>OPEN</t>
        </is>
      </c>
      <c r="E470" s="6" t="inlineStr">
        <is>
          <t>DEFERRED</t>
        </is>
      </c>
      <c r="F470" s="6" t="inlineStr">
        <is>
          <t>belongs to the end-to-end phase (the human's process)</t>
        </is>
      </c>
      <c r="G470" s="6" t="inlineStr">
        <is>
          <t>batch 17a (AUTH-019)</t>
        </is>
      </c>
      <c r="H470" s="6" t="inlineStr">
        <is>
          <t>Claude</t>
        </is>
      </c>
    </row>
    <row r="471" ht="15.5" customHeight="1">
      <c r="A471" s="6" t="inlineStr">
        <is>
          <t>2026-10-21</t>
        </is>
      </c>
      <c r="B471" s="6" t="inlineStr">
        <is>
          <t>C-S14/PATHDEP</t>
        </is>
      </c>
      <c r="C471" s="6" t="inlineStr">
        <is>
          <t>Current status</t>
        </is>
      </c>
      <c r="D471" s="6" t="inlineStr">
        <is>
          <t>OPEN</t>
        </is>
      </c>
      <c r="E471" s="6" t="inlineStr">
        <is>
          <t>DEFERRED</t>
        </is>
      </c>
      <c r="F471" s="6" t="inlineStr">
        <is>
          <t>belongs to the end-to-end phase (the human's process)</t>
        </is>
      </c>
      <c r="G471" s="6" t="inlineStr">
        <is>
          <t>batch 17a (AUTH-019)</t>
        </is>
      </c>
      <c r="H471" s="6" t="inlineStr">
        <is>
          <t>Claude</t>
        </is>
      </c>
    </row>
    <row r="472" ht="15.5" customHeight="1">
      <c r="A472" s="6" t="inlineStr">
        <is>
          <t>2026-10-21</t>
        </is>
      </c>
      <c r="B472" s="6" t="inlineStr">
        <is>
          <t>C-S14/POSTSEL</t>
        </is>
      </c>
      <c r="C472" s="6" t="inlineStr">
        <is>
          <t>Current status</t>
        </is>
      </c>
      <c r="D472" s="6" t="inlineStr">
        <is>
          <t>OPEN</t>
        </is>
      </c>
      <c r="E472" s="6" t="inlineStr">
        <is>
          <t>DEFERRED</t>
        </is>
      </c>
      <c r="F472" s="6" t="inlineStr">
        <is>
          <t>belongs to the end-to-end phase (the human's process)</t>
        </is>
      </c>
      <c r="G472" s="6" t="inlineStr">
        <is>
          <t>batch 17a (AUTH-019)</t>
        </is>
      </c>
      <c r="H472" s="6" t="inlineStr">
        <is>
          <t>Claude</t>
        </is>
      </c>
    </row>
    <row r="473" ht="15.5" customHeight="1">
      <c r="A473" s="6" t="inlineStr">
        <is>
          <t>2026-10-21</t>
        </is>
      </c>
      <c r="B473" s="6" t="inlineStr">
        <is>
          <t>C-X06</t>
        </is>
      </c>
      <c r="C473" s="6" t="inlineStr">
        <is>
          <t>Current status</t>
        </is>
      </c>
      <c r="D473" s="6" t="inlineStr">
        <is>
          <t>UNRUN</t>
        </is>
      </c>
      <c r="E473" s="6" t="inlineStr">
        <is>
          <t>DEFERRED</t>
        </is>
      </c>
      <c r="F473" s="6" t="inlineStr">
        <is>
          <t>belongs to the end-to-end phase (the human's process)</t>
        </is>
      </c>
      <c r="G473" s="6" t="inlineStr">
        <is>
          <t>batch 17a (AUTH-019)</t>
        </is>
      </c>
      <c r="H473" s="6" t="inlineStr">
        <is>
          <t>Claude</t>
        </is>
      </c>
    </row>
    <row r="474" ht="15.5" customHeight="1">
      <c r="A474" s="6" t="inlineStr">
        <is>
          <t>2026-10-21</t>
        </is>
      </c>
      <c r="B474" s="6" t="inlineStr">
        <is>
          <t>C-R03/C20</t>
        </is>
      </c>
      <c r="C474" s="6" t="inlineStr">
        <is>
          <t>Current status</t>
        </is>
      </c>
      <c r="D474" s="6" t="inlineStr">
        <is>
          <t>OPEN</t>
        </is>
      </c>
      <c r="E474" s="6" t="inlineStr">
        <is>
          <t>DEFERRED</t>
        </is>
      </c>
      <c r="F474" s="6" t="inlineStr">
        <is>
          <t>belongs to the end-to-end phase (the human's process)</t>
        </is>
      </c>
      <c r="G474" s="6" t="inlineStr">
        <is>
          <t>batch 17a (AUTH-019)</t>
        </is>
      </c>
      <c r="H474" s="6" t="inlineStr">
        <is>
          <t>Claude</t>
        </is>
      </c>
    </row>
    <row r="475" ht="15.5" customHeight="1">
      <c r="A475" s="6" t="inlineStr">
        <is>
          <t>2026-10-21</t>
        </is>
      </c>
      <c r="B475" s="6" t="inlineStr">
        <is>
          <t>C-R03/C26</t>
        </is>
      </c>
      <c r="C475" s="6" t="inlineStr">
        <is>
          <t>Current status</t>
        </is>
      </c>
      <c r="D475" s="6" t="inlineStr">
        <is>
          <t>PARTLY ANSWERED</t>
        </is>
      </c>
      <c r="E475" s="6" t="inlineStr">
        <is>
          <t>DEFERRED</t>
        </is>
      </c>
      <c r="F475" s="6" t="inlineStr">
        <is>
          <t>belongs to the end-to-end phase (the human's process)</t>
        </is>
      </c>
      <c r="G475" s="6" t="inlineStr">
        <is>
          <t>batch 17a (AUTH-019)</t>
        </is>
      </c>
      <c r="H475" s="6" t="inlineStr">
        <is>
          <t>Claude</t>
        </is>
      </c>
    </row>
    <row r="476" ht="15.5" customHeight="1">
      <c r="A476" s="6" t="inlineStr">
        <is>
          <t>2026-10-21</t>
        </is>
      </c>
      <c r="B476" s="6" t="inlineStr">
        <is>
          <t>C-D08/ALPHA</t>
        </is>
      </c>
      <c r="C476" s="6" t="inlineStr">
        <is>
          <t>Current status</t>
        </is>
      </c>
      <c r="D476" s="6" t="inlineStr">
        <is>
          <t>OPEN</t>
        </is>
      </c>
      <c r="E476" s="6" t="inlineStr">
        <is>
          <t>DEFERRED</t>
        </is>
      </c>
      <c r="F476" s="6" t="inlineStr">
        <is>
          <t>belongs to the end-to-end phase (the human's process)</t>
        </is>
      </c>
      <c r="G476" s="6" t="inlineStr">
        <is>
          <t>batch 17a (AUTH-019)</t>
        </is>
      </c>
      <c r="H476" s="6" t="inlineStr">
        <is>
          <t>Claude</t>
        </is>
      </c>
    </row>
    <row r="477" ht="15.5" customHeight="1">
      <c r="A477" s="6" t="inlineStr">
        <is>
          <t>2026-10-21</t>
        </is>
      </c>
      <c r="B477" s="6" t="inlineStr">
        <is>
          <t>C-D08/STRATA</t>
        </is>
      </c>
      <c r="C477" s="6" t="inlineStr">
        <is>
          <t>Current status</t>
        </is>
      </c>
      <c r="D477" s="6" t="inlineStr">
        <is>
          <t>OPEN</t>
        </is>
      </c>
      <c r="E477" s="6" t="inlineStr">
        <is>
          <t>DEFERRED</t>
        </is>
      </c>
      <c r="F477" s="6" t="inlineStr">
        <is>
          <t>belongs to the end-to-end phase (the human's process)</t>
        </is>
      </c>
      <c r="G477" s="6" t="inlineStr">
        <is>
          <t>batch 17a (AUTH-019)</t>
        </is>
      </c>
      <c r="H477" s="6" t="inlineStr">
        <is>
          <t>Claude</t>
        </is>
      </c>
    </row>
    <row r="478" ht="15.5" customHeight="1">
      <c r="A478" s="6" t="inlineStr">
        <is>
          <t>2026-10-21</t>
        </is>
      </c>
      <c r="B478" s="6" t="inlineStr">
        <is>
          <t>Q-J01</t>
        </is>
      </c>
      <c r="C478" s="6" t="inlineStr">
        <is>
          <t>Answer</t>
        </is>
      </c>
      <c r="D478" s="6" t="inlineStr"/>
      <c r="E478" s="6" t="inlineStr">
        <is>
          <t>answered by the human</t>
        </is>
      </c>
      <c r="F478" s="6" t="inlineStr">
        <is>
          <t>INT-T-005</t>
        </is>
      </c>
      <c r="G478" s="6" t="inlineStr">
        <is>
          <t>AUTH-019</t>
        </is>
      </c>
      <c r="H478" s="6" t="inlineStr">
        <is>
          <t>Claude</t>
        </is>
      </c>
    </row>
    <row r="479" ht="15.5" customHeight="1">
      <c r="A479" s="6" t="inlineStr">
        <is>
          <t>2026-10-21</t>
        </is>
      </c>
      <c r="B479" s="6" t="inlineStr">
        <is>
          <t>Q-J03</t>
        </is>
      </c>
      <c r="C479" s="6" t="inlineStr">
        <is>
          <t>Answer</t>
        </is>
      </c>
      <c r="D479" s="6" t="inlineStr"/>
      <c r="E479" s="6" t="inlineStr">
        <is>
          <t>answered by the human</t>
        </is>
      </c>
      <c r="F479" s="6" t="inlineStr">
        <is>
          <t>INT-T-005</t>
        </is>
      </c>
      <c r="G479" s="6" t="inlineStr">
        <is>
          <t>AUTH-019</t>
        </is>
      </c>
      <c r="H479" s="6" t="inlineStr">
        <is>
          <t>Claude</t>
        </is>
      </c>
    </row>
    <row r="480" ht="15.5" customHeight="1">
      <c r="A480" s="6" t="inlineStr">
        <is>
          <t>2026-10-21</t>
        </is>
      </c>
      <c r="B480" s="6" t="inlineStr">
        <is>
          <t>Q-J13</t>
        </is>
      </c>
      <c r="C480" s="6" t="inlineStr">
        <is>
          <t>Answer</t>
        </is>
      </c>
      <c r="D480" s="6" t="inlineStr"/>
      <c r="E480" s="6" t="inlineStr">
        <is>
          <t>answered by the human</t>
        </is>
      </c>
      <c r="F480" s="6" t="inlineStr">
        <is>
          <t>INT-T-005</t>
        </is>
      </c>
      <c r="G480" s="6" t="inlineStr">
        <is>
          <t>AUTH-019</t>
        </is>
      </c>
      <c r="H480" s="6" t="inlineStr">
        <is>
          <t>Claude</t>
        </is>
      </c>
    </row>
    <row r="481" ht="15.5" customHeight="1">
      <c r="A481" s="6" t="inlineStr">
        <is>
          <t>2026-10-21</t>
        </is>
      </c>
      <c r="B481" s="6" t="inlineStr">
        <is>
          <t>Q-J14</t>
        </is>
      </c>
      <c r="C481" s="6" t="inlineStr">
        <is>
          <t>Answer</t>
        </is>
      </c>
      <c r="D481" s="6" t="inlineStr"/>
      <c r="E481" s="6" t="inlineStr">
        <is>
          <t>answered by the human</t>
        </is>
      </c>
      <c r="F481" s="6" t="inlineStr">
        <is>
          <t>INT-T-005</t>
        </is>
      </c>
      <c r="G481" s="6" t="inlineStr">
        <is>
          <t>AUTH-019</t>
        </is>
      </c>
      <c r="H481" s="6" t="inlineStr">
        <is>
          <t>Claude</t>
        </is>
      </c>
    </row>
    <row r="482" ht="15.5" customHeight="1">
      <c r="A482" s="6" t="inlineStr">
        <is>
          <t>2026-10-21</t>
        </is>
      </c>
      <c r="B482" s="6" t="inlineStr">
        <is>
          <t>Q-J18</t>
        </is>
      </c>
      <c r="C482" s="6" t="inlineStr">
        <is>
          <t>Answer</t>
        </is>
      </c>
      <c r="D482" s="6" t="inlineStr"/>
      <c r="E482" s="6" t="inlineStr">
        <is>
          <t>answered by the human</t>
        </is>
      </c>
      <c r="F482" s="6" t="inlineStr">
        <is>
          <t>INT-T-005</t>
        </is>
      </c>
      <c r="G482" s="6" t="inlineStr">
        <is>
          <t>AUTH-019</t>
        </is>
      </c>
      <c r="H482" s="6" t="inlineStr">
        <is>
          <t>Claude</t>
        </is>
      </c>
    </row>
    <row r="483" ht="15.5" customHeight="1">
      <c r="A483" s="6" t="inlineStr">
        <is>
          <t>2026-10-21</t>
        </is>
      </c>
      <c r="B483" s="6" t="inlineStr">
        <is>
          <t>Q-J19</t>
        </is>
      </c>
      <c r="C483" s="6" t="inlineStr">
        <is>
          <t>Answer</t>
        </is>
      </c>
      <c r="D483" s="6" t="inlineStr"/>
      <c r="E483" s="6" t="inlineStr">
        <is>
          <t>answered by the human</t>
        </is>
      </c>
      <c r="F483" s="6" t="inlineStr">
        <is>
          <t>INT-T-005</t>
        </is>
      </c>
      <c r="G483" s="6" t="inlineStr">
        <is>
          <t>AUTH-019</t>
        </is>
      </c>
      <c r="H483" s="6" t="inlineStr">
        <is>
          <t>Claude</t>
        </is>
      </c>
    </row>
    <row r="484" ht="15.5" customHeight="1">
      <c r="A484" s="6" t="inlineStr">
        <is>
          <t>2026-10-21</t>
        </is>
      </c>
      <c r="B484" s="6" t="inlineStr">
        <is>
          <t>Q-J24</t>
        </is>
      </c>
      <c r="C484" s="6" t="inlineStr">
        <is>
          <t>Answer</t>
        </is>
      </c>
      <c r="D484" s="6" t="inlineStr"/>
      <c r="E484" s="6" t="inlineStr">
        <is>
          <t>answered by the human</t>
        </is>
      </c>
      <c r="F484" s="6" t="inlineStr">
        <is>
          <t>INT-T-005</t>
        </is>
      </c>
      <c r="G484" s="6" t="inlineStr">
        <is>
          <t>AUTH-019</t>
        </is>
      </c>
      <c r="H484" s="6" t="inlineStr">
        <is>
          <t>Claude</t>
        </is>
      </c>
    </row>
    <row r="485" ht="15.5" customHeight="1">
      <c r="A485" s="6" t="inlineStr">
        <is>
          <t>2026-10-21</t>
        </is>
      </c>
      <c r="B485" s="6" t="inlineStr">
        <is>
          <t>Q-J25</t>
        </is>
      </c>
      <c r="C485" s="6" t="inlineStr">
        <is>
          <t>Answer</t>
        </is>
      </c>
      <c r="D485" s="6" t="inlineStr"/>
      <c r="E485" s="6" t="inlineStr">
        <is>
          <t>answered by the human</t>
        </is>
      </c>
      <c r="F485" s="6" t="inlineStr">
        <is>
          <t>INT-T-005</t>
        </is>
      </c>
      <c r="G485" s="6" t="inlineStr">
        <is>
          <t>AUTH-019</t>
        </is>
      </c>
      <c r="H485" s="6" t="inlineStr">
        <is>
          <t>Claude</t>
        </is>
      </c>
    </row>
    <row r="486" ht="15.5" customHeight="1">
      <c r="A486" s="6" t="inlineStr">
        <is>
          <t>2026-10-21</t>
        </is>
      </c>
      <c r="B486" s="6" t="inlineStr">
        <is>
          <t>Q-J27</t>
        </is>
      </c>
      <c r="C486" s="6" t="inlineStr">
        <is>
          <t>Answer</t>
        </is>
      </c>
      <c r="D486" s="6" t="inlineStr"/>
      <c r="E486" s="6" t="inlineStr">
        <is>
          <t>answered by the human</t>
        </is>
      </c>
      <c r="F486" s="6" t="inlineStr">
        <is>
          <t>INT-T-005</t>
        </is>
      </c>
      <c r="G486" s="6" t="inlineStr">
        <is>
          <t>AUTH-019</t>
        </is>
      </c>
      <c r="H486" s="6" t="inlineStr">
        <is>
          <t>Claude</t>
        </is>
      </c>
    </row>
    <row r="487" ht="15.5" customHeight="1">
      <c r="A487" s="6" t="inlineStr">
        <is>
          <t>2026-10-21</t>
        </is>
      </c>
      <c r="B487" s="6" t="inlineStr">
        <is>
          <t>Q-J30</t>
        </is>
      </c>
      <c r="C487" s="6" t="inlineStr">
        <is>
          <t>Answer</t>
        </is>
      </c>
      <c r="D487" s="6" t="inlineStr"/>
      <c r="E487" s="6" t="inlineStr">
        <is>
          <t>answered by the human</t>
        </is>
      </c>
      <c r="F487" s="6" t="inlineStr">
        <is>
          <t>INT-T-005</t>
        </is>
      </c>
      <c r="G487" s="6" t="inlineStr">
        <is>
          <t>AUTH-019</t>
        </is>
      </c>
      <c r="H487" s="6" t="inlineStr">
        <is>
          <t>Claude</t>
        </is>
      </c>
    </row>
    <row r="488" ht="40.5" customHeight="1">
      <c r="A488" s="6" t="inlineStr">
        <is>
          <t>2026-10-21</t>
        </is>
      </c>
      <c r="B488" s="6" t="inlineStr">
        <is>
          <t>N-30</t>
        </is>
      </c>
      <c r="C488" s="6" t="inlineStr">
        <is>
          <t>New row</t>
        </is>
      </c>
      <c r="D488" s="6" t="inlineStr"/>
      <c r="E488" s="6" t="inlineStr">
        <is>
          <t>Canonical billing equation of turns and sessions (model-agnostic components)</t>
        </is>
      </c>
      <c r="F488" s="6" t="inlineStr">
        <is>
          <t>the human's decision (INT-T-005)</t>
        </is>
      </c>
      <c r="G488" s="6" t="inlineStr">
        <is>
          <t>batch 17a (AUTH-019)</t>
        </is>
      </c>
      <c r="H488" s="6" t="inlineStr">
        <is>
          <t>Claude</t>
        </is>
      </c>
    </row>
    <row r="489" ht="28" customHeight="1">
      <c r="A489" s="6" t="inlineStr">
        <is>
          <t>2026-10-21</t>
        </is>
      </c>
      <c r="B489" s="6" t="inlineStr">
        <is>
          <t>C-D01</t>
        </is>
      </c>
      <c r="C489" s="6" t="inlineStr">
        <is>
          <t>Moved to Archive</t>
        </is>
      </c>
      <c r="D489" s="6" t="inlineStr">
        <is>
          <t>Ledger</t>
        </is>
      </c>
      <c r="E489" s="6" t="inlineStr">
        <is>
          <t>Archive (CLOSED - BY DECISION)</t>
        </is>
      </c>
      <c r="F489" s="6" t="inlineStr">
        <is>
          <t>Closed 2026-10-21: no text governs Project A; the June ideas are candidates like any other (the human).</t>
        </is>
      </c>
      <c r="G489" s="6" t="inlineStr">
        <is>
          <t>batch 17a (AUTH-019)</t>
        </is>
      </c>
      <c r="H489" s="6" t="inlineStr">
        <is>
          <t>Claude</t>
        </is>
      </c>
    </row>
    <row r="490" ht="28" customHeight="1">
      <c r="A490" s="6" t="inlineStr">
        <is>
          <t>2026-10-21</t>
        </is>
      </c>
      <c r="B490" s="6" t="inlineStr">
        <is>
          <t>C-D05</t>
        </is>
      </c>
      <c r="C490" s="6" t="inlineStr">
        <is>
          <t>Moved to Archive</t>
        </is>
      </c>
      <c r="D490" s="6" t="inlineStr">
        <is>
          <t>Ledger</t>
        </is>
      </c>
      <c r="E490" s="6" t="inlineStr">
        <is>
          <t>Archive (CLOSED - BY DECISION)</t>
        </is>
      </c>
      <c r="F490" s="6" t="inlineStr">
        <is>
          <t>Closed 2026-10-21: due next is research and a drafted policy, then proof-of-concept tests of parts in a loop, then an end-to-end study.</t>
        </is>
      </c>
      <c r="G490" s="6" t="inlineStr">
        <is>
          <t>batch 17a (AUTH-019)</t>
        </is>
      </c>
      <c r="H490" s="6" t="inlineStr">
        <is>
          <t>Claude</t>
        </is>
      </c>
    </row>
    <row r="491" ht="28" customHeight="1">
      <c r="A491" s="6" t="inlineStr">
        <is>
          <t>2026-10-21</t>
        </is>
      </c>
      <c r="B491" s="6" t="inlineStr">
        <is>
          <t>C-D07/GRADED</t>
        </is>
      </c>
      <c r="C491" s="6" t="inlineStr">
        <is>
          <t>Moved to Archive</t>
        </is>
      </c>
      <c r="D491" s="6" t="inlineStr">
        <is>
          <t>Ledger</t>
        </is>
      </c>
      <c r="E491" s="6" t="inlineStr">
        <is>
          <t>Archive (CLOSED - BY DECISION)</t>
        </is>
      </c>
      <c r="F491" s="6" t="inlineStr">
        <is>
          <t>Closed 2026-10-21: graded exposure is a candidate arm, verified or dropped with a reason.</t>
        </is>
      </c>
      <c r="G491" s="6" t="inlineStr">
        <is>
          <t>batch 17a (AUTH-019)</t>
        </is>
      </c>
      <c r="H491" s="6" t="inlineStr">
        <is>
          <t>Claude</t>
        </is>
      </c>
    </row>
    <row r="492" ht="28" customHeight="1">
      <c r="A492" s="6" t="inlineStr">
        <is>
          <t>2026-10-21</t>
        </is>
      </c>
      <c r="B492" s="6" t="inlineStr">
        <is>
          <t>C-D07</t>
        </is>
      </c>
      <c r="C492" s="6" t="inlineStr">
        <is>
          <t>Moved to Archive</t>
        </is>
      </c>
      <c r="D492" s="6" t="inlineStr">
        <is>
          <t>Ledger</t>
        </is>
      </c>
      <c r="E492" s="6" t="inlineStr">
        <is>
          <t>Archive (CLOSED - BY DECISION)</t>
        </is>
      </c>
      <c r="F492" s="6" t="inlineStr">
        <is>
          <t>Closed 2026-10-21: no clause-by-clause scope map is needed; June ideas are candidates.</t>
        </is>
      </c>
      <c r="G492" s="6" t="inlineStr">
        <is>
          <t>batch 17a (AUTH-019)</t>
        </is>
      </c>
      <c r="H492" s="6" t="inlineStr">
        <is>
          <t>Claude</t>
        </is>
      </c>
    </row>
    <row r="493" ht="40.5" customHeight="1">
      <c r="A493" s="6" t="inlineStr">
        <is>
          <t>2026-10-21</t>
        </is>
      </c>
      <c r="B493" s="6" t="inlineStr">
        <is>
          <t>C-D02</t>
        </is>
      </c>
      <c r="C493" s="6" t="inlineStr">
        <is>
          <t>Moved to Archive</t>
        </is>
      </c>
      <c r="D493" s="6" t="inlineStr">
        <is>
          <t>Ledger</t>
        </is>
      </c>
      <c r="E493" s="6" t="inlineStr">
        <is>
          <t>Archive (CLOSED - BY DECISION)</t>
        </is>
      </c>
      <c r="F493" s="6" t="inlineStr">
        <is>
          <t>Closed 2026-10-21: primary estimand = the bill on average over turns and sessions, accuracy kept nearly the same, components reported (the human's decision).</t>
        </is>
      </c>
      <c r="G493" s="6" t="inlineStr">
        <is>
          <t>batch 17a (AUTH-019)</t>
        </is>
      </c>
      <c r="H493" s="6" t="inlineStr">
        <is>
          <t>Claude</t>
        </is>
      </c>
    </row>
    <row r="494" ht="15.5" customHeight="1">
      <c r="A494" s="6" t="inlineStr">
        <is>
          <t>2026-10-21</t>
        </is>
      </c>
      <c r="B494" s="6" t="inlineStr">
        <is>
          <t>N-1</t>
        </is>
      </c>
      <c r="C494" s="6" t="inlineStr">
        <is>
          <t>Moved to Archive</t>
        </is>
      </c>
      <c r="D494" s="6" t="inlineStr">
        <is>
          <t>Ledger</t>
        </is>
      </c>
      <c r="E494" s="6" t="inlineStr">
        <is>
          <t>Archive (CLOSED - BY DECISION)</t>
        </is>
      </c>
      <c r="F494" s="6" t="inlineStr">
        <is>
          <t>Closed 2026-10-21: bill, with token classes as components.</t>
        </is>
      </c>
      <c r="G494" s="6" t="inlineStr">
        <is>
          <t>batch 17a (AUTH-019)</t>
        </is>
      </c>
      <c r="H494" s="6" t="inlineStr">
        <is>
          <t>Claude</t>
        </is>
      </c>
    </row>
    <row r="495" ht="15.5" customHeight="1">
      <c r="A495" s="6" t="inlineStr">
        <is>
          <t>2026-10-21</t>
        </is>
      </c>
      <c r="B495" s="6" t="inlineStr">
        <is>
          <t>N-4</t>
        </is>
      </c>
      <c r="C495" s="6" t="inlineStr">
        <is>
          <t>Moved to Archive</t>
        </is>
      </c>
      <c r="D495" s="6" t="inlineStr">
        <is>
          <t>Ledger</t>
        </is>
      </c>
      <c r="E495" s="6" t="inlineStr">
        <is>
          <t>Archive (CLOSED - BY DECISION)</t>
        </is>
      </c>
      <c r="F495" s="6" t="inlineStr">
        <is>
          <t>Closed 2026-10-21: output and reasoning tokens count in the bill.</t>
        </is>
      </c>
      <c r="G495" s="6" t="inlineStr">
        <is>
          <t>batch 17a (AUTH-019)</t>
        </is>
      </c>
      <c r="H495" s="6" t="inlineStr">
        <is>
          <t>Claude</t>
        </is>
      </c>
    </row>
    <row r="496" ht="28" customHeight="1">
      <c r="A496" s="6" t="inlineStr">
        <is>
          <t>2026-10-21</t>
        </is>
      </c>
      <c r="B496" s="6" t="inlineStr">
        <is>
          <t>N-25</t>
        </is>
      </c>
      <c r="C496" s="6" t="inlineStr">
        <is>
          <t>Moved to Archive</t>
        </is>
      </c>
      <c r="D496" s="6" t="inlineStr">
        <is>
          <t>Ledger</t>
        </is>
      </c>
      <c r="E496" s="6" t="inlineStr">
        <is>
          <t>Archive (CLOSED - BY DECISION)</t>
        </is>
      </c>
      <c r="F496" s="6" t="inlineStr">
        <is>
          <t>Closed 2026-10-21: session patterns = one long run and returning users; any agent; domains and models chosen at implementation.</t>
        </is>
      </c>
      <c r="G496" s="6" t="inlineStr">
        <is>
          <t>batch 17a (AUTH-019)</t>
        </is>
      </c>
      <c r="H496" s="6" t="inlineStr">
        <is>
          <t>Claude</t>
        </is>
      </c>
    </row>
    <row r="497" ht="28" customHeight="1">
      <c r="A497" s="6" t="inlineStr">
        <is>
          <t>2026-10-21</t>
        </is>
      </c>
      <c r="B497" s="6" t="inlineStr">
        <is>
          <t>N-27</t>
        </is>
      </c>
      <c r="C497" s="6" t="inlineStr">
        <is>
          <t>Moved to Archive</t>
        </is>
      </c>
      <c r="D497" s="6" t="inlineStr">
        <is>
          <t>Ledger</t>
        </is>
      </c>
      <c r="E497" s="6" t="inlineStr">
        <is>
          <t>Archive (CLOSED - BY DECISION)</t>
        </is>
      </c>
      <c r="F497" s="6" t="inlineStr">
        <is>
          <t>Closed 2026-10-21: anticipation by likelihood (who is asking, in what setting) is in scope as a minor part; arms in C-D08/ARMS-CACHE.</t>
        </is>
      </c>
      <c r="G497" s="6" t="inlineStr">
        <is>
          <t>batch 17a (AUTH-019)</t>
        </is>
      </c>
      <c r="H497" s="6" t="inlineStr">
        <is>
          <t>Claude</t>
        </is>
      </c>
    </row>
    <row r="498" ht="28" customHeight="1">
      <c r="A498" s="6" t="inlineStr">
        <is>
          <t>2026-10-21</t>
        </is>
      </c>
      <c r="B498" s="6" t="inlineStr">
        <is>
          <t>N-28</t>
        </is>
      </c>
      <c r="C498" s="6" t="inlineStr">
        <is>
          <t>Moved to Archive</t>
        </is>
      </c>
      <c r="D498" s="6" t="inlineStr">
        <is>
          <t>Ledger</t>
        </is>
      </c>
      <c r="E498" s="6" t="inlineStr">
        <is>
          <t>Archive (CLOSED - BY DECISION)</t>
        </is>
      </c>
      <c r="F498" s="6" t="inlineStr">
        <is>
          <t>Closed 2026-10-21: the staged policy and memory-informed tool offering are combined; memory is one stage or input of the policy.</t>
        </is>
      </c>
      <c r="G498" s="6" t="inlineStr">
        <is>
          <t>batch 17a (AUTH-019)</t>
        </is>
      </c>
      <c r="H498" s="6" t="inlineStr">
        <is>
          <t>Claude</t>
        </is>
      </c>
    </row>
    <row r="499" ht="15.5" customHeight="1">
      <c r="A499" s="6" t="inlineStr">
        <is>
          <t>2026-10-21</t>
        </is>
      </c>
      <c r="B499" s="6" t="inlineStr">
        <is>
          <t>C-D08/DELTA</t>
        </is>
      </c>
      <c r="C499" s="6" t="inlineStr">
        <is>
          <t>Moved to Archive</t>
        </is>
      </c>
      <c r="D499" s="6" t="inlineStr">
        <is>
          <t>Ledger</t>
        </is>
      </c>
      <c r="E499" s="6" t="inlineStr">
        <is>
          <t>Archive (CLOSED - BY DECISION)</t>
        </is>
      </c>
      <c r="F499" s="6" t="inlineStr">
        <is>
          <t>Closed 2026-10-21: no pre-set margin (the human).</t>
        </is>
      </c>
      <c r="G499" s="6" t="inlineStr">
        <is>
          <t>batch 17a (AUTH-019)</t>
        </is>
      </c>
      <c r="H499" s="6" t="inlineStr">
        <is>
          <t>Claude</t>
        </is>
      </c>
    </row>
    <row r="500" ht="15.5" customHeight="1">
      <c r="A500" s="6" t="inlineStr">
        <is>
          <t>2026-10-21</t>
        </is>
      </c>
      <c r="B500" s="6" t="inlineStr">
        <is>
          <t>C-D08/EPS</t>
        </is>
      </c>
      <c r="C500" s="6" t="inlineStr">
        <is>
          <t>Moved to Archive</t>
        </is>
      </c>
      <c r="D500" s="6" t="inlineStr">
        <is>
          <t>Ledger</t>
        </is>
      </c>
      <c r="E500" s="6" t="inlineStr">
        <is>
          <t>Archive (CLOSED - BY DECISION)</t>
        </is>
      </c>
      <c r="F500" s="6" t="inlineStr">
        <is>
          <t>Closed 2026-10-21: no epsilon (the human).</t>
        </is>
      </c>
      <c r="G500" s="6" t="inlineStr">
        <is>
          <t>batch 17a (AUTH-019)</t>
        </is>
      </c>
      <c r="H500" s="6" t="inlineStr">
        <is>
          <t>Claude</t>
        </is>
      </c>
    </row>
    <row r="501" ht="15.5" customHeight="1">
      <c r="A501" s="6" t="inlineStr">
        <is>
          <t>2026-10-21</t>
        </is>
      </c>
      <c r="B501" s="6" t="inlineStr">
        <is>
          <t>AS-14</t>
        </is>
      </c>
      <c r="C501" s="6" t="inlineStr">
        <is>
          <t>Moved to Archive</t>
        </is>
      </c>
      <c r="D501" s="6" t="inlineStr">
        <is>
          <t>Ledger</t>
        </is>
      </c>
      <c r="E501" s="6" t="inlineStr">
        <is>
          <t>Archive (SUPERSEDED / MERGED)</t>
        </is>
      </c>
      <c r="F501" s="6" t="inlineStr">
        <is>
          <t>Merged 2026-10-21: an illustration, not a separate claim.</t>
        </is>
      </c>
      <c r="G501" s="6" t="inlineStr">
        <is>
          <t>batch 17a (AUTH-019)</t>
        </is>
      </c>
      <c r="H501" s="6" t="inlineStr">
        <is>
          <t>Claude</t>
        </is>
      </c>
    </row>
    <row r="502" ht="28" customHeight="1">
      <c r="A502" s="6" t="inlineStr">
        <is>
          <t>2026-10-21</t>
        </is>
      </c>
      <c r="B502" s="6" t="inlineStr">
        <is>
          <t>N-29</t>
        </is>
      </c>
      <c r="C502" s="6" t="inlineStr">
        <is>
          <t>Moved to Archive</t>
        </is>
      </c>
      <c r="D502" s="6" t="inlineStr">
        <is>
          <t>Ledger</t>
        </is>
      </c>
      <c r="E502" s="6" t="inlineStr">
        <is>
          <t>Archive (SUPERSEDED / MERGED)</t>
        </is>
      </c>
      <c r="F502" s="6" t="inlineStr">
        <is>
          <t>Merged 2026-10-21: an illustration of the thesis aim, not a separate claim (the human's reading).</t>
        </is>
      </c>
      <c r="G502" s="6" t="inlineStr">
        <is>
          <t>batch 17a (AUTH-019)</t>
        </is>
      </c>
      <c r="H502" s="6" t="inlineStr">
        <is>
          <t>Claude</t>
        </is>
      </c>
    </row>
    <row r="503" ht="15.5" customHeight="1">
      <c r="A503" s="6" t="inlineStr">
        <is>
          <t>2026-10-21</t>
        </is>
      </c>
      <c r="B503" s="6" t="inlineStr">
        <is>
          <t>(all)</t>
        </is>
      </c>
      <c r="C503" s="6" t="inlineStr">
        <is>
          <t>Order</t>
        </is>
      </c>
      <c r="D503" s="6" t="inlineStr">
        <is>
          <t>recomputed</t>
        </is>
      </c>
      <c r="E503" s="6" t="inlineStr">
        <is>
          <t>1..258</t>
        </is>
      </c>
      <c r="F503" s="6" t="inlineStr">
        <is>
          <t>Derived rank recomputed after batch 17a</t>
        </is>
      </c>
      <c r="G503" s="6" t="inlineStr">
        <is>
          <t>batch 17a</t>
        </is>
      </c>
      <c r="H503" s="6" t="inlineStr">
        <is>
          <t>Claude</t>
        </is>
      </c>
    </row>
    <row r="504" ht="15.5" customHeight="1">
      <c r="A504" s="6" t="inlineStr">
        <is>
          <t>2026-10-21</t>
        </is>
      </c>
      <c r="B504" s="6" t="inlineStr">
        <is>
          <t>C-S03/EXCEPTIONS</t>
        </is>
      </c>
      <c r="C504" s="6" t="inlineStr">
        <is>
          <t>Current status</t>
        </is>
      </c>
      <c r="D504" s="6" t="inlineStr">
        <is>
          <t>PARTLY ANSWERED</t>
        </is>
      </c>
      <c r="E504" s="6" t="inlineStr">
        <is>
          <t>CLOSED - BY EVIDENCE</t>
        </is>
      </c>
      <c r="F504" s="6" t="inlineStr">
        <is>
          <t>established by the providers' own documentation</t>
        </is>
      </c>
      <c r="G504" s="6" t="inlineStr">
        <is>
          <t>batch 17b (AUTH-019)</t>
        </is>
      </c>
      <c r="H504" s="6" t="inlineStr">
        <is>
          <t>Claude</t>
        </is>
      </c>
    </row>
    <row r="505" ht="15.5" customHeight="1">
      <c r="A505" s="6" t="inlineStr">
        <is>
          <t>2026-10-21</t>
        </is>
      </c>
      <c r="B505" s="6" t="inlineStr">
        <is>
          <t>C-S03/MINCACHE</t>
        </is>
      </c>
      <c r="C505" s="6" t="inlineStr">
        <is>
          <t>Current status</t>
        </is>
      </c>
      <c r="D505" s="6" t="inlineStr">
        <is>
          <t>PARTLY ANSWERED</t>
        </is>
      </c>
      <c r="E505" s="6" t="inlineStr">
        <is>
          <t>CLOSED - BY EVIDENCE</t>
        </is>
      </c>
      <c r="F505" s="6" t="inlineStr">
        <is>
          <t>established by the providers' own documentation</t>
        </is>
      </c>
      <c r="G505" s="6" t="inlineStr">
        <is>
          <t>batch 17b (AUTH-019)</t>
        </is>
      </c>
      <c r="H505" s="6" t="inlineStr">
        <is>
          <t>Claude</t>
        </is>
      </c>
    </row>
    <row r="506" ht="15.5" customHeight="1">
      <c r="A506" s="6" t="inlineStr">
        <is>
          <t>2026-10-21</t>
        </is>
      </c>
      <c r="B506" s="6" t="inlineStr">
        <is>
          <t>C-S09/RA10</t>
        </is>
      </c>
      <c r="C506" s="6" t="inlineStr">
        <is>
          <t>Current status</t>
        </is>
      </c>
      <c r="D506" s="6" t="inlineStr">
        <is>
          <t>OPEN</t>
        </is>
      </c>
      <c r="E506" s="6" t="inlineStr">
        <is>
          <t>DEFERRED</t>
        </is>
      </c>
      <c r="F506" s="6" t="inlineStr">
        <is>
          <t>end-to-end phase</t>
        </is>
      </c>
      <c r="G506" s="6" t="inlineStr">
        <is>
          <t>batch 17b (AUTH-019)</t>
        </is>
      </c>
      <c r="H506" s="6" t="inlineStr">
        <is>
          <t>Claude</t>
        </is>
      </c>
    </row>
    <row r="507" ht="15.5" customHeight="1">
      <c r="A507" s="6" t="inlineStr">
        <is>
          <t>2026-10-21</t>
        </is>
      </c>
      <c r="B507" s="6" t="inlineStr">
        <is>
          <t>C-S09/RA7</t>
        </is>
      </c>
      <c r="C507" s="6" t="inlineStr">
        <is>
          <t>Current status</t>
        </is>
      </c>
      <c r="D507" s="6" t="inlineStr">
        <is>
          <t>OPEN</t>
        </is>
      </c>
      <c r="E507" s="6" t="inlineStr">
        <is>
          <t>DEFERRED</t>
        </is>
      </c>
      <c r="F507" s="6" t="inlineStr">
        <is>
          <t>end-to-end phase</t>
        </is>
      </c>
      <c r="G507" s="6" t="inlineStr">
        <is>
          <t>batch 17b (AUTH-019)</t>
        </is>
      </c>
      <c r="H507" s="6" t="inlineStr">
        <is>
          <t>Claude</t>
        </is>
      </c>
    </row>
    <row r="508" ht="15.5" customHeight="1">
      <c r="A508" s="6" t="inlineStr">
        <is>
          <t>2026-10-21</t>
        </is>
      </c>
      <c r="B508" s="6" t="inlineStr">
        <is>
          <t>C-X04</t>
        </is>
      </c>
      <c r="C508" s="6" t="inlineStr">
        <is>
          <t>Current status</t>
        </is>
      </c>
      <c r="D508" s="6" t="inlineStr">
        <is>
          <t>UNRUN</t>
        </is>
      </c>
      <c r="E508" s="6" t="inlineStr">
        <is>
          <t>DEFERRED</t>
        </is>
      </c>
      <c r="F508" s="6" t="inlineStr">
        <is>
          <t>end-to-end phase</t>
        </is>
      </c>
      <c r="G508" s="6" t="inlineStr">
        <is>
          <t>batch 17b (AUTH-019)</t>
        </is>
      </c>
      <c r="H508" s="6" t="inlineStr">
        <is>
          <t>Claude</t>
        </is>
      </c>
    </row>
    <row r="509" ht="15.5" customHeight="1">
      <c r="A509" s="6" t="inlineStr">
        <is>
          <t>2026-10-21</t>
        </is>
      </c>
      <c r="B509" s="6" t="inlineStr">
        <is>
          <t>C-S07</t>
        </is>
      </c>
      <c r="C509" s="6" t="inlineStr">
        <is>
          <t>Current status</t>
        </is>
      </c>
      <c r="D509" s="6" t="inlineStr">
        <is>
          <t>OPEN</t>
        </is>
      </c>
      <c r="E509" s="6" t="inlineStr">
        <is>
          <t>DEFERRED</t>
        </is>
      </c>
      <c r="F509" s="6" t="inlineStr">
        <is>
          <t>end-to-end phase</t>
        </is>
      </c>
      <c r="G509" s="6" t="inlineStr">
        <is>
          <t>batch 17b (AUTH-019)</t>
        </is>
      </c>
      <c r="H509" s="6" t="inlineStr">
        <is>
          <t>Claude</t>
        </is>
      </c>
    </row>
    <row r="510" ht="15.5" customHeight="1">
      <c r="A510" s="6" t="inlineStr">
        <is>
          <t>2026-10-21</t>
        </is>
      </c>
      <c r="B510" s="6" t="inlineStr">
        <is>
          <t>C-X05</t>
        </is>
      </c>
      <c r="C510" s="6" t="inlineStr">
        <is>
          <t>Current status</t>
        </is>
      </c>
      <c r="D510" s="6" t="inlineStr">
        <is>
          <t>UNRUN</t>
        </is>
      </c>
      <c r="E510" s="6" t="inlineStr">
        <is>
          <t>DEFERRED</t>
        </is>
      </c>
      <c r="F510" s="6" t="inlineStr">
        <is>
          <t>end-to-end phase</t>
        </is>
      </c>
      <c r="G510" s="6" t="inlineStr">
        <is>
          <t>batch 17b (AUTH-019)</t>
        </is>
      </c>
      <c r="H510" s="6" t="inlineStr">
        <is>
          <t>Claude</t>
        </is>
      </c>
    </row>
    <row r="511" ht="15.5" customHeight="1">
      <c r="A511" s="6" t="inlineStr">
        <is>
          <t>2026-10-21</t>
        </is>
      </c>
      <c r="B511" s="6" t="inlineStr">
        <is>
          <t>C-S19/S44</t>
        </is>
      </c>
      <c r="C511" s="6" t="inlineStr">
        <is>
          <t>Current status</t>
        </is>
      </c>
      <c r="D511" s="6" t="inlineStr">
        <is>
          <t>OPEN</t>
        </is>
      </c>
      <c r="E511" s="6" t="inlineStr">
        <is>
          <t>DEFERRED</t>
        </is>
      </c>
      <c r="F511" s="6" t="inlineStr">
        <is>
          <t>not needed under the human's principle</t>
        </is>
      </c>
      <c r="G511" s="6" t="inlineStr">
        <is>
          <t>batch 17b (AUTH-019)</t>
        </is>
      </c>
      <c r="H511" s="6" t="inlineStr">
        <is>
          <t>Claude</t>
        </is>
      </c>
    </row>
    <row r="512" ht="15.5" customHeight="1">
      <c r="A512" s="6" t="inlineStr">
        <is>
          <t>2026-10-21</t>
        </is>
      </c>
      <c r="B512" s="6" t="inlineStr">
        <is>
          <t>C-R01/C04</t>
        </is>
      </c>
      <c r="C512" s="6" t="inlineStr">
        <is>
          <t>Current status</t>
        </is>
      </c>
      <c r="D512" s="6" t="inlineStr">
        <is>
          <t>OPEN</t>
        </is>
      </c>
      <c r="E512" s="6" t="inlineStr">
        <is>
          <t>PARTLY ANSWERED</t>
        </is>
      </c>
      <c r="F512" s="6" t="inlineStr">
        <is>
          <t>established part adopted</t>
        </is>
      </c>
      <c r="G512" s="6" t="inlineStr">
        <is>
          <t>batch 17b (AUTH-019)</t>
        </is>
      </c>
      <c r="H512" s="6" t="inlineStr">
        <is>
          <t>Claude</t>
        </is>
      </c>
    </row>
    <row r="513" ht="65.5" customHeight="1">
      <c r="A513" s="6" t="inlineStr">
        <is>
          <t>2026-10-21</t>
        </is>
      </c>
      <c r="B513" s="6" t="inlineStr">
        <is>
          <t>C-S03/DEFUSAGE</t>
        </is>
      </c>
      <c r="C513" s="6" t="inlineStr">
        <is>
          <t>Known / basis</t>
        </is>
      </c>
      <c r="D513" s="6" t="inlineStr">
        <is>
          <t>(previous text)</t>
        </is>
      </c>
      <c r="E513" s="6" t="inlineStr">
        <is>
          <t>Anthropic: tool search 'isn't metered as a separate server tool' and the definitions it loads 'count as input tokens like any other tool definition' (</t>
        </is>
      </c>
      <c r="F513" s="6" t="inlineStr">
        <is>
          <t>established part adopted</t>
        </is>
      </c>
      <c r="G513" s="6" t="inlineStr">
        <is>
          <t>batch 17b (AUTH-019)</t>
        </is>
      </c>
      <c r="H513" s="6" t="inlineStr">
        <is>
          <t>Claude</t>
        </is>
      </c>
    </row>
    <row r="514" ht="15.5" customHeight="1">
      <c r="A514" s="6" t="inlineStr">
        <is>
          <t>2026-10-21</t>
        </is>
      </c>
      <c r="B514" s="6" t="inlineStr">
        <is>
          <t>C-S06</t>
        </is>
      </c>
      <c r="C514" s="6" t="inlineStr">
        <is>
          <t>Current status</t>
        </is>
      </c>
      <c r="D514" s="6" t="inlineStr">
        <is>
          <t>OPEN</t>
        </is>
      </c>
      <c r="E514" s="6" t="inlineStr">
        <is>
          <t>PARTLY ANSWERED</t>
        </is>
      </c>
      <c r="F514" s="6" t="inlineStr">
        <is>
          <t>established part adopted</t>
        </is>
      </c>
      <c r="G514" s="6" t="inlineStr">
        <is>
          <t>batch 17b (AUTH-019)</t>
        </is>
      </c>
      <c r="H514" s="6" t="inlineStr">
        <is>
          <t>Claude</t>
        </is>
      </c>
    </row>
    <row r="515" ht="15.5" customHeight="1">
      <c r="A515" s="6" t="inlineStr">
        <is>
          <t>2026-10-21</t>
        </is>
      </c>
      <c r="B515" s="6" t="inlineStr">
        <is>
          <t>C-S01</t>
        </is>
      </c>
      <c r="C515" s="6" t="inlineStr">
        <is>
          <t>Current status</t>
        </is>
      </c>
      <c r="D515" s="6" t="inlineStr">
        <is>
          <t>OPEN</t>
        </is>
      </c>
      <c r="E515" s="6" t="inlineStr">
        <is>
          <t>PARTLY ANSWERED</t>
        </is>
      </c>
      <c r="F515" s="6" t="inlineStr">
        <is>
          <t>established part adopted</t>
        </is>
      </c>
      <c r="G515" s="6" t="inlineStr">
        <is>
          <t>batch 17b (AUTH-019)</t>
        </is>
      </c>
      <c r="H515" s="6" t="inlineStr">
        <is>
          <t>Claude</t>
        </is>
      </c>
    </row>
    <row r="516" ht="65.5" customHeight="1">
      <c r="A516" s="6" t="inlineStr">
        <is>
          <t>2026-10-21</t>
        </is>
      </c>
      <c r="B516" s="6" t="inlineStr">
        <is>
          <t>C-S03</t>
        </is>
      </c>
      <c r="C516" s="6" t="inlineStr">
        <is>
          <t>Known / basis</t>
        </is>
      </c>
      <c r="D516" s="6" t="inlineStr">
        <is>
          <t>(previous text)</t>
        </is>
      </c>
      <c r="E516" s="6" t="inlineStr">
        <is>
          <t>Mechanism is documented as vendor claims (EXT-0096, EXT-0093, EXT-0066); no independent billed measurement; the one multi-provider cache study never v</t>
        </is>
      </c>
      <c r="F516" s="6" t="inlineStr">
        <is>
          <t>established part adopted</t>
        </is>
      </c>
      <c r="G516" s="6" t="inlineStr">
        <is>
          <t>batch 17b (AUTH-019)</t>
        </is>
      </c>
      <c r="H516" s="6" t="inlineStr">
        <is>
          <t>Claude</t>
        </is>
      </c>
    </row>
    <row r="517" ht="15.5" customHeight="1">
      <c r="A517" s="6" t="inlineStr">
        <is>
          <t>2026-10-21</t>
        </is>
      </c>
      <c r="B517" s="6" t="inlineStr">
        <is>
          <t>C-X01</t>
        </is>
      </c>
      <c r="C517" s="6" t="inlineStr">
        <is>
          <t>Current status</t>
        </is>
      </c>
      <c r="D517" s="6" t="inlineStr">
        <is>
          <t>UNRUN</t>
        </is>
      </c>
      <c r="E517" s="6" t="inlineStr">
        <is>
          <t>PARTLY ANSWERED</t>
        </is>
      </c>
      <c r="F517" s="6" t="inlineStr">
        <is>
          <t>established part adopted</t>
        </is>
      </c>
      <c r="G517" s="6" t="inlineStr">
        <is>
          <t>batch 17b (AUTH-019)</t>
        </is>
      </c>
      <c r="H517" s="6" t="inlineStr">
        <is>
          <t>Claude</t>
        </is>
      </c>
    </row>
    <row r="518" ht="15.5" customHeight="1">
      <c r="A518" s="6" t="inlineStr">
        <is>
          <t>2026-10-21</t>
        </is>
      </c>
      <c r="B518" s="6" t="inlineStr">
        <is>
          <t>C-X07</t>
        </is>
      </c>
      <c r="C518" s="6" t="inlineStr">
        <is>
          <t>Current status</t>
        </is>
      </c>
      <c r="D518" s="6" t="inlineStr">
        <is>
          <t>UNRUN</t>
        </is>
      </c>
      <c r="E518" s="6" t="inlineStr">
        <is>
          <t>PARTLY ANSWERED</t>
        </is>
      </c>
      <c r="F518" s="6" t="inlineStr">
        <is>
          <t>established part adopted</t>
        </is>
      </c>
      <c r="G518" s="6" t="inlineStr">
        <is>
          <t>batch 17b (AUTH-019)</t>
        </is>
      </c>
      <c r="H518" s="6" t="inlineStr">
        <is>
          <t>Claude</t>
        </is>
      </c>
    </row>
    <row r="519" ht="15.5" customHeight="1">
      <c r="A519" s="6" t="inlineStr">
        <is>
          <t>2026-10-21</t>
        </is>
      </c>
      <c r="B519" s="6" t="inlineStr">
        <is>
          <t>C-S04</t>
        </is>
      </c>
      <c r="C519" s="6" t="inlineStr">
        <is>
          <t>Current status</t>
        </is>
      </c>
      <c r="D519" s="6" t="inlineStr">
        <is>
          <t>OPEN</t>
        </is>
      </c>
      <c r="E519" s="6" t="inlineStr">
        <is>
          <t>PARTLY ANSWERED</t>
        </is>
      </c>
      <c r="F519" s="6" t="inlineStr">
        <is>
          <t>established part adopted</t>
        </is>
      </c>
      <c r="G519" s="6" t="inlineStr">
        <is>
          <t>batch 17b (AUTH-019)</t>
        </is>
      </c>
      <c r="H519" s="6" t="inlineStr">
        <is>
          <t>Claude</t>
        </is>
      </c>
    </row>
    <row r="520" ht="65.5" customHeight="1">
      <c r="A520" s="6" t="inlineStr">
        <is>
          <t>2026-10-21</t>
        </is>
      </c>
      <c r="B520" s="6" t="inlineStr">
        <is>
          <t>C-S08</t>
        </is>
      </c>
      <c r="C520" s="6" t="inlineStr">
        <is>
          <t>Known / basis</t>
        </is>
      </c>
      <c r="D520" s="6" t="inlineStr">
        <is>
          <t>(previous text)</t>
        </is>
      </c>
      <c r="E520" s="6" t="inlineStr">
        <is>
          <t>Instructed use is measured at catalogue scale for strong models (TheMCPCompany, LiveMCPBench); uninstructed initiation not found; false-positive rates</t>
        </is>
      </c>
      <c r="F520" s="6" t="inlineStr">
        <is>
          <t>established part adopted</t>
        </is>
      </c>
      <c r="G520" s="6" t="inlineStr">
        <is>
          <t>batch 17b (AUTH-019)</t>
        </is>
      </c>
      <c r="H520" s="6" t="inlineStr">
        <is>
          <t>Claude</t>
        </is>
      </c>
    </row>
    <row r="521" ht="15.5" customHeight="1">
      <c r="A521" s="6" t="inlineStr">
        <is>
          <t>2026-10-21</t>
        </is>
      </c>
      <c r="B521" s="6" t="inlineStr">
        <is>
          <t>C-X02</t>
        </is>
      </c>
      <c r="C521" s="6" t="inlineStr">
        <is>
          <t>Current status</t>
        </is>
      </c>
      <c r="D521" s="6" t="inlineStr">
        <is>
          <t>UNRUN</t>
        </is>
      </c>
      <c r="E521" s="6" t="inlineStr">
        <is>
          <t>PARTLY ANSWERED</t>
        </is>
      </c>
      <c r="F521" s="6" t="inlineStr">
        <is>
          <t>established part adopted</t>
        </is>
      </c>
      <c r="G521" s="6" t="inlineStr">
        <is>
          <t>batch 17b (AUTH-019)</t>
        </is>
      </c>
      <c r="H521" s="6" t="inlineStr">
        <is>
          <t>Claude</t>
        </is>
      </c>
    </row>
    <row r="522" ht="65.5" customHeight="1">
      <c r="A522" s="6" t="inlineStr">
        <is>
          <t>2026-10-21</t>
        </is>
      </c>
      <c r="B522" s="6" t="inlineStr">
        <is>
          <t>AS-12</t>
        </is>
      </c>
      <c r="C522" s="6" t="inlineStr">
        <is>
          <t>Known / basis</t>
        </is>
      </c>
      <c r="D522" s="6" t="inlineStr">
        <is>
          <t>(previous text)</t>
        </is>
      </c>
      <c r="E522" s="6" t="inlineStr">
        <is>
          <t>Recorded as the supervisor's position, to test, not to assume. Batch 12 (2026-10-20): 13 stored sources compared across models (the steward's table; v</t>
        </is>
      </c>
      <c r="F522" s="6" t="inlineStr">
        <is>
          <t>established part adopted</t>
        </is>
      </c>
      <c r="G522" s="6" t="inlineStr">
        <is>
          <t>batch 17b (AUTH-019)</t>
        </is>
      </c>
      <c r="H522" s="6" t="inlineStr">
        <is>
          <t>Claude</t>
        </is>
      </c>
    </row>
    <row r="523" ht="65.5" customHeight="1">
      <c r="A523" s="6" t="inlineStr">
        <is>
          <t>2026-10-21</t>
        </is>
      </c>
      <c r="B523" s="6" t="inlineStr">
        <is>
          <t>AS-06</t>
        </is>
      </c>
      <c r="C523" s="6" t="inlineStr">
        <is>
          <t>Known / basis</t>
        </is>
      </c>
      <c r="D523" s="6" t="inlineStr">
        <is>
          <t>(previous text)</t>
        </is>
      </c>
      <c r="E523" s="6" t="inlineStr">
        <is>
          <t>Recorded as the supervisor's position, to test, not to assume. Batch 12 (2026-10-20): 13 stored sources read for the statement that about 50% token re</t>
        </is>
      </c>
      <c r="F523" s="6" t="inlineStr">
        <is>
          <t>established part adopted</t>
        </is>
      </c>
      <c r="G523" s="6" t="inlineStr">
        <is>
          <t>batch 17b (AUTH-019)</t>
        </is>
      </c>
      <c r="H523" s="6" t="inlineStr">
        <is>
          <t>Claude</t>
        </is>
      </c>
    </row>
    <row r="524" ht="15.5" customHeight="1">
      <c r="A524" s="6" t="inlineStr">
        <is>
          <t>2026-10-21</t>
        </is>
      </c>
      <c r="B524" s="6" t="inlineStr">
        <is>
          <t>C-S12/RA13</t>
        </is>
      </c>
      <c r="C524" s="6" t="inlineStr">
        <is>
          <t>Current status</t>
        </is>
      </c>
      <c r="D524" s="6" t="inlineStr">
        <is>
          <t>OPEN</t>
        </is>
      </c>
      <c r="E524" s="6" t="inlineStr">
        <is>
          <t>PARTLY ANSWERED</t>
        </is>
      </c>
      <c r="F524" s="6" t="inlineStr">
        <is>
          <t>established part adopted</t>
        </is>
      </c>
      <c r="G524" s="6" t="inlineStr">
        <is>
          <t>batch 17b (AUTH-019)</t>
        </is>
      </c>
      <c r="H524" s="6" t="inlineStr">
        <is>
          <t>Claude</t>
        </is>
      </c>
    </row>
    <row r="525" ht="15.5" customHeight="1">
      <c r="A525" s="6" t="inlineStr">
        <is>
          <t>2026-10-21</t>
        </is>
      </c>
      <c r="B525" s="6" t="inlineStr">
        <is>
          <t>C-S10</t>
        </is>
      </c>
      <c r="C525" s="6" t="inlineStr">
        <is>
          <t>Current status</t>
        </is>
      </c>
      <c r="D525" s="6" t="inlineStr">
        <is>
          <t>OPEN</t>
        </is>
      </c>
      <c r="E525" s="6" t="inlineStr">
        <is>
          <t>PARTLY ANSWERED</t>
        </is>
      </c>
      <c r="F525" s="6" t="inlineStr">
        <is>
          <t>established part adopted</t>
        </is>
      </c>
      <c r="G525" s="6" t="inlineStr">
        <is>
          <t>batch 17b (AUTH-019)</t>
        </is>
      </c>
      <c r="H525" s="6" t="inlineStr">
        <is>
          <t>Claude</t>
        </is>
      </c>
    </row>
    <row r="526" ht="15.5" customHeight="1">
      <c r="A526" s="6" t="inlineStr">
        <is>
          <t>2026-10-21</t>
        </is>
      </c>
      <c r="B526" s="6" t="inlineStr">
        <is>
          <t>C-S10/RA9</t>
        </is>
      </c>
      <c r="C526" s="6" t="inlineStr">
        <is>
          <t>Current status</t>
        </is>
      </c>
      <c r="D526" s="6" t="inlineStr">
        <is>
          <t>OPEN</t>
        </is>
      </c>
      <c r="E526" s="6" t="inlineStr">
        <is>
          <t>PARTLY ANSWERED</t>
        </is>
      </c>
      <c r="F526" s="6" t="inlineStr">
        <is>
          <t>established part adopted</t>
        </is>
      </c>
      <c r="G526" s="6" t="inlineStr">
        <is>
          <t>batch 17b (AUTH-019)</t>
        </is>
      </c>
      <c r="H526" s="6" t="inlineStr">
        <is>
          <t>Claude</t>
        </is>
      </c>
    </row>
    <row r="527" ht="15.5" customHeight="1">
      <c r="A527" s="6" t="inlineStr">
        <is>
          <t>2026-10-21</t>
        </is>
      </c>
      <c r="B527" s="6" t="inlineStr">
        <is>
          <t>C-S02/INVERSION</t>
        </is>
      </c>
      <c r="C527" s="6" t="inlineStr">
        <is>
          <t>Current status</t>
        </is>
      </c>
      <c r="D527" s="6" t="inlineStr">
        <is>
          <t>OPEN</t>
        </is>
      </c>
      <c r="E527" s="6" t="inlineStr">
        <is>
          <t>PARTLY ANSWERED</t>
        </is>
      </c>
      <c r="F527" s="6" t="inlineStr">
        <is>
          <t>established part adopted</t>
        </is>
      </c>
      <c r="G527" s="6" t="inlineStr">
        <is>
          <t>batch 17b (AUTH-019)</t>
        </is>
      </c>
      <c r="H527" s="6" t="inlineStr">
        <is>
          <t>Claude</t>
        </is>
      </c>
    </row>
    <row r="528" ht="15.5" customHeight="1">
      <c r="A528" s="6" t="inlineStr">
        <is>
          <t>2026-10-21</t>
        </is>
      </c>
      <c r="B528" s="6" t="inlineStr">
        <is>
          <t>C-S02</t>
        </is>
      </c>
      <c r="C528" s="6" t="inlineStr">
        <is>
          <t>Current status</t>
        </is>
      </c>
      <c r="D528" s="6" t="inlineStr">
        <is>
          <t>OPEN</t>
        </is>
      </c>
      <c r="E528" s="6" t="inlineStr">
        <is>
          <t>PARTLY ANSWERED</t>
        </is>
      </c>
      <c r="F528" s="6" t="inlineStr">
        <is>
          <t>established part adopted</t>
        </is>
      </c>
      <c r="G528" s="6" t="inlineStr">
        <is>
          <t>batch 17b (AUTH-019)</t>
        </is>
      </c>
      <c r="H528" s="6" t="inlineStr">
        <is>
          <t>Claude</t>
        </is>
      </c>
    </row>
    <row r="529" ht="15.5" customHeight="1">
      <c r="A529" s="6" t="inlineStr">
        <is>
          <t>2026-10-21</t>
        </is>
      </c>
      <c r="B529" s="6" t="inlineStr">
        <is>
          <t>N-21</t>
        </is>
      </c>
      <c r="C529" s="6" t="inlineStr">
        <is>
          <t>Current status</t>
        </is>
      </c>
      <c r="D529" s="6" t="inlineStr">
        <is>
          <t>OPEN</t>
        </is>
      </c>
      <c r="E529" s="6" t="inlineStr">
        <is>
          <t>PARTLY ANSWERED</t>
        </is>
      </c>
      <c r="F529" s="6" t="inlineStr">
        <is>
          <t>margin framing removed</t>
        </is>
      </c>
      <c r="G529" s="6" t="inlineStr">
        <is>
          <t>batch 17b (AUTH-019)</t>
        </is>
      </c>
      <c r="H529" s="6" t="inlineStr">
        <is>
          <t>Claude</t>
        </is>
      </c>
    </row>
    <row r="530" ht="65.5" customHeight="1">
      <c r="A530" s="6" t="inlineStr">
        <is>
          <t>2026-10-21</t>
        </is>
      </c>
      <c r="B530" s="6" t="inlineStr">
        <is>
          <t>AS-06</t>
        </is>
      </c>
      <c r="C530" s="6" t="inlineStr">
        <is>
          <t>Known / basis</t>
        </is>
      </c>
      <c r="D530" s="6" t="inlineStr">
        <is>
          <t>(previous text)</t>
        </is>
      </c>
      <c r="E530" s="6" t="inlineStr">
        <is>
          <t>Recorded as the supervisor's position, to test, not to assume. Batch 12 (2026-10-20): 13 stored sources read for the statement that about 50% token re</t>
        </is>
      </c>
      <c r="F530" s="6" t="inlineStr">
        <is>
          <t>threshold not needed</t>
        </is>
      </c>
      <c r="G530" s="6" t="inlineStr">
        <is>
          <t>batch 17b (AUTH-019)</t>
        </is>
      </c>
      <c r="H530" s="6" t="inlineStr">
        <is>
          <t>Claude</t>
        </is>
      </c>
    </row>
    <row r="531" ht="15.5" customHeight="1">
      <c r="A531" s="6" t="inlineStr">
        <is>
          <t>2026-10-21</t>
        </is>
      </c>
      <c r="B531" s="6" t="inlineStr">
        <is>
          <t>N-30</t>
        </is>
      </c>
      <c r="C531" s="6" t="inlineStr">
        <is>
          <t>Current status</t>
        </is>
      </c>
      <c r="D531" s="6" t="inlineStr">
        <is>
          <t>OPEN</t>
        </is>
      </c>
      <c r="E531" s="6" t="inlineStr">
        <is>
          <t>PARTLY ANSWERED</t>
        </is>
      </c>
      <c r="F531" s="6" t="inlineStr">
        <is>
          <t>drafted</t>
        </is>
      </c>
      <c r="G531" s="6" t="inlineStr">
        <is>
          <t>batch 17b (AUTH-019)</t>
        </is>
      </c>
      <c r="H531" s="6" t="inlineStr">
        <is>
          <t>Claude</t>
        </is>
      </c>
    </row>
    <row r="532" ht="28" customHeight="1">
      <c r="A532" s="6" t="inlineStr">
        <is>
          <t>2026-10-21</t>
        </is>
      </c>
      <c r="B532" s="6" t="inlineStr">
        <is>
          <t>C-S03/EXCEPTIONS</t>
        </is>
      </c>
      <c r="C532" s="6" t="inlineStr">
        <is>
          <t>Moved to Archive</t>
        </is>
      </c>
      <c r="D532" s="6" t="inlineStr">
        <is>
          <t>Ledger</t>
        </is>
      </c>
      <c r="E532" s="6" t="inlineStr">
        <is>
          <t>Archive (CLOSED - BY EVIDENCE)</t>
        </is>
      </c>
      <c r="F532" s="6" t="inlineStr">
        <is>
          <t>Closed 2026-10-21: adopted from the providers' documentation as constraints; no re-test.</t>
        </is>
      </c>
      <c r="G532" s="6" t="inlineStr">
        <is>
          <t>batch 17b (AUTH-019)</t>
        </is>
      </c>
      <c r="H532" s="6" t="inlineStr">
        <is>
          <t>Claude</t>
        </is>
      </c>
    </row>
    <row r="533" ht="28" customHeight="1">
      <c r="A533" s="6" t="inlineStr">
        <is>
          <t>2026-10-21</t>
        </is>
      </c>
      <c r="B533" s="6" t="inlineStr">
        <is>
          <t>C-S03/MINCACHE</t>
        </is>
      </c>
      <c r="C533" s="6" t="inlineStr">
        <is>
          <t>Moved to Archive</t>
        </is>
      </c>
      <c r="D533" s="6" t="inlineStr">
        <is>
          <t>Ledger</t>
        </is>
      </c>
      <c r="E533" s="6" t="inlineStr">
        <is>
          <t>Archive (CLOSED - BY EVIDENCE)</t>
        </is>
      </c>
      <c r="F533" s="6" t="inlineStr">
        <is>
          <t>Closed 2026-10-21: documented minimums adopted; check the chosen model's value at implementation.</t>
        </is>
      </c>
      <c r="G533" s="6" t="inlineStr">
        <is>
          <t>batch 17b (AUTH-019)</t>
        </is>
      </c>
      <c r="H533" s="6" t="inlineStr">
        <is>
          <t>Claude</t>
        </is>
      </c>
    </row>
    <row r="534" ht="15.5" customHeight="1">
      <c r="A534" s="6" t="inlineStr">
        <is>
          <t>2026-10-21</t>
        </is>
      </c>
      <c r="B534" s="6" t="inlineStr">
        <is>
          <t>(all)</t>
        </is>
      </c>
      <c r="C534" s="6" t="inlineStr">
        <is>
          <t>Order</t>
        </is>
      </c>
      <c r="D534" s="6" t="inlineStr">
        <is>
          <t>recomputed</t>
        </is>
      </c>
      <c r="E534" s="6" t="inlineStr">
        <is>
          <t>1..258</t>
        </is>
      </c>
      <c r="F534" s="6" t="inlineStr">
        <is>
          <t>Derived rank recomputed after batch 17b</t>
        </is>
      </c>
      <c r="G534" s="6" t="inlineStr">
        <is>
          <t>batch 17b</t>
        </is>
      </c>
      <c r="H534" s="6" t="inlineStr">
        <is>
          <t>Claude</t>
        </is>
      </c>
    </row>
    <row r="535" ht="28" customHeight="1">
      <c r="A535" s="6" t="inlineStr">
        <is>
          <t>2026-10-21</t>
        </is>
      </c>
      <c r="B535" s="6" t="inlineStr">
        <is>
          <t>Q-J08</t>
        </is>
      </c>
      <c r="C535" s="6" t="inlineStr">
        <is>
          <t>Answer</t>
        </is>
      </c>
      <c r="D535" s="6" t="inlineStr"/>
      <c r="E535" s="6" t="inlineStr">
        <is>
          <t>answered (supervisor's words and the human's decision)</t>
        </is>
      </c>
      <c r="F535" s="6" t="inlineStr">
        <is>
          <t>INT-T-005</t>
        </is>
      </c>
      <c r="G535" s="6" t="inlineStr">
        <is>
          <t>AUTH-019</t>
        </is>
      </c>
      <c r="H535" s="6" t="inlineStr">
        <is>
          <t>Claude</t>
        </is>
      </c>
    </row>
    <row r="536" ht="28" customHeight="1">
      <c r="A536" s="6" t="inlineStr">
        <is>
          <t>2026-10-21</t>
        </is>
      </c>
      <c r="B536" s="6" t="inlineStr">
        <is>
          <t>Q-J12</t>
        </is>
      </c>
      <c r="C536" s="6" t="inlineStr">
        <is>
          <t>Answer</t>
        </is>
      </c>
      <c r="D536" s="6" t="inlineStr"/>
      <c r="E536" s="6" t="inlineStr">
        <is>
          <t>answered (supervisor's words and the human's decision)</t>
        </is>
      </c>
      <c r="F536" s="6" t="inlineStr">
        <is>
          <t>INT-T-005</t>
        </is>
      </c>
      <c r="G536" s="6" t="inlineStr">
        <is>
          <t>AUTH-019</t>
        </is>
      </c>
      <c r="H536" s="6" t="inlineStr">
        <is>
          <t>Claude</t>
        </is>
      </c>
    </row>
    <row r="537" ht="28" customHeight="1">
      <c r="A537" s="6" t="inlineStr">
        <is>
          <t>2026-10-21</t>
        </is>
      </c>
      <c r="B537" s="6" t="inlineStr">
        <is>
          <t>Q-J20</t>
        </is>
      </c>
      <c r="C537" s="6" t="inlineStr">
        <is>
          <t>Answer</t>
        </is>
      </c>
      <c r="D537" s="6" t="inlineStr"/>
      <c r="E537" s="6" t="inlineStr">
        <is>
          <t>answered (supervisor's words and the human's decision)</t>
        </is>
      </c>
      <c r="F537" s="6" t="inlineStr">
        <is>
          <t>INT-T-005</t>
        </is>
      </c>
      <c r="G537" s="6" t="inlineStr">
        <is>
          <t>AUTH-019</t>
        </is>
      </c>
      <c r="H537" s="6" t="inlineStr">
        <is>
          <t>Claude</t>
        </is>
      </c>
    </row>
    <row r="538" ht="28" customHeight="1">
      <c r="A538" s="6" t="inlineStr">
        <is>
          <t>2026-10-21</t>
        </is>
      </c>
      <c r="B538" s="6" t="inlineStr">
        <is>
          <t>Q-J21</t>
        </is>
      </c>
      <c r="C538" s="6" t="inlineStr">
        <is>
          <t>Answer</t>
        </is>
      </c>
      <c r="D538" s="6" t="inlineStr"/>
      <c r="E538" s="6" t="inlineStr">
        <is>
          <t>answered (supervisor's words and the human's decision)</t>
        </is>
      </c>
      <c r="F538" s="6" t="inlineStr">
        <is>
          <t>INT-T-005</t>
        </is>
      </c>
      <c r="G538" s="6" t="inlineStr">
        <is>
          <t>AUTH-019</t>
        </is>
      </c>
      <c r="H538" s="6" t="inlineStr">
        <is>
          <t>Claude</t>
        </is>
      </c>
    </row>
    <row r="539" ht="28" customHeight="1">
      <c r="A539" s="6" t="inlineStr">
        <is>
          <t>2026-10-21</t>
        </is>
      </c>
      <c r="B539" s="6" t="inlineStr">
        <is>
          <t>Q-J22</t>
        </is>
      </c>
      <c r="C539" s="6" t="inlineStr">
        <is>
          <t>Answer</t>
        </is>
      </c>
      <c r="D539" s="6" t="inlineStr"/>
      <c r="E539" s="6" t="inlineStr">
        <is>
          <t>answered (supervisor's words and the human's decision)</t>
        </is>
      </c>
      <c r="F539" s="6" t="inlineStr">
        <is>
          <t>INT-T-005</t>
        </is>
      </c>
      <c r="G539" s="6" t="inlineStr">
        <is>
          <t>AUTH-019</t>
        </is>
      </c>
      <c r="H539" s="6" t="inlineStr">
        <is>
          <t>Claude</t>
        </is>
      </c>
    </row>
    <row r="540" ht="15.5" customHeight="1">
      <c r="A540" s="6" t="inlineStr">
        <is>
          <t>2026-10-21</t>
        </is>
      </c>
      <c r="B540" s="6" t="inlineStr">
        <is>
          <t>C-D03</t>
        </is>
      </c>
      <c r="C540" s="6" t="inlineStr">
        <is>
          <t>Current status</t>
        </is>
      </c>
      <c r="D540" s="6" t="inlineStr">
        <is>
          <t>PARTLY ANSWERED</t>
        </is>
      </c>
      <c r="E540" s="6" t="inlineStr">
        <is>
          <t>CLOSED - BY DECISION</t>
        </is>
      </c>
      <c r="F540" s="6" t="inlineStr">
        <is>
          <t>closed on the decision-makers' recorded words</t>
        </is>
      </c>
      <c r="G540" s="6" t="inlineStr">
        <is>
          <t>batch 17c (AUTH-019)</t>
        </is>
      </c>
      <c r="H540" s="6" t="inlineStr">
        <is>
          <t>Claude</t>
        </is>
      </c>
    </row>
    <row r="541" ht="15.5" customHeight="1">
      <c r="A541" s="6" t="inlineStr">
        <is>
          <t>2026-10-21</t>
        </is>
      </c>
      <c r="B541" s="6" t="inlineStr">
        <is>
          <t>C-D06/NOVELTY</t>
        </is>
      </c>
      <c r="C541" s="6" t="inlineStr">
        <is>
          <t>Current status</t>
        </is>
      </c>
      <c r="D541" s="6" t="inlineStr">
        <is>
          <t>PARTLY ANSWERED</t>
        </is>
      </c>
      <c r="E541" s="6" t="inlineStr">
        <is>
          <t>CLOSED - BY DECISION</t>
        </is>
      </c>
      <c r="F541" s="6" t="inlineStr">
        <is>
          <t>closed on the decision-makers' recorded words</t>
        </is>
      </c>
      <c r="G541" s="6" t="inlineStr">
        <is>
          <t>batch 17c (AUTH-019)</t>
        </is>
      </c>
      <c r="H541" s="6" t="inlineStr">
        <is>
          <t>Claude</t>
        </is>
      </c>
    </row>
    <row r="542" ht="40.5" customHeight="1">
      <c r="A542" s="6" t="inlineStr">
        <is>
          <t>2026-10-21</t>
        </is>
      </c>
      <c r="B542" s="6" t="inlineStr">
        <is>
          <t>C-D03</t>
        </is>
      </c>
      <c r="C542" s="6" t="inlineStr">
        <is>
          <t>Moved to Archive</t>
        </is>
      </c>
      <c r="D542" s="6" t="inlineStr">
        <is>
          <t>Ledger</t>
        </is>
      </c>
      <c r="E542" s="6" t="inlineStr">
        <is>
          <t>Archive (CLOSED - BY DECISION)</t>
        </is>
      </c>
      <c r="F542" s="6" t="inlineStr">
        <is>
          <t>Closed 2026-10-21: the staged question-per-stage policy is the form, with re-adding, and memory is one of its stages or inputs; the number of stages is found by the work.</t>
        </is>
      </c>
      <c r="G542" s="6" t="inlineStr">
        <is>
          <t>batch 17c (AUTH-019)</t>
        </is>
      </c>
      <c r="H542" s="6" t="inlineStr">
        <is>
          <t>Claude</t>
        </is>
      </c>
    </row>
    <row r="543" ht="40.5" customHeight="1">
      <c r="A543" s="6" t="inlineStr">
        <is>
          <t>2026-10-21</t>
        </is>
      </c>
      <c r="B543" s="6" t="inlineStr">
        <is>
          <t>C-D06/NOVELTY</t>
        </is>
      </c>
      <c r="C543" s="6" t="inlineStr">
        <is>
          <t>Moved to Archive</t>
        </is>
      </c>
      <c r="D543" s="6" t="inlineStr">
        <is>
          <t>Ledger</t>
        </is>
      </c>
      <c r="E543" s="6" t="inlineStr">
        <is>
          <t>Archive (CLOSED - BY DECISION)</t>
        </is>
      </c>
      <c r="F543" s="6" t="inlineStr">
        <is>
          <t>Closed 2026-10-21: novelty is not claimed as a new mechanism; the contribution is the systematic combination and its findings; the prior-art check is repeated monthly.</t>
        </is>
      </c>
      <c r="G543" s="6" t="inlineStr">
        <is>
          <t>batch 17c (AUTH-019)</t>
        </is>
      </c>
      <c r="H543" s="6" t="inlineStr">
        <is>
          <t>Claude</t>
        </is>
      </c>
    </row>
    <row r="544" ht="15.5" customHeight="1">
      <c r="A544" s="6" t="inlineStr">
        <is>
          <t>2026-10-21</t>
        </is>
      </c>
      <c r="B544" s="6" t="inlineStr">
        <is>
          <t>(all)</t>
        </is>
      </c>
      <c r="C544" s="6" t="inlineStr">
        <is>
          <t>Order</t>
        </is>
      </c>
      <c r="D544" s="6" t="inlineStr">
        <is>
          <t>recomputed</t>
        </is>
      </c>
      <c r="E544" s="6" t="inlineStr">
        <is>
          <t>1..258</t>
        </is>
      </c>
      <c r="F544" s="6" t="inlineStr">
        <is>
          <t>Derived rank recomputed after batch 17c</t>
        </is>
      </c>
      <c r="G544" s="6" t="inlineStr">
        <is>
          <t>batch 17c</t>
        </is>
      </c>
      <c r="H544" s="6" t="inlineStr">
        <is>
          <t>Claude</t>
        </is>
      </c>
    </row>
    <row r="545" ht="65.5" customHeight="1">
      <c r="A545" s="6" t="inlineStr">
        <is>
          <t>2026-10-21</t>
        </is>
      </c>
      <c r="B545" s="6" t="inlineStr">
        <is>
          <t>N-30</t>
        </is>
      </c>
      <c r="C545" s="6" t="inlineStr">
        <is>
          <t>Known / basis</t>
        </is>
      </c>
      <c r="D545" s="6" t="inlineStr">
        <is>
          <t>(previous text)</t>
        </is>
      </c>
      <c r="E545" s="6" t="inlineStr">
        <is>
          <t>The stored provider pages cover the components (EXT-0085, EXT-0086, EXT-0089, EXT-0115, EXT-0123, EXT-0150, EXT-0152, EXT-0158, EXT-0183 and the 2026-</t>
        </is>
      </c>
      <c r="F545" s="6" t="inlineStr">
        <is>
          <t>drafted, reviewed, corrections applied</t>
        </is>
      </c>
      <c r="G545" s="6" t="inlineStr">
        <is>
          <t>batch 17d (AUTH-019)</t>
        </is>
      </c>
      <c r="H545" s="6" t="inlineStr">
        <is>
          <t>Claude</t>
        </is>
      </c>
    </row>
    <row r="546" ht="15.5" customHeight="1">
      <c r="A546" s="6" t="inlineStr">
        <is>
          <t>2026-10-21</t>
        </is>
      </c>
      <c r="B546" s="6" t="inlineStr">
        <is>
          <t>(all)</t>
        </is>
      </c>
      <c r="C546" s="6" t="inlineStr">
        <is>
          <t>Order</t>
        </is>
      </c>
      <c r="D546" s="6" t="inlineStr">
        <is>
          <t>recomputed</t>
        </is>
      </c>
      <c r="E546" s="6" t="inlineStr">
        <is>
          <t>1..258</t>
        </is>
      </c>
      <c r="F546" s="6" t="inlineStr">
        <is>
          <t>Derived rank recomputed after batch 17d</t>
        </is>
      </c>
      <c r="G546" s="6" t="inlineStr">
        <is>
          <t>batch 17d</t>
        </is>
      </c>
      <c r="H546" s="6" t="inlineStr">
        <is>
          <t>Claude</t>
        </is>
      </c>
    </row>
    <row r="548">
      <c r="A548" s="22" t="inlineStr">
        <is>
          <t>Append-only: never edit or delete a past row; add a new row for every change of status, ownership, priority, ID or merge.</t>
        </is>
      </c>
    </row>
  </sheetData>
  <autoFilter ref="A1:H546"/>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N-26,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C-D08/EC1, C-D08/EC2, C-D08/EC3, C-D08/EC4, C-D08/EC5, C-D08/EC6, C-D08/EXEC, C-D08/GATEWAY, C-D08/HIER, C-D08/KAPPA, C-D08/RANKER, C-D08/SCOPESTMT, C-D08/STRATA, C-D08/TOK, N-30,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N-30,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N-26,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2026-10-21T20:28:46Z</dcterms:modified>
</cp:coreProperties>
</file>