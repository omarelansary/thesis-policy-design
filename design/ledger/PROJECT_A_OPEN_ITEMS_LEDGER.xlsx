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t>
        </is>
      </c>
      <c r="L66" t="inlineStr">
        <is>
          <t>You decided</t>
        </is>
      </c>
      <c r="M66" t="inlineStr">
        <is>
          <t>2026-10-22</t>
        </is>
      </c>
      <c r="N66" t="inlineStr">
        <is>
          <t>NEEDS FOLLOW-UP</t>
        </is>
      </c>
      <c r="O66" t="inlineStr">
        <is>
          <t>INT-T-006 (requirements/intake/2026-10-22-user-answers-after-v5.md)</t>
        </is>
      </c>
      <c r="P66" t="inlineStr">
        <is>
          <t>2026-10-22 / Claude</t>
        </is>
      </c>
      <c r="Q66" t="inlineStr">
        <is>
          <t>see the Change log of 2026-10-22</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2026-10-21</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2026-10-22</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2026-10-22</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2026-10-21</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05 P0 part 2 (Q-U33)</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2026-10-22</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N-34</t>
        </is>
      </c>
      <c r="B177" s="6" t="inlineStr">
        <is>
          <t>Exposé ideas to be tested against V5's result (Q-U32)</t>
        </is>
      </c>
      <c r="C177" s="6" t="inlineStr">
        <is>
          <t>OPEN</t>
        </is>
      </c>
      <c r="D177" s="6">
        <f>IFERROR(INDEX(Lists!$B$2:$B$14,MATCH(C177,Lists!$A$2:$A$14,0)),"?")</f>
        <v/>
      </c>
      <c r="E177" s="6">
        <f>IF(COUNTIFS(Links!$B$2:$B$600,A177,Links!$E$2:$E$600,"Yes")&gt;0,"REVISE","")</f>
        <v/>
      </c>
      <c r="F177" s="6">
        <f>COUNTIFS(Links!$B$2:$B$600,A177,Links!$D$2:$D$600,"No",Links!$C$2:$C$600,"&lt;&gt;INFORMS")</f>
        <v/>
      </c>
      <c r="G177" s="8" t="inlineStr">
        <is>
          <t>USER-DECISION</t>
        </is>
      </c>
      <c r="H177" s="6" t="inlineStr">
        <is>
          <t>K6 Deliverable &amp; authorization</t>
        </is>
      </c>
      <c r="I177" s="6" t="inlineStr">
        <is>
          <t>G2 Before the affected pilot/arm</t>
        </is>
      </c>
      <c r="J177" s="6" t="inlineStr">
        <is>
          <t>Normal</t>
        </is>
      </c>
      <c r="K177" s="6" t="n"/>
      <c r="L177" s="6" t="n"/>
      <c r="M177" s="6" t="n"/>
      <c r="N177" s="6" t="inlineStr">
        <is>
          <t>Lead; you decide</t>
        </is>
      </c>
      <c r="O177" s="6" t="inlineStr">
        <is>
          <t>The human copies the exposé into the workspace</t>
        </is>
      </c>
      <c r="P177" s="6" t="n"/>
      <c r="Q177" s="6" t="inlineStr">
        <is>
          <t>Source check</t>
        </is>
      </c>
      <c r="R177" s="6" t="inlineStr">
        <is>
          <t>Item</t>
        </is>
      </c>
      <c r="S177" s="6" t="n"/>
      <c r="T177" s="6" t="inlineStr">
        <is>
          <t>Check the June exposé's ideas only, as ordinary candidates (INT-T-006 line 10)</t>
        </is>
      </c>
      <c r="U177" s="6" t="inlineStr">
        <is>
          <t>The exposé and the experiment brief named by the human are outside the workspace; the guard blocks reading them; copies inside the workspace are needed</t>
        </is>
      </c>
      <c r="V177" s="6" t="inlineStr">
        <is>
          <t>Each idea kept, revised or dropped with a reason</t>
        </is>
      </c>
      <c r="W177" s="6" t="n"/>
      <c r="X177" s="6" t="n"/>
      <c r="Y177" s="6" t="inlineStr">
        <is>
          <t>Q-U32</t>
        </is>
      </c>
      <c r="Z177" s="6" t="n"/>
      <c r="AA177" s="6" t="n"/>
      <c r="AB177" s="6" t="n"/>
      <c r="AC177" s="6" t="n"/>
      <c r="AD177" s="6" t="inlineStr">
        <is>
          <t>NEW (V5, 2026-10-22)</t>
        </is>
      </c>
      <c r="AE177" s="6" t="inlineStr">
        <is>
          <t>2026-10-22</t>
        </is>
      </c>
      <c r="AF177" s="6" t="inlineStr">
        <is>
          <t>INT-T-006 lines 10-20</t>
        </is>
      </c>
      <c r="AG177" s="6" t="n"/>
      <c r="AH177" s="6" t="inlineStr">
        <is>
          <t>No (AUTH-020 limits)</t>
        </is>
      </c>
      <c r="AI177" s="6" t="n"/>
      <c r="AJ177" s="6" t="inlineStr">
        <is>
          <t>design/package-v5/08-ledger-proposals.md section 2</t>
        </is>
      </c>
      <c r="AK177" s="6" t="n"/>
      <c r="AL177" s="6" t="n"/>
    </row>
    <row r="178" ht="15" customHeight="1">
      <c r="A178" s="5" t="inlineStr">
        <is>
          <t>N-35</t>
        </is>
      </c>
      <c r="B178" s="6" t="inlineStr">
        <is>
          <t>The lead's git push is refused by the auto-mode classifier even with allow rules</t>
        </is>
      </c>
      <c r="C178" s="6" t="inlineStr">
        <is>
          <t>OPEN</t>
        </is>
      </c>
      <c r="D178" s="6">
        <f>IFERROR(INDEX(Lists!$B$2:$B$14,MATCH(C178,Lists!$A$2:$A$14,0)),"?")</f>
        <v/>
      </c>
      <c r="E178" s="6">
        <f>IF(COUNTIFS(Links!$B$2:$B$600,A178,Links!$E$2:$E$600,"Yes")&gt;0,"REVISE","")</f>
        <v/>
      </c>
      <c r="F178" s="6">
        <f>COUNTIFS(Links!$B$2:$B$600,A178,Links!$D$2:$D$600,"No",Links!$C$2:$C$600,"&lt;&gt;INFORMS")</f>
        <v/>
      </c>
      <c r="G178" s="12"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Safeguard limit</t>
        </is>
      </c>
      <c r="R178" s="6" t="inlineStr">
        <is>
          <t>Item</t>
        </is>
      </c>
      <c r="S178" s="6" t="n"/>
      <c r="T178" s="6" t="inlineStr">
        <is>
          <t>Pushes of v5-audit are done by the human</t>
        </is>
      </c>
      <c r="U178" s="6" t="inlineStr">
        <is>
          <t>Observed in WD-042 preflight</t>
        </is>
      </c>
      <c r="V178" s="6" t="inlineStr">
        <is>
          <t>Accepted as a limitation or a settings change by the human</t>
        </is>
      </c>
      <c r="W178" s="6" t="n"/>
      <c r="X178" s="6" t="n"/>
      <c r="Y178" s="6" t="inlineStr"/>
      <c r="Z178" s="6" t="n"/>
      <c r="AA178" s="6" t="n"/>
      <c r="AB178" s="6" t="n"/>
      <c r="AC178" s="6" t="n"/>
      <c r="AD178" s="6" t="inlineStr">
        <is>
          <t>NEW (V5, 2026-10-22)</t>
        </is>
      </c>
      <c r="AE178" s="6" t="inlineStr">
        <is>
          <t>2026-10-22</t>
        </is>
      </c>
      <c r="AF178" s="6" t="inlineStr">
        <is>
          <t>ops/DESIGN-DECISIONS.md WD-042</t>
        </is>
      </c>
      <c r="AG178" s="6" t="n"/>
      <c r="AH178" s="6" t="inlineStr">
        <is>
          <t>No</t>
        </is>
      </c>
      <c r="AI178" s="6" t="n"/>
      <c r="AJ178" s="6" t="inlineStr">
        <is>
          <t>design/package-v5/08-ledger-proposals.md section 2</t>
        </is>
      </c>
      <c r="AK178" s="6" t="n"/>
      <c r="AL178" s="6" t="n"/>
    </row>
    <row r="179" ht="15" customHeight="1">
      <c r="A179" s="5" t="inlineStr">
        <is>
          <t>N-36</t>
        </is>
      </c>
      <c r="B179" s="6" t="inlineStr">
        <is>
          <t>V5 rows are model work checked by model work; no human spot-check yet</t>
        </is>
      </c>
      <c r="C179" s="6" t="inlineStr">
        <is>
          <t>OPEN</t>
        </is>
      </c>
      <c r="D179" s="6">
        <f>IFERROR(INDEX(Lists!$B$2:$B$14,MATCH(C179,Lists!$A$2:$A$14,0)),"?")</f>
        <v/>
      </c>
      <c r="E179" s="6">
        <f>IF(COUNTIFS(Links!$B$2:$B$600,A179,Links!$E$2:$E$600,"Yes")&gt;0,"REVISE","")</f>
        <v/>
      </c>
      <c r="F179" s="6">
        <f>COUNTIFS(Links!$B$2:$B$600,A179,Links!$D$2:$D$600,"No",Links!$C$2:$C$600,"&lt;&gt;INFORMS")</f>
        <v/>
      </c>
      <c r="G179" s="9" t="inlineStr">
        <is>
          <t>USER-DECISION</t>
        </is>
      </c>
      <c r="H179" s="6" t="inlineStr">
        <is>
          <t>K16 Limits &amp; provenance</t>
        </is>
      </c>
      <c r="I179" s="6" t="inlineStr">
        <is>
          <t>G2 Before the affected pilot/arm</t>
        </is>
      </c>
      <c r="J179" s="6" t="inlineStr">
        <is>
          <t>Normal</t>
        </is>
      </c>
      <c r="K179" s="6" t="n"/>
      <c r="L179" s="6" t="n"/>
      <c r="M179" s="6" t="n"/>
      <c r="N179" s="6" t="inlineStr">
        <is>
          <t>Lead; you decide</t>
        </is>
      </c>
      <c r="O179" s="6" t="inlineStr">
        <is>
          <t>Human decides</t>
        </is>
      </c>
      <c r="P179" s="6" t="n"/>
      <c r="Q179" s="6" t="inlineStr">
        <is>
          <t>Limitation</t>
        </is>
      </c>
      <c r="R179" s="6" t="inlineStr">
        <is>
          <t>Item</t>
        </is>
      </c>
      <c r="S179" s="6" t="n"/>
      <c r="T179" s="6" t="inlineStr">
        <is>
          <t>A human check of a sample of design/package-v5/03 rows</t>
        </is>
      </c>
      <c r="U179" s="6" t="inlineStr">
        <is>
          <t>Stewards, challengers and a rebuttal instance checked rows; no human check</t>
        </is>
      </c>
      <c r="V179" s="6" t="inlineStr">
        <is>
          <t>Human spot-check done or limitation accepted</t>
        </is>
      </c>
      <c r="W179" s="6" t="n"/>
      <c r="X179" s="6" t="n"/>
      <c r="Y179" s="6" t="inlineStr"/>
      <c r="Z179" s="6" t="n"/>
      <c r="AA179" s="6" t="n"/>
      <c r="AB179" s="6" t="n"/>
      <c r="AC179" s="6" t="n"/>
      <c r="AD179" s="6" t="inlineStr">
        <is>
          <t>NEW (V5, 2026-10-22)</t>
        </is>
      </c>
      <c r="AE179" s="6" t="inlineStr">
        <is>
          <t>2026-10-22</t>
        </is>
      </c>
      <c r="AF179" s="6" t="inlineStr">
        <is>
          <t>design/package-v5/00-README.md</t>
        </is>
      </c>
      <c r="AG179" s="6" t="n"/>
      <c r="AH179" s="6" t="inlineStr">
        <is>
          <t>No</t>
        </is>
      </c>
      <c r="AI179" s="6" t="n"/>
      <c r="AJ179" s="6" t="inlineStr">
        <is>
          <t>design/package-v5/08-ledger-proposals.md section 2</t>
        </is>
      </c>
      <c r="AK179" s="6" t="n"/>
      <c r="AL179" s="6" t="n"/>
    </row>
    <row r="180" ht="15" customHeight="1">
      <c r="A180" s="5" t="n"/>
      <c r="B180" s="6" t="n"/>
      <c r="C180" s="6" t="n"/>
      <c r="D180" s="6" t="n"/>
      <c r="E180" s="6" t="n"/>
      <c r="F180" s="6" t="n"/>
      <c r="G180" s="9" t="n"/>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row>
    <row r="181" ht="15" customHeight="1">
      <c r="A181" s="5" t="n"/>
      <c r="B181" s="6" t="n"/>
      <c r="C181" s="6" t="n"/>
      <c r="D181" s="6" t="n"/>
      <c r="E181" s="6" t="n"/>
      <c r="F181" s="6" t="n"/>
      <c r="G181" s="9" t="n"/>
      <c r="H181" s="6" t="n"/>
      <c r="I181" s="6" t="n"/>
      <c r="J181" s="6" t="n"/>
      <c r="K181" s="6" t="n"/>
      <c r="L181" s="6" t="n"/>
      <c r="M181" s="6" t="n"/>
      <c r="N181" s="6" t="n"/>
      <c r="O181" s="6" t="n"/>
      <c r="P181" s="6" t="n"/>
      <c r="Q181" s="6" t="n"/>
      <c r="R181" s="6" t="n"/>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9"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8"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9"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8"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9"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8"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9"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9"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12"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8"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9"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8"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9"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8"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9"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2"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8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E86" t="inlineStr"/>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E87" t="inlineStr"/>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row r="89">
      <c r="A89"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654"/>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row r="654">
      <c r="A654"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2026-10-22T20:08:57Z</dcterms:modified>
</cp:coreProperties>
</file>