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row r="59">
      <c r="A59" t="inlineStr">
        <is>
          <t>Q-J31</t>
        </is>
      </c>
      <c r="B59" t="inlineStr">
        <is>
          <t>Joaa</t>
        </is>
      </c>
      <c r="C59" t="inlineStr">
        <is>
          <t>Is the staged form satisfied by three tool-deciding stages (deployment configuration, memory-informed offering, discovery with a ranker)?</t>
        </is>
      </c>
      <c r="D59" t="inlineStr">
        <is>
          <t>Yes | No | Other</t>
        </is>
      </c>
      <c r="E59" t="inlineStr">
        <is>
          <t>Policy form of V5-R</t>
        </is>
      </c>
      <c r="F59" t="inlineStr">
        <is>
          <t>design/package-v5/05 s4</t>
        </is>
      </c>
      <c r="G59" t="inlineStr">
        <is>
          <t>S05</t>
        </is>
      </c>
      <c r="J59">
        <f>COUNTIFS(Links!$A$2:$A$600,A59,Links!$C$2:$C$600,"&lt;&gt;INFORMS")</f>
        <v/>
      </c>
      <c r="K59" t="inlineStr">
        <is>
          <t>[Answered by the student on Joaa's behalf] line 23: a starting point; the staged form was an example and may change; memory must not stay off, test it properly in the right place</t>
        </is>
      </c>
      <c r="L59" t="inlineStr">
        <is>
          <t>You decided</t>
        </is>
      </c>
      <c r="M59" t="inlineStr">
        <is>
          <t>2026-10-22</t>
        </is>
      </c>
      <c r="N59" t="inlineStr">
        <is>
          <t>REVIEWED</t>
        </is>
      </c>
      <c r="O59" t="inlineStr">
        <is>
          <t>INT-T-006 (requirements/intake/2026-10-22-user-answers-after-v5.md)</t>
        </is>
      </c>
      <c r="P59" t="inlineStr">
        <is>
          <t>2026-10-22 / Claude</t>
        </is>
      </c>
      <c r="Q59" t="inlineStr">
        <is>
          <t>see the Change log of 2026-10-22</t>
        </is>
      </c>
    </row>
    <row r="60">
      <c r="A60" t="inlineStr">
        <is>
          <t>Q-J32</t>
        </is>
      </c>
      <c r="B60" t="inlineStr">
        <is>
          <t>Joaa</t>
        </is>
      </c>
      <c r="C60" t="inlineStr">
        <is>
          <t>Does 'reduce the count of tools' mean tools offered or definitions billed?</t>
        </is>
      </c>
      <c r="D60" t="inlineStr">
        <is>
          <t>Offered | Billed | Other</t>
        </is>
      </c>
      <c r="E60" t="inlineStr">
        <is>
          <t>Objective</t>
        </is>
      </c>
      <c r="F60" t="inlineStr">
        <is>
          <t>design/package-v5/05 s4</t>
        </is>
      </c>
      <c r="G60" t="inlineStr">
        <is>
          <t>S05</t>
        </is>
      </c>
      <c r="J60">
        <f>COUNTIFS(Links!$A$2:$A$600,A60,Links!$C$2:$C$600,"&lt;&gt;INFORMS")</f>
        <v/>
      </c>
      <c r="K60" t="inlineStr">
        <is>
          <t>[Answered by the student on Joaa's behalf] line 25: the count was an example of what could lower the bill; focus on the goal</t>
        </is>
      </c>
      <c r="L60" t="inlineStr">
        <is>
          <t>You decided</t>
        </is>
      </c>
      <c r="M60" t="inlineStr">
        <is>
          <t>2026-10-22</t>
        </is>
      </c>
      <c r="N60" t="inlineStr">
        <is>
          <t>REVIEWED</t>
        </is>
      </c>
      <c r="O60" t="inlineStr">
        <is>
          <t>INT-T-006 (requirements/intake/2026-10-22-user-answers-after-v5.md)</t>
        </is>
      </c>
      <c r="P60" t="inlineStr">
        <is>
          <t>2026-10-22 / Claude</t>
        </is>
      </c>
      <c r="Q60" t="inlineStr">
        <is>
          <t>see the Change log of 2026-10-22</t>
        </is>
      </c>
    </row>
    <row r="61">
      <c r="A61" t="inlineStr">
        <is>
          <t>Q-J33</t>
        </is>
      </c>
      <c r="B61" t="inlineStr">
        <is>
          <t>Joaa</t>
        </is>
      </c>
      <c r="C61" t="inlineStr">
        <is>
          <t>Executor baseline: as its authors ship it, or a particular setup he has in mind?</t>
        </is>
      </c>
      <c r="D61" t="inlineStr">
        <is>
          <t>As shipped | A setup: ... | No preference</t>
        </is>
      </c>
      <c r="E61" t="inlineStr">
        <is>
          <t>Defines the Executor arm</t>
        </is>
      </c>
      <c r="F61" t="inlineStr">
        <is>
          <t>design/package-v5/05 s4 (reworded)</t>
        </is>
      </c>
      <c r="G61" t="inlineStr">
        <is>
          <t>S05</t>
        </is>
      </c>
      <c r="J61">
        <f>COUNTIFS(Links!$A$2:$A$600,A61,Links!$C$2:$C$600,"&lt;&gt;INFORMS")</f>
        <v/>
      </c>
      <c r="K61" t="inlineStr">
        <is>
          <t>[Answered by the student, reporting the supervisor] line 1: Executor could be a baseline but need not be taken as one or forced; learn from it and reuse it in parts (how it works, its parts, strengths, weaknesses)</t>
        </is>
      </c>
      <c r="L61" t="inlineStr">
        <is>
          <t>You decided</t>
        </is>
      </c>
      <c r="M61" t="inlineStr">
        <is>
          <t>2026-10-22</t>
        </is>
      </c>
      <c r="N61" t="inlineStr">
        <is>
          <t>REVIEWED</t>
        </is>
      </c>
      <c r="O61" t="inlineStr">
        <is>
          <t>INT-T-007 (requirements/intake/2026-10-22-user-reply-executor-paths-api.md)</t>
        </is>
      </c>
      <c r="P61" t="inlineStr">
        <is>
          <t>2026-10-22 / Claude</t>
        </is>
      </c>
      <c r="Q61" t="inlineStr">
        <is>
          <t>see the Change log of 2026-10-22</t>
        </is>
      </c>
    </row>
    <row r="62">
      <c r="A62" t="inlineStr">
        <is>
          <t>Q-U28</t>
        </is>
      </c>
      <c r="B62" t="inlineStr">
        <is>
          <t>You</t>
        </is>
      </c>
      <c r="C62" t="inlineStr">
        <is>
          <t>Authorise P0 (university API reading, Executor docs)?</t>
        </is>
      </c>
      <c r="D62" t="inlineStr">
        <is>
          <t>Yes | No</t>
        </is>
      </c>
      <c r="E62" t="inlineStr">
        <is>
          <t>First loop item</t>
        </is>
      </c>
      <c r="F62" t="inlineStr">
        <is>
          <t>design/package-v5/05 s5</t>
        </is>
      </c>
      <c r="G62" t="inlineStr">
        <is>
          <t>S05</t>
        </is>
      </c>
      <c r="J62">
        <f>COUNTIFS(Links!$A$2:$A$600,A62,Links!$C$2:$C$600,"&lt;&gt;INFORMS")</f>
        <v/>
      </c>
      <c r="K62" t="inlineStr">
        <is>
          <t>[Answered] line 2: fetch the status page (done); no keyed request authorised by these words</t>
        </is>
      </c>
      <c r="L62" t="inlineStr">
        <is>
          <t>You decided</t>
        </is>
      </c>
      <c r="M62" t="inlineStr">
        <is>
          <t>2026-10-22</t>
        </is>
      </c>
      <c r="N62" t="inlineStr">
        <is>
          <t>NEEDS FOLLOW-UP</t>
        </is>
      </c>
      <c r="O62" t="inlineStr">
        <is>
          <t>INT-T-006 (requirements/intake/2026-10-22-user-answers-after-v5.md)</t>
        </is>
      </c>
      <c r="P62" t="inlineStr">
        <is>
          <t>2026-10-22 / Claude</t>
        </is>
      </c>
      <c r="Q62" t="inlineStr">
        <is>
          <t>see the Change log of 2026-10-22</t>
        </is>
      </c>
    </row>
    <row r="63">
      <c r="A63" t="inlineStr">
        <is>
          <t>Q-U29</t>
        </is>
      </c>
      <c r="B63" t="inlineStr">
        <is>
          <t>You</t>
        </is>
      </c>
      <c r="C63" t="inlineStr">
        <is>
          <t>Take DPR-0007 as the working draft?</t>
        </is>
      </c>
      <c r="D63" t="inlineStr">
        <is>
          <t>Yes | Keep V4 | Wait</t>
        </is>
      </c>
      <c r="E63" t="inlineStr">
        <is>
          <t>Which draft goes to the supervisor</t>
        </is>
      </c>
      <c r="F63" t="inlineStr">
        <is>
          <t>design/package-v5/05 s5</t>
        </is>
      </c>
      <c r="G63" t="inlineStr">
        <is>
          <t>S05</t>
        </is>
      </c>
      <c r="J63">
        <f>COUNTIFS(Links!$A$2:$A$600,A63,Links!$C$2:$C$600,"&lt;&gt;INFORMS")</f>
        <v/>
      </c>
      <c r="K63" t="inlineStr">
        <is>
          <t>[Answered] line 4: yes, working draft</t>
        </is>
      </c>
      <c r="L63" t="inlineStr">
        <is>
          <t>You decided</t>
        </is>
      </c>
      <c r="M63" t="inlineStr">
        <is>
          <t>2026-10-22</t>
        </is>
      </c>
      <c r="N63" t="inlineStr">
        <is>
          <t>REVIEWED</t>
        </is>
      </c>
      <c r="O63" t="inlineStr">
        <is>
          <t>INT-T-006 (requirements/intake/2026-10-22-user-answers-after-v5.md)</t>
        </is>
      </c>
      <c r="P63" t="inlineStr">
        <is>
          <t>2026-10-22 / Claude</t>
        </is>
      </c>
      <c r="Q63" t="inlineStr">
        <is>
          <t>see the Change log of 2026-10-22</t>
        </is>
      </c>
    </row>
    <row r="64">
      <c r="A64" t="inlineStr">
        <is>
          <t>Q-U30</t>
        </is>
      </c>
      <c r="B64" t="inlineStr">
        <is>
          <t>You</t>
        </is>
      </c>
      <c r="C64" t="inlineStr">
        <is>
          <t>Which average of the bill is primary: total over turns, or mean of per-session rates?</t>
        </is>
      </c>
      <c r="D64" t="inlineStr">
        <is>
          <t>Total over turns | Mean of session rates | Both</t>
        </is>
      </c>
      <c r="E64" t="inlineStr">
        <is>
          <t>Reading of every result</t>
        </is>
      </c>
      <c r="F64" t="inlineStr">
        <is>
          <t>design/package-v5/05 s5 (explained with an example)</t>
        </is>
      </c>
      <c r="G64" t="inlineStr">
        <is>
          <t>S05</t>
        </is>
      </c>
      <c r="J64">
        <f>COUNTIFS(Links!$A$2:$A$600,A64,Links!$C$2:$C$600,"&lt;&gt;INFORMS")</f>
        <v/>
      </c>
      <c r="K64" t="inlineStr">
        <is>
          <t>[Answered] lines 1-2: A (total bill over total turns) as the headline, with the lead's recommendation (B, the mean of per-session rates) shown beside it</t>
        </is>
      </c>
      <c r="L64" t="inlineStr">
        <is>
          <t>You decided</t>
        </is>
      </c>
      <c r="M64" t="inlineStr">
        <is>
          <t>2026-10-25</t>
        </is>
      </c>
      <c r="N64" t="inlineStr">
        <is>
          <t>REVIEWED</t>
        </is>
      </c>
      <c r="O64" t="inlineStr">
        <is>
          <t>INT-T-008 (requirements/intake/2026-10-25-user-answers-q-u30-expose-files.md)</t>
        </is>
      </c>
      <c r="P64" t="inlineStr">
        <is>
          <t>2026-10-25 / Claude</t>
        </is>
      </c>
      <c r="Q64" t="inlineStr">
        <is>
          <t>see the Change log of 2026-10-25</t>
        </is>
      </c>
    </row>
    <row r="65">
      <c r="A65" t="inlineStr">
        <is>
          <t>Q-U31</t>
        </is>
      </c>
      <c r="B65" t="inlineStr">
        <is>
          <t>You</t>
        </is>
      </c>
      <c r="C65" t="inlineStr">
        <is>
          <t>Apply the ledger changes proposed in design/package-v5/08?</t>
        </is>
      </c>
      <c r="D65" t="inlineStr">
        <is>
          <t>Yes | No | Some: ...</t>
        </is>
      </c>
      <c r="E65" t="inlineStr">
        <is>
          <t>Ledger state</t>
        </is>
      </c>
      <c r="F65" t="inlineStr">
        <is>
          <t>design/package-v5/05 s5</t>
        </is>
      </c>
      <c r="G65" t="inlineStr">
        <is>
          <t>S05</t>
        </is>
      </c>
      <c r="J65">
        <f>COUNTIFS(Links!$A$2:$A$600,A65,Links!$C$2:$C$600,"&lt;&gt;INFORMS")</f>
        <v/>
      </c>
      <c r="K65" t="inlineStr">
        <is>
          <t>[Answered] line 8: accepted (applied 2026-10-22)</t>
        </is>
      </c>
      <c r="L65" t="inlineStr">
        <is>
          <t>You decided</t>
        </is>
      </c>
      <c r="M65" t="inlineStr">
        <is>
          <t>2026-10-22</t>
        </is>
      </c>
      <c r="N65" t="inlineStr">
        <is>
          <t>REVIEWED</t>
        </is>
      </c>
      <c r="O65" t="inlineStr">
        <is>
          <t>INT-T-006 (requirements/intake/2026-10-22-user-answers-after-v5.md)</t>
        </is>
      </c>
      <c r="P65" t="inlineStr">
        <is>
          <t>2026-10-22 / Claude</t>
        </is>
      </c>
      <c r="Q65" t="inlineStr">
        <is>
          <t>see the Change log of 2026-10-22</t>
        </is>
      </c>
    </row>
    <row r="66">
      <c r="A66" t="inlineStr">
        <is>
          <t>Q-U32</t>
        </is>
      </c>
      <c r="B66" t="inlineStr">
        <is>
          <t>You</t>
        </is>
      </c>
      <c r="C66" t="inlineStr">
        <is>
          <t>Supply the June exposé so its ideas can be tested against V5?</t>
        </is>
      </c>
      <c r="D66" t="inlineStr">
        <is>
          <t>Yes | Later | No</t>
        </is>
      </c>
      <c r="E66" t="inlineStr">
        <is>
          <t>Exposé ideas (N-34)</t>
        </is>
      </c>
      <c r="F66" t="inlineStr">
        <is>
          <t>design/package-v5/05 s5</t>
        </is>
      </c>
      <c r="G66" t="inlineStr">
        <is>
          <t>S05</t>
        </is>
      </c>
      <c r="J66">
        <f>COUNTIFS(Links!$A$2:$A$600,A66,Links!$C$2:$C$600,"&lt;&gt;INFORMS")</f>
        <v/>
      </c>
      <c r="K66" t="inlineStr">
        <is>
          <t>[Answered] line 10: check its ideas only, as ordinary candidates; files are outside the workspace | Carried out 2026-10-25: both files placed in design/package-v5/inputs/expose/ and checked, ideas only (design/package-v5/09-expose-ideas-checked.md)</t>
        </is>
      </c>
      <c r="L66" t="inlineStr">
        <is>
          <t>You decided</t>
        </is>
      </c>
      <c r="M66" t="inlineStr">
        <is>
          <t>2026-10-22</t>
        </is>
      </c>
      <c r="N66" t="inlineStr">
        <is>
          <t>REVIEWED</t>
        </is>
      </c>
      <c r="O66" t="inlineStr">
        <is>
          <t>INT-T-006 (requirements/intake/2026-10-22-user-answers-after-v5.md)</t>
        </is>
      </c>
      <c r="P66" t="inlineStr">
        <is>
          <t>2026-10-22 / Claude</t>
        </is>
      </c>
      <c r="Q66" t="inlineStr">
        <is>
          <t>see the Change log of 2026-10-25</t>
        </is>
      </c>
    </row>
    <row r="67">
      <c r="A67" t="inlineStr">
        <is>
          <t>Q-U33</t>
        </is>
      </c>
      <c r="B67" t="inlineStr">
        <is>
          <t>You</t>
        </is>
      </c>
      <c r="C67" t="inlineStr">
        <is>
          <t>Authorise P0 part 2: a few requests with your key to read usage records and test allowed_tools?</t>
        </is>
      </c>
      <c r="D67" t="inlineStr">
        <is>
          <t>Yes | No</t>
        </is>
      </c>
      <c r="E67" t="inlineStr">
        <is>
          <t>Cache terms on the university API (N-31)</t>
        </is>
      </c>
      <c r="F67" t="inlineStr">
        <is>
          <t>design/package-v5/05 s5</t>
        </is>
      </c>
      <c r="G67" t="inlineStr">
        <is>
          <t>S05</t>
        </is>
      </c>
      <c r="J67">
        <f>COUNTIFS(Links!$A$2:$A$600,A67,Links!$C$2:$C$600,"&lt;&gt;INFORMS")</f>
        <v/>
      </c>
      <c r="K67" t="inlineStr">
        <is>
          <t>[Done] INT-T-009 line 1: the human ran the probe on gpt-oss-120b and five further models; outputs in design/package-v5/inputs/ (first round); a second probe (p0_api_probe_v2.py) is still to be run</t>
        </is>
      </c>
      <c r="L67" t="inlineStr">
        <is>
          <t>Document provided</t>
        </is>
      </c>
      <c r="M67" t="inlineStr">
        <is>
          <t>2026-10-27</t>
        </is>
      </c>
      <c r="N67" t="inlineStr">
        <is>
          <t>NEEDS FOLLOW-UP</t>
        </is>
      </c>
      <c r="O67" t="inlineStr">
        <is>
          <t>INT-T-009 (requirements/intake/2026-10-27-user-report-api-probe-run.md); design/package-v5/10-p0-university-api-reading.md</t>
        </is>
      </c>
      <c r="P67" t="inlineStr">
        <is>
          <t>2026-10-27 / Claude</t>
        </is>
      </c>
      <c r="Q67" t="inlineStr">
        <is>
          <t>see the Change log of 2026-10-27</t>
        </is>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PARTLY ANSWERED</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05 P1, P2</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 | V5 2026-10-22: arms fixed for the loop: DPR-0008 against V5-R on returning sessions (05 P1), all-offered against subset-offered (05 P2)</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2026-10-22</t>
        </is>
      </c>
      <c r="AF22" s="6" t="inlineStr">
        <is>
          <t>design/package-v5/05 s2</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C-D08/GATEWAY</t>
        </is>
      </c>
      <c r="B34" s="6" t="inlineStr">
        <is>
          <t>Does a code-mediated or gateway path count as exposure / must it be a baseline arm?</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K5 Evaluation contract</t>
        </is>
      </c>
      <c r="I34" s="6" t="inlineStr">
        <is>
          <t>G1 Before any implementation</t>
        </is>
      </c>
      <c r="J34" s="6" t="inlineStr">
        <is>
          <t>High</t>
        </is>
      </c>
      <c r="K34" s="6" t="n">
        <v>65</v>
      </c>
      <c r="L34" s="6" t="inlineStr">
        <is>
          <t>W2 Desk work (no model runs)</t>
        </is>
      </c>
      <c r="M34" s="6" t="inlineStr">
        <is>
          <t>S09</t>
        </is>
      </c>
      <c r="N34" s="6" t="inlineStr">
        <is>
          <t>Joaa + you (or a documented pilot)</t>
        </is>
      </c>
      <c r="O34" s="6" t="inlineStr">
        <is>
          <t>Write into the contract</t>
        </is>
      </c>
      <c r="P34" s="6" t="inlineStr">
        <is>
          <t>No</t>
        </is>
      </c>
      <c r="Q34" s="6" t="inlineStr">
        <is>
          <t>Parameter</t>
        </is>
      </c>
      <c r="R34" s="6" t="inlineStr">
        <is>
          <t>Sub-item</t>
        </is>
      </c>
      <c r="S34" s="6" t="inlineStr">
        <is>
          <t>C-D08</t>
        </is>
      </c>
      <c r="T34" s="6" t="inlineStr">
        <is>
          <t>Whether the existing code-mediated project (and gateways) is a baseline arm or an exposure policy is unset (brief Q6).</t>
        </is>
      </c>
      <c r="U34"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4" s="6" t="inlineStr">
        <is>
          <t>Set in the evaluation contract, or deferred to a documented pilot with Joaa's agreement.</t>
        </is>
      </c>
      <c r="W34" s="6" t="inlineStr"/>
      <c r="X34" s="6" t="inlineStr"/>
      <c r="Y34" s="6" t="inlineStr">
        <is>
          <t>Q-J16</t>
        </is>
      </c>
      <c r="Z34" s="6" t="inlineStr">
        <is>
          <t>DESK-ANALYSIS</t>
        </is>
      </c>
      <c r="AA34" s="6" t="inlineStr"/>
      <c r="AB34" s="6" t="inlineStr">
        <is>
          <t>DEC+DATA</t>
        </is>
      </c>
      <c r="AC34" s="6" t="inlineStr">
        <is>
          <t>n/a (sub-item)</t>
        </is>
      </c>
      <c r="AD34" s="6" t="inlineStr">
        <is>
          <t>NEW (repo sweep)</t>
        </is>
      </c>
      <c r="AE34" s="6" t="inlineStr">
        <is>
          <t>2026-10-21</t>
        </is>
      </c>
      <c r="AF34" s="6" t="inlineStr">
        <is>
          <t>INT-T-004 (requirements/intake/2026-10-21-supervisor-meeting-2026-10-02-excerpts.md); ops/AUTHORIZATIONS.md (AUTH-018);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v4-01 Q6</t>
        </is>
      </c>
      <c r="AL34" s="6" t="inlineStr">
        <is>
          <t>S08</t>
        </is>
      </c>
    </row>
    <row r="35" ht="128" customHeight="1">
      <c r="A35" s="5" t="inlineStr">
        <is>
          <t>C-D08/HIER</t>
        </is>
      </c>
      <c r="B35" s="6" t="inlineStr">
        <is>
          <t>Navigated hierarchy: source of the hierarchy and budget unit</t>
        </is>
      </c>
      <c r="C35" s="6" t="inlineStr">
        <is>
          <t>OPEN</t>
        </is>
      </c>
      <c r="D35" s="6">
        <f>IFERROR(INDEX(Lists!$B$2:$B$14,MATCH(C35,Lists!$A$2:$A$14,0)),"?")</f>
        <v/>
      </c>
      <c r="E35" s="6">
        <f>IF(COUNTIFS(Links!$B$2:$B$600,A35,Links!$E$2:$E$600,"Yes")&gt;0,"REVISE","")</f>
        <v/>
      </c>
      <c r="F35" s="6">
        <f>COUNTIFS(Links!$B$2:$B$600,A35,Links!$D$2:$D$600,"No",Links!$C$2:$C$600,"&lt;&gt;INFORMS")</f>
        <v/>
      </c>
      <c r="G35" s="13" t="inlineStr">
        <is>
          <t>DESK-ANALYSIS</t>
        </is>
      </c>
      <c r="H35" s="6" t="inlineStr">
        <is>
          <t>K5 Evaluation contract</t>
        </is>
      </c>
      <c r="I35" s="6" t="inlineStr">
        <is>
          <t>G1 Before any implementation</t>
        </is>
      </c>
      <c r="J35" s="6" t="inlineStr">
        <is>
          <t>High</t>
        </is>
      </c>
      <c r="K35" s="6" t="n">
        <v>66</v>
      </c>
      <c r="L35" s="6" t="inlineStr">
        <is>
          <t>W2 Desk work (no model runs)</t>
        </is>
      </c>
      <c r="M35" s="6" t="inlineStr">
        <is>
          <t>S09</t>
        </is>
      </c>
      <c r="N35" s="6" t="inlineStr">
        <is>
          <t>Joaa + you (or a documented pilot)</t>
        </is>
      </c>
      <c r="O35" s="6" t="inlineStr">
        <is>
          <t>Lead computes or writes it (no model runs)</t>
        </is>
      </c>
      <c r="P35" s="6" t="inlineStr">
        <is>
          <t>No</t>
        </is>
      </c>
      <c r="Q35" s="6" t="inlineStr">
        <is>
          <t>Parameter</t>
        </is>
      </c>
      <c r="R35" s="6" t="inlineStr">
        <is>
          <t>Sub-item</t>
        </is>
      </c>
      <c r="S35" s="6" t="inlineStr">
        <is>
          <t>C-D08</t>
        </is>
      </c>
      <c r="T35" s="6" t="inlineStr">
        <is>
          <t>The source of the hierarchy (catalogue's own structure or derived) and the budget unit (one level = one discovery) are unset; untested above 400 tools.</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section 5</t>
        </is>
      </c>
      <c r="AG35" s="6" t="inlineStr"/>
      <c r="AH35" s="6" t="inlineStr">
        <is>
          <t>No</t>
        </is>
      </c>
      <c r="AI35" s="6" t="inlineStr"/>
      <c r="AJ35" s="6" t="inlineStr">
        <is>
          <t>repo: v4-02 / v3-04 section 5 / v2-05 section 3</t>
        </is>
      </c>
      <c r="AK35" s="6" t="inlineStr"/>
      <c r="AL35" s="6" t="inlineStr">
        <is>
          <t>S08</t>
        </is>
      </c>
    </row>
    <row r="36" ht="40.5" customHeight="1">
      <c r="A36" s="5" t="inlineStr">
        <is>
          <t>C-D08/KAPPA</t>
        </is>
      </c>
      <c r="B36" s="6" t="inlineStr">
        <is>
          <t>Search width kappa</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67</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top-kappa search width is unset.</t>
        </is>
      </c>
      <c r="U36" s="6" t="inlineStr">
        <is>
          <t>Unset.</t>
        </is>
      </c>
      <c r="V36" s="6" t="inlineStr">
        <is>
          <t>Set in the evaluation contract, or deferred to a documented pilot with Joaa's agreement.</t>
        </is>
      </c>
      <c r="W36" s="6" t="inlineStr"/>
      <c r="X36" s="6" t="inlineStr"/>
      <c r="Y36" s="6" t="inlineStr">
        <is>
          <t>Q-J20</t>
        </is>
      </c>
      <c r="Z36" s="6" t="inlineStr">
        <is>
          <t>JOAA-DECISION</t>
        </is>
      </c>
      <c r="AA36" s="6" t="inlineStr"/>
      <c r="AB36" s="6" t="inlineStr">
        <is>
          <t>DEC+DATA</t>
        </is>
      </c>
      <c r="AC36" s="6" t="inlineStr">
        <is>
          <t>n/a (sub-item)</t>
        </is>
      </c>
      <c r="AD36" s="6" t="inlineStr">
        <is>
          <t>NEW (repo sweep)</t>
        </is>
      </c>
      <c r="AE36" s="6" t="inlineStr">
        <is>
          <t>2026-10-19</t>
        </is>
      </c>
      <c r="AF36" s="6" t="inlineStr">
        <is>
          <t>v4-02 header ('unset')</t>
        </is>
      </c>
      <c r="AG36" s="6" t="inlineStr"/>
      <c r="AH36" s="6" t="inlineStr">
        <is>
          <t>No</t>
        </is>
      </c>
      <c r="AI36" s="6" t="inlineStr"/>
      <c r="AJ36" s="6" t="inlineStr">
        <is>
          <t>repo: v4-02 / v3-04 section 5 / v2-05 section 3</t>
        </is>
      </c>
      <c r="AK36" s="6" t="inlineStr">
        <is>
          <t>kappa</t>
        </is>
      </c>
      <c r="AL36" s="6" t="inlineStr">
        <is>
          <t>S08</t>
        </is>
      </c>
    </row>
    <row r="37" ht="40.5" customHeight="1">
      <c r="A37" s="5" t="inlineStr">
        <is>
          <t>C-D08/RANKER</t>
        </is>
      </c>
      <c r="B37" s="6" t="inlineStr">
        <is>
          <t>Ranker / selector type and disclosure-grade set</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68</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ranker type, the selector type and the set of disclosure grades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v1-A9</t>
        </is>
      </c>
      <c r="AL37" s="6" t="inlineStr">
        <is>
          <t>S08</t>
        </is>
      </c>
    </row>
    <row r="38" ht="40.5" customHeight="1">
      <c r="A38" s="5" t="inlineStr">
        <is>
          <t>C-D08/SCOPESTMT</t>
        </is>
      </c>
      <c r="B38" s="6" t="inlineStr">
        <is>
          <t>Scope-statement and interface-contract wording; statement ladder wordings</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69</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wording of the metadata-only scope statement, the interface contract and the statement ladder (generic, catalogue-specific, existence hint) is unset; a catalogue-specific statement partly exposes the catalogue.</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v4-05 section 2 item 3; CH-0062</t>
        </is>
      </c>
      <c r="AG38" s="6" t="inlineStr"/>
      <c r="AH38" s="6" t="inlineStr">
        <is>
          <t>No</t>
        </is>
      </c>
      <c r="AI38" s="6" t="inlineStr"/>
      <c r="AJ38" s="6" t="inlineStr">
        <is>
          <t>repo: v4-02 / v3-04 section 5 / v2-05 section 3</t>
        </is>
      </c>
      <c r="AK38" s="6" t="inlineStr">
        <is>
          <t>CH-0062, RA6</t>
        </is>
      </c>
      <c r="AL38" s="6" t="inlineStr">
        <is>
          <t>S08</t>
        </is>
      </c>
    </row>
    <row r="39" ht="53" customHeight="1">
      <c r="A39" s="5" t="inlineStr">
        <is>
          <t>C-D08/STRATA</t>
        </is>
      </c>
      <c r="B39" s="6" t="inlineStr">
        <is>
          <t>Strata and minimum stratum size (and source of strata annotations)</t>
        </is>
      </c>
      <c r="C39" s="6" t="inlineStr">
        <is>
          <t>DEFERRED</t>
        </is>
      </c>
      <c r="D39" s="6">
        <f>IFERROR(INDEX(Lists!$B$2:$B$14,MATCH(C39,Lists!$A$2:$A$14,0)),"?")</f>
        <v/>
      </c>
      <c r="E39" s="6">
        <f>IF(COUNTIFS(Links!$B$2:$B$600,A39,Links!$E$2:$E$600,"Yes")&gt;0,"REVISE","")</f>
        <v/>
      </c>
      <c r="F39" s="6">
        <f>COUNTIFS(Links!$B$2:$B$600,A39,Links!$D$2:$D$600,"No",Links!$C$2:$C$600,"&lt;&gt;INFORMS")</f>
        <v/>
      </c>
      <c r="G39" s="10" t="inlineStr">
        <is>
          <t>JOAA-DECISION</t>
        </is>
      </c>
      <c r="H39" s="6" t="inlineStr">
        <is>
          <t>K5 Evaluation contract</t>
        </is>
      </c>
      <c r="I39" s="6" t="inlineStr">
        <is>
          <t>G1 Before any implementation</t>
        </is>
      </c>
      <c r="J39" s="6" t="inlineStr">
        <is>
          <t>High</t>
        </is>
      </c>
      <c r="K39" s="6" t="n">
        <v>70</v>
      </c>
      <c r="L39" s="6" t="inlineStr">
        <is>
          <t>W2 Desk work (no model runs)</t>
        </is>
      </c>
      <c r="M39" s="6" t="inlineStr">
        <is>
          <t>S09</t>
        </is>
      </c>
      <c r="N39" s="6" t="inlineStr">
        <is>
          <t>Joaa + you (or a documented pilot)</t>
        </is>
      </c>
      <c r="O39" s="6" t="inlineStr">
        <is>
          <t>none until the trigger fires</t>
        </is>
      </c>
      <c r="P39" s="6" t="inlineStr">
        <is>
          <t>No</t>
        </is>
      </c>
      <c r="Q39" s="6" t="inlineStr">
        <is>
          <t>Parameter</t>
        </is>
      </c>
      <c r="R39" s="6" t="inlineStr">
        <is>
          <t>Sub-item</t>
        </is>
      </c>
      <c r="S39" s="6" t="inlineStr">
        <is>
          <t>C-D08</t>
        </is>
      </c>
      <c r="T39" s="6" t="inlineStr">
        <is>
          <t>Strata, the minimum stratum size and the source of strata annotations are unset (CH-0038 residual).</t>
        </is>
      </c>
      <c r="U39"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39" s="6" t="inlineStr">
        <is>
          <t>Set in the evaluation contract, or deferred to a documented pilot with Joaa's agreement.</t>
        </is>
      </c>
      <c r="W39" s="6" t="inlineStr"/>
      <c r="X39" s="6" t="inlineStr"/>
      <c r="Y39" s="6" t="inlineStr">
        <is>
          <t>Q-J14, Q-J20</t>
        </is>
      </c>
      <c r="Z39" s="6" t="inlineStr">
        <is>
          <t>DESK-ANALYSIS</t>
        </is>
      </c>
      <c r="AA39" s="6" t="inlineStr"/>
      <c r="AB39" s="6" t="inlineStr">
        <is>
          <t>DEC+DATA</t>
        </is>
      </c>
      <c r="AC39" s="6" t="inlineStr">
        <is>
          <t>n/a (sub-item)</t>
        </is>
      </c>
      <c r="AD39" s="6" t="inlineStr">
        <is>
          <t>NEW (repo sweep)</t>
        </is>
      </c>
      <c r="AE39" s="6" t="inlineStr">
        <is>
          <t>2026-10-21</t>
        </is>
      </c>
      <c r="AF39" s="6" t="inlineStr">
        <is>
          <t>INT-T-005 (requirements/intake/2026-10-21-user-decisions-after-meetings.md)</t>
        </is>
      </c>
      <c r="AG39" s="6" t="inlineStr">
        <is>
          <t>The end-to-end study is designed</t>
        </is>
      </c>
      <c r="AH39" s="6" t="inlineStr">
        <is>
          <t>No</t>
        </is>
      </c>
      <c r="AI39" s="6" t="inlineStr"/>
      <c r="AJ39" s="6" t="inlineStr">
        <is>
          <t>repo: v4-02 / v3-04 section 5 / v2-05 section 3</t>
        </is>
      </c>
      <c r="AK39" s="6" t="inlineStr">
        <is>
          <t>strata</t>
        </is>
      </c>
      <c r="AL39" s="6" t="inlineStr">
        <is>
          <t>S08</t>
        </is>
      </c>
    </row>
    <row r="40" ht="128" customHeight="1">
      <c r="A40" s="5" t="inlineStr">
        <is>
          <t>C-D08/TOK</t>
        </is>
      </c>
      <c r="B40" s="6" t="inlineStr">
        <is>
          <t>Tokenizer convention</t>
        </is>
      </c>
      <c r="C40" s="6" t="inlineStr">
        <is>
          <t>OPEN</t>
        </is>
      </c>
      <c r="D40" s="6">
        <f>IFERROR(INDEX(Lists!$B$2:$B$14,MATCH(C40,Lists!$A$2:$A$14,0)),"?")</f>
        <v/>
      </c>
      <c r="E40" s="6">
        <f>IF(COUNTIFS(Links!$B$2:$B$600,A40,Links!$E$2:$E$600,"Yes")&gt;0,"REVISE","")</f>
        <v/>
      </c>
      <c r="F40" s="6">
        <f>COUNTIFS(Links!$B$2:$B$600,A40,Links!$D$2:$D$600,"No",Links!$C$2:$C$600,"&lt;&gt;INFORMS")</f>
        <v/>
      </c>
      <c r="G40" s="13" t="inlineStr">
        <is>
          <t>DESK-ANALYSIS</t>
        </is>
      </c>
      <c r="H40" s="6" t="inlineStr">
        <is>
          <t>K5 Evaluation contract</t>
        </is>
      </c>
      <c r="I40" s="6" t="inlineStr">
        <is>
          <t>G1 Before any implementation</t>
        </is>
      </c>
      <c r="J40" s="6" t="inlineStr">
        <is>
          <t>High</t>
        </is>
      </c>
      <c r="K40" s="6" t="n">
        <v>71</v>
      </c>
      <c r="L40" s="6" t="inlineStr">
        <is>
          <t>W2 Desk work (no model runs)</t>
        </is>
      </c>
      <c r="M40" s="6" t="inlineStr">
        <is>
          <t>S09</t>
        </is>
      </c>
      <c r="N40" s="6" t="inlineStr">
        <is>
          <t>Joaa + you (or a documented pilot)</t>
        </is>
      </c>
      <c r="O40" s="6" t="inlineStr">
        <is>
          <t>Lead computes or writes it (no model runs)</t>
        </is>
      </c>
      <c r="P40" s="6" t="inlineStr">
        <is>
          <t>No</t>
        </is>
      </c>
      <c r="Q40" s="6" t="inlineStr">
        <is>
          <t>Parameter</t>
        </is>
      </c>
      <c r="R40" s="6" t="inlineStr">
        <is>
          <t>Sub-item</t>
        </is>
      </c>
      <c r="S40" s="6" t="inlineStr">
        <is>
          <t>C-D08</t>
        </is>
      </c>
      <c r="T40" s="6" t="inlineStr">
        <is>
          <t>The tokenizer or usage-field convention (provider-reported vs own tokenizer) is unset.</t>
        </is>
      </c>
      <c r="U40" s="6" t="inlineStr">
        <is>
          <t>Unset.</t>
        </is>
      </c>
      <c r="V40" s="6" t="inlineStr">
        <is>
          <t>Set in the evaluation contract, or deferred to a documented pilot with Joaa's agreement.</t>
        </is>
      </c>
      <c r="W40" s="6" t="inlineStr"/>
      <c r="X40" s="6" t="inlineStr"/>
      <c r="Y40" s="6" t="inlineStr">
        <is>
          <t>Q-J03</t>
        </is>
      </c>
      <c r="Z40" s="6" t="inlineStr">
        <is>
          <t>JOAA-DECISION</t>
        </is>
      </c>
      <c r="AA40" s="6" t="inlineStr"/>
      <c r="AB40" s="6" t="inlineStr">
        <is>
          <t>DEC+DATA</t>
        </is>
      </c>
      <c r="AC40" s="6" t="inlineStr">
        <is>
          <t>n/a (sub-item)</t>
        </is>
      </c>
      <c r="AD40" s="6" t="inlineStr">
        <is>
          <t>NEW (repo sweep)</t>
        </is>
      </c>
      <c r="AE40" s="6" t="inlineStr">
        <is>
          <t>2026-10-19</t>
        </is>
      </c>
      <c r="AF40" s="6" t="inlineStr">
        <is>
          <t>v4-02 header ('unset')</t>
        </is>
      </c>
      <c r="AG40" s="6" t="inlineStr"/>
      <c r="AH40" s="6" t="inlineStr">
        <is>
          <t>No</t>
        </is>
      </c>
      <c r="AI40" s="6" t="inlineStr"/>
      <c r="AJ40" s="6" t="inlineStr">
        <is>
          <t>repo: v4-02 / v3-04 section 5 / v2-05 section 3</t>
        </is>
      </c>
      <c r="AK40" s="6" t="inlineStr">
        <is>
          <t>tokenizer</t>
        </is>
      </c>
      <c r="AL40" s="6" t="inlineStr">
        <is>
          <t>S08</t>
        </is>
      </c>
    </row>
    <row r="41" ht="40.5" customHeight="1">
      <c r="A41" s="5" t="inlineStr">
        <is>
          <t>N-30</t>
        </is>
      </c>
      <c r="B41" s="6" t="inlineStr">
        <is>
          <t>Canonical billing equation of turns and sessions (model-agnostic components)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72</v>
      </c>
      <c r="L41" s="6" t="inlineStr">
        <is>
          <t>W2 Desk work (no model runs)</t>
        </is>
      </c>
      <c r="M41" s="6" t="inlineStr">
        <is>
          <t>S09</t>
        </is>
      </c>
      <c r="N41" s="6" t="inlineStr">
        <is>
          <t>Lead + steward; you approve</t>
        </is>
      </c>
      <c r="O41" s="6" t="inlineStr">
        <is>
          <t>Your approval of DPR-0006 (proposed); then the first billing probe</t>
        </is>
      </c>
      <c r="P41" s="6" t="inlineStr">
        <is>
          <t>Yes - stored text, unread</t>
        </is>
      </c>
      <c r="Q41" s="6" t="inlineStr">
        <is>
          <t>Parameter</t>
        </is>
      </c>
      <c r="R41" s="6" t="inlineStr">
        <is>
          <t>Item</t>
        </is>
      </c>
      <c r="S41" s="6" t="inlineStr"/>
      <c r="T41" s="6" t="inlineStr">
        <is>
          <t>The human asked for the canonical parts of the billing equation of turns and sessions, not tied to one model: input, reasoning, output, tools, prompt caching (possibly used as conversation memory at first), averaged over turns and sessions (INT-T-005 line 8).</t>
        </is>
      </c>
      <c r="U41"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 | V5 2026-10-25: the headline averaging is decided: total bill over total turns, with the mean of per-session rates beside it (REQ-U22-08); DPR-0006 approval still the human's</t>
        </is>
      </c>
      <c r="V41" s="6" t="inlineStr">
        <is>
          <t>A drafted equation with every component cited per provider, reviewed, and approved by the human.</t>
        </is>
      </c>
      <c r="W41" s="6" t="inlineStr"/>
      <c r="X41" s="6" t="inlineStr"/>
      <c r="Y41" s="6" t="inlineStr"/>
      <c r="Z41" s="6" t="inlineStr"/>
      <c r="AA41" s="6" t="inlineStr"/>
      <c r="AB41" s="6" t="inlineStr">
        <is>
          <t>SOURCE</t>
        </is>
      </c>
      <c r="AC41" s="6" t="inlineStr">
        <is>
          <t>n/a (new)</t>
        </is>
      </c>
      <c r="AD41" s="6" t="inlineStr">
        <is>
          <t>NEW (the human's decision 2026-10-21)</t>
        </is>
      </c>
      <c r="AE41" s="6" t="inlineStr">
        <is>
          <t>2026-10-25</t>
        </is>
      </c>
      <c r="AF41" s="6" t="inlineStr">
        <is>
          <t>design/proposals/DPR-0006.md; reviews/RV-0020.md; FND-0039</t>
        </is>
      </c>
      <c r="AG41" s="6" t="inlineStr"/>
      <c r="AH41" s="6" t="inlineStr">
        <is>
          <t>No (AUTH-019)</t>
        </is>
      </c>
      <c r="AI41" s="6" t="inlineStr"/>
      <c r="AJ41" s="6" t="inlineStr">
        <is>
          <t>INT-T-005 line 8</t>
        </is>
      </c>
      <c r="AK41" s="6" t="inlineStr"/>
      <c r="AL41" s="6" t="inlineStr">
        <is>
          <t>S08</t>
        </is>
      </c>
    </row>
    <row r="42" ht="300" customHeight="1">
      <c r="A42" s="5" t="inlineStr">
        <is>
          <t>C-D08</t>
        </is>
      </c>
      <c r="B42" s="6" t="inlineStr">
        <is>
          <t>Arms and baselines (incl.</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K5 Evaluation contract</t>
        </is>
      </c>
      <c r="I42" s="6" t="inlineStr">
        <is>
          <t>G1 Before any implementation</t>
        </is>
      </c>
      <c r="J42" s="6" t="inlineStr">
        <is>
          <t>High</t>
        </is>
      </c>
      <c r="K42" s="6" t="n">
        <v>73</v>
      </c>
      <c r="L42" s="6" t="inlineStr">
        <is>
          <t>W2 Desk work (no model runs)</t>
        </is>
      </c>
      <c r="M42" s="6" t="inlineStr">
        <is>
          <t>S09</t>
        </is>
      </c>
      <c r="N42" s="6" t="inlineStr">
        <is>
          <t>Joaa + you</t>
        </is>
      </c>
      <c r="O42" s="6" t="inlineStr">
        <is>
          <t>Ask Joaa (Q-J01, Q-J16, Q-J20, Q-U06)</t>
        </is>
      </c>
      <c r="P42" s="6" t="inlineStr">
        <is>
          <t>Partly</t>
        </is>
      </c>
      <c r="Q42" s="6" t="inlineStr">
        <is>
          <t>Decision</t>
        </is>
      </c>
      <c r="R42" s="6" t="inlineStr">
        <is>
          <t>Item</t>
        </is>
      </c>
      <c r="S42" s="6" t="inlineStr"/>
      <c r="T42" s="6" t="inlineStr">
        <is>
          <t>Arms and baselines (incl. who or what 'Executor' is), maintained-performance margin, alpha, strata, N_dep, epsilon, tokenizer, ranker, search budget are unset.</t>
        </is>
      </c>
      <c r="U42" s="6" t="inlineStr">
        <is>
          <t>v4 added the navigated-hierarchy arm; parameters still unset. 'Executor as named baseline' is a researcher identification, not transcript text. Arms and baselines are G1; numeric parameters are G3.</t>
        </is>
      </c>
      <c r="V42" s="6" t="inlineStr">
        <is>
          <t>Arm table and comparison contract fixed in writing; unset numbers deferred to a pilot only with Joaa's agreement.</t>
        </is>
      </c>
      <c r="W42" s="6" t="inlineStr">
        <is>
          <t>C-D01, C-D02, C-D03, C-D05</t>
        </is>
      </c>
      <c r="X42" s="6" t="inlineStr">
        <is>
          <t>C-D11</t>
        </is>
      </c>
      <c r="Y42" s="6" t="inlineStr">
        <is>
          <t>Q-J01, Q-J16, Q-J20, Q-U06, Q-J30</t>
        </is>
      </c>
      <c r="Z42" s="6" t="inlineStr">
        <is>
          <t>USER-DECISION, DESK-ANALYSIS</t>
        </is>
      </c>
      <c r="AA42" s="6" t="inlineStr">
        <is>
          <t>K11 End-to-end comparison</t>
        </is>
      </c>
      <c r="AB42" s="6" t="inlineStr">
        <is>
          <t>DEC+DATA</t>
        </is>
      </c>
      <c r="AC42" s="6" t="inlineStr">
        <is>
          <t>PARTLY ANSWERED - OPEN</t>
        </is>
      </c>
      <c r="AD42" s="6" t="inlineStr">
        <is>
          <t>UNCHANGED</t>
        </is>
      </c>
      <c r="AE42" s="6" t="inlineStr">
        <is>
          <t>2026-10-19</t>
        </is>
      </c>
      <c r="AF42" s="6" t="inlineStr">
        <is>
          <t>v4-02 sections 5-7; CAVEATS row 6</t>
        </is>
      </c>
      <c r="AG42" s="6" t="inlineStr"/>
      <c r="AH42" s="6" t="inlineStr">
        <is>
          <t>No</t>
        </is>
      </c>
      <c r="AI42" s="6" t="inlineStr"/>
      <c r="AJ42" s="6" t="inlineStr">
        <is>
          <t>SRC-11 canonical</t>
        </is>
      </c>
      <c r="AK42" s="6" t="inlineStr">
        <is>
          <t>SRC-06 D10, SRC-06 D11, v1-A9, v3-04 section 5</t>
        </is>
      </c>
      <c r="AL42" s="6" t="inlineStr">
        <is>
          <t>S08</t>
        </is>
      </c>
    </row>
    <row r="43" ht="65.5" customHeight="1">
      <c r="A43" s="5" t="inlineStr">
        <is>
          <t>C-E05</t>
        </is>
      </c>
      <c r="B43" s="6" t="inlineStr">
        <is>
          <t>Provider prices and implementation change; the repo's price evidence is dated 2026-10-11 (SRC-11 reports a ...</t>
        </is>
      </c>
      <c r="C43" s="6" t="inlineStr">
        <is>
          <t>PARTLY ANSWERED</t>
        </is>
      </c>
      <c r="D43" s="6">
        <f>IFERROR(INDEX(Lists!$B$2:$B$14,MATCH(C43,Lists!$A$2:$A$14,0)),"?")</f>
        <v/>
      </c>
      <c r="E43" s="6">
        <f>IF(COUNTIFS(Links!$B$2:$B$600,A43,Links!$E$2:$E$600,"Yes")&gt;0,"REVISE","")</f>
        <v/>
      </c>
      <c r="F43" s="6">
        <f>COUNTIFS(Links!$B$2:$B$600,A43,Links!$D$2:$D$600,"No",Links!$C$2:$C$600,"&lt;&gt;INFORMS")</f>
        <v/>
      </c>
      <c r="G43" s="15" t="inlineStr">
        <is>
          <t>TIME-RECHECK</t>
        </is>
      </c>
      <c r="H43" s="6" t="inlineStr">
        <is>
          <t>K15 Expiring provider facts</t>
        </is>
      </c>
      <c r="I43" s="6" t="inlineStr">
        <is>
          <t>G2 Before the affected pilot/arm</t>
        </is>
      </c>
      <c r="J43" s="6" t="inlineStr">
        <is>
          <t>High</t>
        </is>
      </c>
      <c r="K43" s="6" t="n">
        <v>76</v>
      </c>
      <c r="L43" s="6" t="inlineStr">
        <is>
          <t>W2 Desk work (no model runs)</t>
        </is>
      </c>
      <c r="M43" s="6" t="inlineStr">
        <is>
          <t>S10</t>
        </is>
      </c>
      <c r="N43" s="6" t="inlineStr">
        <is>
          <t>Lead (web) with a dated table</t>
        </is>
      </c>
      <c r="O43" s="6" t="inlineStr">
        <is>
          <t>Recheck at claim time</t>
        </is>
      </c>
      <c r="P43" s="6" t="inlineStr">
        <is>
          <t>Partly</t>
        </is>
      </c>
      <c r="Q43" s="6" t="inlineStr">
        <is>
          <t>Source check</t>
        </is>
      </c>
      <c r="R43" s="6" t="inlineStr">
        <is>
          <t>Item</t>
        </is>
      </c>
      <c r="S43" s="6" t="inlineStr"/>
      <c r="T43" s="6" t="inlineStr">
        <is>
          <t>Provider prices and implementation change; the repo's price evidence is dated 2026-10-11 (SRC-11 reports a 17-18 Oct check).</t>
        </is>
      </c>
      <c r="U4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3" s="6" t="inlineStr">
        <is>
          <t>A dated price table now (before Pilot A); repeat at step S24 before any current-price claim, because prices expire.</t>
        </is>
      </c>
      <c r="W43" s="6" t="inlineStr">
        <is>
          <t>N-5, C-D02</t>
        </is>
      </c>
      <c r="X43" s="6" t="inlineStr"/>
      <c r="Y43" s="6" t="inlineStr">
        <is>
          <t>Q-J03, Q-J24, Q-U21</t>
        </is>
      </c>
      <c r="Z43" s="6" t="inlineStr">
        <is>
          <t>SOURCE-REREAD</t>
        </is>
      </c>
      <c r="AA43" s="6" t="inlineStr">
        <is>
          <t>K9 Cache &amp; billing</t>
        </is>
      </c>
      <c r="AB43" s="6" t="inlineStr">
        <is>
          <t>TIME+SOURCE</t>
        </is>
      </c>
      <c r="AC43" s="6" t="inlineStr">
        <is>
          <t>BOUNDARY - OPEN</t>
        </is>
      </c>
      <c r="AD43" s="6" t="inlineStr">
        <is>
          <t>UNCHANGED</t>
        </is>
      </c>
      <c r="AE43" s="6" t="inlineStr">
        <is>
          <t>2026-10-19</t>
        </is>
      </c>
      <c r="AF43" s="6" t="inlineStr">
        <is>
          <t>evidence/literature-20261019/price-*-20261019 and MANIFEST.jsonl (the manifest's 'auth' field says AUTH-013 because the pinned fetch helper hard-codes it; the fetch was made under AUTH-016); EXT-0085, EXT-0086, EXT-0089</t>
        </is>
      </c>
      <c r="AG43" s="6" t="inlineStr">
        <is>
          <t>Before any current-price claim, and whenever a provider/model is chosen or the bill becomes the objective</t>
        </is>
      </c>
      <c r="AH43" s="6" t="inlineStr">
        <is>
          <t>No (AUTH-016 covers web fetches for this item)</t>
        </is>
      </c>
      <c r="AI43" s="6" t="inlineStr"/>
      <c r="AJ43" s="6" t="inlineStr">
        <is>
          <t>SRC-11 canonical</t>
        </is>
      </c>
      <c r="AK43" s="6" t="inlineStr">
        <is>
          <t>SRC-07 31</t>
        </is>
      </c>
      <c r="AL43" s="6" t="inlineStr">
        <is>
          <t>S10</t>
        </is>
      </c>
    </row>
    <row r="44" ht="240.5" customHeight="1">
      <c r="A44" s="5" t="inlineStr">
        <is>
          <t>C-E01</t>
        </is>
      </c>
      <c r="B44" s="6" t="inlineStr">
        <is>
          <t>Ten disputed or unverified paper/vendor claims and propagation defects (e.g., the 292K flat-catalogue figure).</t>
        </is>
      </c>
      <c r="C44" s="6" t="inlineStr">
        <is>
          <t>PARTLY ANSWERED</t>
        </is>
      </c>
      <c r="D44" s="6">
        <f>IFERROR(INDEX(Lists!$B$2:$B$14,MATCH(C44,Lists!$A$2:$A$14,0)),"?")</f>
        <v/>
      </c>
      <c r="E44" s="6">
        <f>IF(COUNTIFS(Links!$B$2:$B$600,A44,Links!$E$2:$E$600,"Yes")&gt;0,"REVISE","")</f>
        <v/>
      </c>
      <c r="F44" s="6">
        <f>COUNTIFS(Links!$B$2:$B$600,A44,Links!$D$2:$D$600,"No",Links!$C$2:$C$600,"&lt;&gt;INFORMS")</f>
        <v/>
      </c>
      <c r="G44" s="14" t="inlineStr">
        <is>
          <t>SOURCE-REREAD</t>
        </is>
      </c>
      <c r="H44" s="6" t="inlineStr">
        <is>
          <t>K14 Source &amp; vendor verification</t>
        </is>
      </c>
      <c r="I44" s="6" t="inlineStr">
        <is>
          <t>G4 Before claims</t>
        </is>
      </c>
      <c r="J44" s="6" t="inlineStr">
        <is>
          <t>Normal</t>
        </is>
      </c>
      <c r="K44" s="6" t="n">
        <v>78</v>
      </c>
      <c r="L44" s="6" t="inlineStr">
        <is>
          <t>W2 Desk work (no model runs)</t>
        </is>
      </c>
      <c r="M44" s="6" t="inlineStr">
        <is>
          <t>S11</t>
        </is>
      </c>
      <c r="N44" s="6" t="inlineStr">
        <is>
          <t>Lead + steward (authors for table conflicts)</t>
        </is>
      </c>
      <c r="O44" s="6" t="inlineStr">
        <is>
          <t>Read the stored text first (tools/origin_extract.py)</t>
        </is>
      </c>
      <c r="P44" s="6" t="inlineStr">
        <is>
          <t>Yes - stored text, unread</t>
        </is>
      </c>
      <c r="Q44" s="6" t="inlineStr">
        <is>
          <t>Source check</t>
        </is>
      </c>
      <c r="R44" s="6" t="inlineStr">
        <is>
          <t>Item</t>
        </is>
      </c>
      <c r="S44" s="6" t="inlineStr"/>
      <c r="T44" s="6" t="inlineStr">
        <is>
          <t>Ten disputed or unverified paper/vendor claims and propagation defects (e.g., the 292K flat-catalogue figure).</t>
        </is>
      </c>
      <c r="U44" s="6" t="inlineStr">
        <is>
          <t>One sub-claim (292K figure) traced to the benchmark repo's development document, not the paper (v4-03 section 2); the others concern the Phase 1 dossier outside the repo.</t>
        </is>
      </c>
      <c r="V44" s="6" t="inlineStr">
        <is>
          <t>Original versions/tables opened; derivative claims corrected; unreplicable vendor data labelled.</t>
        </is>
      </c>
      <c r="W44" s="6" t="inlineStr"/>
      <c r="X44" s="6" t="inlineStr">
        <is>
          <t>C-D01, C-D08</t>
        </is>
      </c>
      <c r="Y44" s="6" t="inlineStr"/>
      <c r="Z44" s="6" t="inlineStr">
        <is>
          <t>AUTHOR-OR-VENDOR, RECORDS-AT-HAND</t>
        </is>
      </c>
      <c r="AA44" s="6" t="inlineStr"/>
      <c r="AB44" s="6" t="inlineStr">
        <is>
          <t>SOURCE+RECORD+AUTHOR</t>
        </is>
      </c>
      <c r="AC44" s="6" t="inlineStr">
        <is>
          <t>OPEN</t>
        </is>
      </c>
      <c r="AD44" s="6" t="inlineStr">
        <is>
          <t>NARROWED</t>
        </is>
      </c>
      <c r="AE44" s="6" t="inlineStr">
        <is>
          <t>2026-10-19</t>
        </is>
      </c>
      <c r="AF44" s="6" t="inlineStr">
        <is>
          <t>v4-03 section 2; EXT-0084</t>
        </is>
      </c>
      <c r="AG44" s="6" t="inlineStr"/>
      <c r="AH44" s="6" t="inlineStr">
        <is>
          <t>No (AUTH-016 covers web fetches for this item)</t>
        </is>
      </c>
      <c r="AI44" s="6" t="inlineStr"/>
      <c r="AJ44" s="6" t="inlineStr">
        <is>
          <t>SRC-11 canonical</t>
        </is>
      </c>
      <c r="AK44" s="6" t="inlineStr">
        <is>
          <t>SRC-06 E01-E10</t>
        </is>
      </c>
      <c r="AL44" s="6" t="inlineStr">
        <is>
          <t>S11</t>
        </is>
      </c>
    </row>
    <row r="45" ht="300" customHeight="1">
      <c r="A45" s="5" t="inlineStr">
        <is>
          <t>C-E01/E02</t>
        </is>
      </c>
      <c r="B45" s="6" t="inlineStr">
        <is>
          <t>Toollery replay library, selector comparability, pricing protocol unstated</t>
        </is>
      </c>
      <c r="C45" s="6" t="inlineStr">
        <is>
          <t>NOT LOCATED</t>
        </is>
      </c>
      <c r="D45" s="6">
        <f>IFERROR(INDEX(Lists!$B$2:$B$14,MATCH(C45,Lists!$A$2:$A$14,0)),"?")</f>
        <v/>
      </c>
      <c r="E45" s="6">
        <f>IF(COUNTIFS(Links!$B$2:$B$600,A45,Links!$E$2:$E$600,"Yes")&gt;0,"REVISE","")</f>
        <v/>
      </c>
      <c r="F45" s="6">
        <f>COUNTIFS(Links!$B$2:$B$600,A45,Links!$D$2:$D$600,"No",Links!$C$2:$C$600,"&lt;&gt;INFORMS")</f>
        <v/>
      </c>
      <c r="G45" s="16" t="inlineStr">
        <is>
          <t>AUTHOR-OR-VENDOR</t>
        </is>
      </c>
      <c r="H45" s="6" t="inlineStr">
        <is>
          <t>K14 Source &amp; vendor verification</t>
        </is>
      </c>
      <c r="I45" s="6" t="inlineStr">
        <is>
          <t>G4 Before claims</t>
        </is>
      </c>
      <c r="J45" s="6" t="inlineStr">
        <is>
          <t>Normal</t>
        </is>
      </c>
      <c r="K45" s="6" t="n">
        <v>81</v>
      </c>
      <c r="L45" s="6" t="inlineStr">
        <is>
          <t>W2 Desk work (no model runs)</t>
        </is>
      </c>
      <c r="M45" s="6" t="inlineStr">
        <is>
          <t>S11</t>
        </is>
      </c>
      <c r="N45" s="6" t="inlineStr">
        <is>
          <t>Authors</t>
        </is>
      </c>
      <c r="O45" s="6" t="inlineStr">
        <is>
          <t>You send the drafted ask (design/ledger/notes/AUTHOR-ASKS-DRAFT-20261020.md, section 4) and record the reply; until then it waits on the authors</t>
        </is>
      </c>
      <c r="P45" s="6" t="inlineStr">
        <is>
          <t>Partly</t>
        </is>
      </c>
      <c r="Q45" s="6" t="inlineStr">
        <is>
          <t>Source check</t>
        </is>
      </c>
      <c r="R45" s="6" t="inlineStr">
        <is>
          <t>Sub-item</t>
        </is>
      </c>
      <c r="S45" s="6" t="inlineStr">
        <is>
          <t>C-E01</t>
        </is>
      </c>
      <c r="T45" s="6" t="inlineStr">
        <is>
          <t>SRC-06 E02: Toollery's replay library, selector comparability and pricing protocol are unstated in the stored text.</t>
        </is>
      </c>
      <c r="U45" s="6" t="inlineStr">
        <is>
          <t>The repo confirms the stored text lacks them; the fitted multiplier is treated as study-specific.</t>
        </is>
      </c>
      <c r="V45" s="6" t="inlineStr">
        <is>
          <t>Authors answer, or 'not provided' recorded and the number labelled study-specific.</t>
        </is>
      </c>
      <c r="W45" s="6" t="inlineStr"/>
      <c r="X45" s="6" t="inlineStr"/>
      <c r="Y45" s="6" t="inlineStr"/>
      <c r="Z45" s="6" t="inlineStr"/>
      <c r="AA45" s="6" t="inlineStr"/>
      <c r="AB45" s="6" t="inlineStr">
        <is>
          <t>SOURCE+AUTHOR</t>
        </is>
      </c>
      <c r="AC45" s="6" t="inlineStr">
        <is>
          <t>n/a (sub-item)</t>
        </is>
      </c>
      <c r="AD45" s="6" t="inlineStr">
        <is>
          <t>NEW (SRC-11 sub-row)</t>
        </is>
      </c>
      <c r="AE45" s="6" t="inlineStr">
        <is>
          <t>2026-10-20</t>
        </is>
      </c>
      <c r="AF45" s="6" t="inlineStr">
        <is>
          <t>v3-01 section 5: 'the model, pricing and candidate-list construction are not in the stored text'; sources.json s4b-wd-toollery</t>
        </is>
      </c>
      <c r="AG45" s="6" t="inlineStr"/>
      <c r="AH45" s="6" t="inlineStr">
        <is>
          <t>No (AUTH-016 covers web fetches for this item)</t>
        </is>
      </c>
      <c r="AI45" s="6" t="inlineStr"/>
      <c r="AJ45" s="6" t="inlineStr">
        <is>
          <t>SRC-11 section D1</t>
        </is>
      </c>
      <c r="AK45" s="6" t="inlineStr">
        <is>
          <t>SRC-06 E02</t>
        </is>
      </c>
      <c r="AL45" s="6" t="inlineStr">
        <is>
          <t>S11</t>
        </is>
      </c>
    </row>
    <row r="46" ht="53" customHeight="1">
      <c r="A46" s="5" t="inlineStr">
        <is>
          <t>C-E01/E05</t>
        </is>
      </c>
      <c r="B46" s="6" t="inlineStr">
        <is>
          <t>Did the earlier body use the MCP-Bench distractor-server result?</t>
        </is>
      </c>
      <c r="C46" s="6" t="inlineStr">
        <is>
          <t>OPEN</t>
        </is>
      </c>
      <c r="D46" s="6">
        <f>IFERROR(INDEX(Lists!$B$2:$B$14,MATCH(C46,Lists!$A$2:$A$14,0)),"?")</f>
        <v/>
      </c>
      <c r="E46" s="6">
        <f>IF(COUNTIFS(Links!$B$2:$B$600,A46,Links!$E$2:$E$600,"Yes")&gt;0,"REVISE","")</f>
        <v/>
      </c>
      <c r="F46" s="6">
        <f>COUNTIFS(Links!$B$2:$B$600,A46,Links!$D$2:$D$600,"No",Links!$C$2:$C$600,"&lt;&gt;INFORMS")</f>
        <v/>
      </c>
      <c r="G46" s="8" t="inlineStr">
        <is>
          <t>RECORDS-AT-HAND</t>
        </is>
      </c>
      <c r="H46" s="6" t="inlineStr">
        <is>
          <t>K14 Source &amp; vendor verification</t>
        </is>
      </c>
      <c r="I46" s="6" t="inlineStr">
        <is>
          <t>G4 Before claims</t>
        </is>
      </c>
      <c r="J46" s="6" t="inlineStr">
        <is>
          <t>Normal</t>
        </is>
      </c>
      <c r="K46" s="6" t="n">
        <v>84</v>
      </c>
      <c r="L46" s="6" t="inlineStr">
        <is>
          <t>W2 Desk work (no model runs)</t>
        </is>
      </c>
      <c r="M46" s="6" t="inlineStr">
        <is>
          <t>S11</t>
        </is>
      </c>
      <c r="N46" s="6" t="inlineStr">
        <is>
          <t>You (Phase 1 records)</t>
        </is>
      </c>
      <c r="O46" s="6" t="inlineStr">
        <is>
          <t>Lead drafts the fix; you approve</t>
        </is>
      </c>
      <c r="P46" s="6" t="inlineStr">
        <is>
          <t>No</t>
        </is>
      </c>
      <c r="Q46" s="6" t="inlineStr">
        <is>
          <t>Source check</t>
        </is>
      </c>
      <c r="R46" s="6" t="inlineStr">
        <is>
          <t>Sub-item</t>
        </is>
      </c>
      <c r="S46" s="6" t="inlineStr">
        <is>
          <t>C-E01</t>
        </is>
      </c>
      <c r="T46" s="6" t="inlineStr">
        <is>
          <t>SRC-06 E05: unknown whether the earlier body incorporated the MCP-Bench distractor-server result (audit-history question).</t>
        </is>
      </c>
      <c r="U46" s="6" t="inlineStr">
        <is>
          <t>Outside the repo.</t>
        </is>
      </c>
      <c r="V46" s="6" t="inlineStr">
        <is>
          <t>Original record and paper checked; audit-history recorded.</t>
        </is>
      </c>
      <c r="W46" s="6" t="inlineStr"/>
      <c r="X46" s="6" t="inlineStr"/>
      <c r="Y46" s="6" t="inlineStr"/>
      <c r="Z46" s="6" t="inlineStr"/>
      <c r="AA46" s="6" t="inlineStr"/>
      <c r="AB46" s="6" t="inlineStr">
        <is>
          <t>RECORD+SOURCE</t>
        </is>
      </c>
      <c r="AC46" s="6" t="inlineStr">
        <is>
          <t>n/a (sub-item)</t>
        </is>
      </c>
      <c r="AD46" s="6" t="inlineStr">
        <is>
          <t>NEW (SRC-11 sub-row)</t>
        </is>
      </c>
      <c r="AE46" s="6" t="inlineStr">
        <is>
          <t>2026-10-19</t>
        </is>
      </c>
      <c r="AF46" s="6" t="inlineStr">
        <is>
          <t>Concerns the independent Phase 1 body (outside repo); r3-mcpbench is stored</t>
        </is>
      </c>
      <c r="AG46" s="6" t="inlineStr"/>
      <c r="AH46" s="6" t="inlineStr">
        <is>
          <t>No (AUTH-016 covers web fetches for this item)</t>
        </is>
      </c>
      <c r="AI46" s="6" t="inlineStr"/>
      <c r="AJ46" s="6" t="inlineStr">
        <is>
          <t>SRC-11 section D1</t>
        </is>
      </c>
      <c r="AK46" s="6" t="inlineStr">
        <is>
          <t>SRC-06 E05</t>
        </is>
      </c>
      <c r="AL46" s="6" t="inlineStr">
        <is>
          <t>S11</t>
        </is>
      </c>
    </row>
    <row r="47" ht="65.5" customHeight="1">
      <c r="A47" s="5" t="inlineStr">
        <is>
          <t>C-E01/E08</t>
        </is>
      </c>
      <c r="B47" s="6" t="inlineStr">
        <is>
          <t>CAPC lazy-tools scope, ToolMenuBench sizes, ProMCP figures not fully verified</t>
        </is>
      </c>
      <c r="C47" s="6" t="inlineStr">
        <is>
          <t>DEFERRED</t>
        </is>
      </c>
      <c r="D47" s="6">
        <f>IFERROR(INDEX(Lists!$B$2:$B$14,MATCH(C47,Lists!$A$2:$A$14,0)),"?")</f>
        <v/>
      </c>
      <c r="E47" s="6">
        <f>IF(COUNTIFS(Links!$B$2:$B$600,A47,Links!$E$2:$E$600,"Yes")&gt;0,"REVISE","")</f>
        <v/>
      </c>
      <c r="F47" s="6">
        <f>COUNTIFS(Links!$B$2:$B$600,A47,Links!$D$2:$D$600,"No",Links!$C$2:$C$600,"&lt;&gt;INFORMS")</f>
        <v/>
      </c>
      <c r="G47" s="14" t="inlineStr">
        <is>
          <t>SOURCE-REREAD</t>
        </is>
      </c>
      <c r="H47" s="6" t="inlineStr">
        <is>
          <t>K14 Source &amp; vendor verification</t>
        </is>
      </c>
      <c r="I47" s="6" t="inlineStr">
        <is>
          <t>G4 Before claims</t>
        </is>
      </c>
      <c r="J47" s="6" t="inlineStr">
        <is>
          <t>Normal</t>
        </is>
      </c>
      <c r="K47" s="6" t="n">
        <v>88</v>
      </c>
      <c r="L47" s="6" t="inlineStr">
        <is>
          <t>W2 Desk work (no model runs)</t>
        </is>
      </c>
      <c r="M47" s="6" t="inlineStr">
        <is>
          <t>S11</t>
        </is>
      </c>
      <c r="N47" s="6" t="inlineStr">
        <is>
          <t>Lead + steward</t>
        </is>
      </c>
      <c r="O47" s="6" t="inlineStr">
        <is>
          <t>none until the trigger fires</t>
        </is>
      </c>
      <c r="P47" s="6" t="inlineStr">
        <is>
          <t>Partly</t>
        </is>
      </c>
      <c r="Q47" s="6" t="inlineStr">
        <is>
          <t>Source check</t>
        </is>
      </c>
      <c r="R47" s="6" t="inlineStr">
        <is>
          <t>Sub-item</t>
        </is>
      </c>
      <c r="S47" s="6" t="inlineStr">
        <is>
          <t>C-E01</t>
        </is>
      </c>
      <c r="T47" s="6" t="inlineStr">
        <is>
          <t>SRC-06 E08: CAPC lazy-tools scope, ToolMenuBench sizes and ProMCP figures are not fully verified.</t>
        </is>
      </c>
      <c r="U47"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7" s="6" t="inlineStr">
        <is>
          <t>Each table/setting checked separately.</t>
        </is>
      </c>
      <c r="W47" s="6" t="inlineStr"/>
      <c r="X47" s="6" t="inlineStr"/>
      <c r="Y47" s="6" t="inlineStr"/>
      <c r="Z47" s="6" t="inlineStr"/>
      <c r="AA47" s="6" t="inlineStr"/>
      <c r="AB47" s="6" t="inlineStr">
        <is>
          <t>SOURCE</t>
        </is>
      </c>
      <c r="AC47" s="6" t="inlineStr">
        <is>
          <t>n/a (sub-item)</t>
        </is>
      </c>
      <c r="AD47" s="6" t="inlineStr">
        <is>
          <t>NEW (SRC-11 sub-row)</t>
        </is>
      </c>
      <c r="AE47" s="6" t="inlineStr">
        <is>
          <t>2026-10-20</t>
        </is>
      </c>
      <c r="AF47" s="6" t="inlineStr">
        <is>
          <t>grep of design/package-v3 and design/package-v4 01-05 (lead, 2026-10-20)</t>
        </is>
      </c>
      <c r="AG47" s="6" t="inlineStr">
        <is>
          <t>A document quotes a ProMCP figure</t>
        </is>
      </c>
      <c r="AH47" s="6" t="inlineStr">
        <is>
          <t>No (AUTH-016 covers web fetches for this item)</t>
        </is>
      </c>
      <c r="AI47" s="6" t="inlineStr"/>
      <c r="AJ47" s="6" t="inlineStr">
        <is>
          <t>SRC-11 section D1</t>
        </is>
      </c>
      <c r="AK47" s="6" t="inlineStr">
        <is>
          <t>SRC-06 E08</t>
        </is>
      </c>
      <c r="AL47" s="6" t="inlineStr">
        <is>
          <t>S11</t>
        </is>
      </c>
    </row>
    <row r="48" ht="53" customHeight="1">
      <c r="A48" s="5" t="inlineStr">
        <is>
          <t>C-E01/E09</t>
        </is>
      </c>
      <c r="B48" s="6" t="inlineStr">
        <is>
          <t>Frozen Copilot cache-hit row mixes serving and client telemetry</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89</v>
      </c>
      <c r="L48" s="6" t="inlineStr">
        <is>
          <t>W2 Desk work (no model runs)</t>
        </is>
      </c>
      <c r="M48" s="6" t="inlineStr">
        <is>
          <t>S11</t>
        </is>
      </c>
      <c r="N48" s="6" t="inlineStr">
        <is>
          <t>You</t>
        </is>
      </c>
      <c r="O48" s="6" t="inlineStr">
        <is>
          <t>Lead drafts the fix; you approve</t>
        </is>
      </c>
      <c r="P48" s="6" t="inlineStr">
        <is>
          <t>No</t>
        </is>
      </c>
      <c r="Q48" s="6" t="inlineStr">
        <is>
          <t>Source check</t>
        </is>
      </c>
      <c r="R48" s="6" t="inlineStr">
        <is>
          <t>Sub-item</t>
        </is>
      </c>
      <c r="S48" s="6" t="inlineStr">
        <is>
          <t>C-E01</t>
        </is>
      </c>
      <c r="T48" s="6" t="inlineStr">
        <is>
          <t>SRC-06 E09: the frozen dossier's Copilot cache-hit row mixes serving and client telemetry; a correction exists elsewhere, not in the frozen record.</t>
        </is>
      </c>
      <c r="U48" s="6" t="inlineStr">
        <is>
          <t>Outside the repo.</t>
        </is>
      </c>
      <c r="V48" s="6" t="inlineStr">
        <is>
          <t>Dated correction issued alongside the frozen artefact.</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Phase 1 dossier outside repo; stored s4-copilottraces-2608-00101 and r4-github-copilot-fewer-tools</t>
        </is>
      </c>
      <c r="AG48" s="6" t="inlineStr"/>
      <c r="AH48" s="6" t="inlineStr">
        <is>
          <t>No (AUTH-016 covers web fetches for this item)</t>
        </is>
      </c>
      <c r="AI48" s="6" t="inlineStr"/>
      <c r="AJ48" s="6" t="inlineStr">
        <is>
          <t>SRC-11 section D1</t>
        </is>
      </c>
      <c r="AK48" s="6" t="inlineStr">
        <is>
          <t>SRC-06 E09</t>
        </is>
      </c>
      <c r="AL48" s="6" t="inlineStr">
        <is>
          <t>S11</t>
        </is>
      </c>
    </row>
    <row r="49" ht="300" customHeight="1">
      <c r="A49" s="5" t="inlineStr">
        <is>
          <t>C-E01/E10</t>
        </is>
      </c>
      <c r="B49" s="6" t="inlineStr">
        <is>
          <t>Phase 1 frozen dossier retains later-contradicted claims</t>
        </is>
      </c>
      <c r="C49" s="6" t="inlineStr">
        <is>
          <t>OPEN</t>
        </is>
      </c>
      <c r="D49" s="6">
        <f>IFERROR(INDEX(Lists!$B$2:$B$14,MATCH(C49,Lists!$A$2:$A$14,0)),"?")</f>
        <v/>
      </c>
      <c r="E49" s="6">
        <f>IF(COUNTIFS(Links!$B$2:$B$600,A49,Links!$E$2:$E$600,"Yes")&gt;0,"REVISE","")</f>
        <v/>
      </c>
      <c r="F49" s="6">
        <f>COUNTIFS(Links!$B$2:$B$600,A49,Links!$D$2:$D$600,"No",Links!$C$2:$C$600,"&lt;&gt;INFORMS")</f>
        <v/>
      </c>
      <c r="G49" s="8" t="inlineStr">
        <is>
          <t>RECORDS-AT-HAND</t>
        </is>
      </c>
      <c r="H49" s="6" t="inlineStr">
        <is>
          <t>K14 Source &amp; vendor verification</t>
        </is>
      </c>
      <c r="I49" s="6" t="inlineStr">
        <is>
          <t>G4 Before claims</t>
        </is>
      </c>
      <c r="J49" s="6" t="inlineStr">
        <is>
          <t>Normal</t>
        </is>
      </c>
      <c r="K49" s="6" t="n">
        <v>90</v>
      </c>
      <c r="L49" s="6" t="inlineStr">
        <is>
          <t>W2 Desk work (no model runs)</t>
        </is>
      </c>
      <c r="M49" s="6" t="inlineStr">
        <is>
          <t>S11</t>
        </is>
      </c>
      <c r="N49" s="6" t="inlineStr">
        <is>
          <t>You</t>
        </is>
      </c>
      <c r="O49" s="6" t="inlineStr">
        <is>
          <t>Lead drafts the fix; you approve</t>
        </is>
      </c>
      <c r="P49" s="6" t="inlineStr">
        <is>
          <t>No</t>
        </is>
      </c>
      <c r="Q49" s="6" t="inlineStr">
        <is>
          <t>Source check</t>
        </is>
      </c>
      <c r="R49" s="6" t="inlineStr">
        <is>
          <t>Sub-item</t>
        </is>
      </c>
      <c r="S49" s="6" t="inlineStr">
        <is>
          <t>C-E01</t>
        </is>
      </c>
      <c r="T49" s="6" t="inlineStr">
        <is>
          <t>SRC-06 E10: the frozen Phase 1 dossier retains claims later contradicted or unsupported (trajectory-only, caching, 56.7%, 85%, paraphrased 'verbatim' quotes, MCPVerse wording, version drift).</t>
        </is>
      </c>
      <c r="U49" s="6" t="inlineStr">
        <is>
          <t>Outside the repo.</t>
        </is>
      </c>
      <c r="V49" s="6" t="inlineStr">
        <is>
          <t>Explicit errata linked to each statement; frozen original preserved.</t>
        </is>
      </c>
      <c r="W49" s="6" t="inlineStr"/>
      <c r="X49" s="6" t="inlineStr"/>
      <c r="Y49" s="6" t="inlineStr"/>
      <c r="Z49" s="6" t="inlineStr"/>
      <c r="AA49" s="6" t="inlineStr"/>
      <c r="AB49" s="6" t="inlineStr">
        <is>
          <t>RECORD+SOURCE</t>
        </is>
      </c>
      <c r="AC49" s="6" t="inlineStr">
        <is>
          <t>n/a (sub-item)</t>
        </is>
      </c>
      <c r="AD49" s="6" t="inlineStr">
        <is>
          <t>NEW (SRC-11 sub-row)</t>
        </is>
      </c>
      <c r="AE49" s="6" t="inlineStr">
        <is>
          <t>2026-10-19</t>
        </is>
      </c>
      <c r="AF49" s="6" t="inlineStr">
        <is>
          <t>Outside repo</t>
        </is>
      </c>
      <c r="AG49" s="6" t="inlineStr"/>
      <c r="AH49" s="6" t="inlineStr">
        <is>
          <t>No (AUTH-016 covers web fetches for this item)</t>
        </is>
      </c>
      <c r="AI49" s="6" t="inlineStr"/>
      <c r="AJ49" s="6" t="inlineStr">
        <is>
          <t>SRC-11 section D1</t>
        </is>
      </c>
      <c r="AK49" s="6" t="inlineStr">
        <is>
          <t>SRC-06 E10</t>
        </is>
      </c>
      <c r="AL49" s="6" t="inlineStr">
        <is>
          <t>S11</t>
        </is>
      </c>
    </row>
    <row r="50" ht="53" customHeight="1">
      <c r="A50" s="5" t="inlineStr">
        <is>
          <t>C-E02</t>
        </is>
      </c>
      <c r="B50" s="6" t="inlineStr">
        <is>
          <t>Fifteen groups of unread, partial, snippet-only or unreadable sources; historical 'not found' searches were...</t>
        </is>
      </c>
      <c r="C50" s="6" t="inlineStr">
        <is>
          <t>PARTLY ANSWERED</t>
        </is>
      </c>
      <c r="D50" s="6">
        <f>IFERROR(INDEX(Lists!$B$2:$B$14,MATCH(C50,Lists!$A$2:$A$14,0)),"?")</f>
        <v/>
      </c>
      <c r="E50" s="6">
        <f>IF(COUNTIFS(Links!$B$2:$B$600,A50,Links!$E$2:$E$600,"Yes")&gt;0,"REVISE","")</f>
        <v/>
      </c>
      <c r="F50" s="6">
        <f>COUNTIFS(Links!$B$2:$B$600,A50,Links!$D$2:$D$600,"No",Links!$C$2:$C$600,"&lt;&gt;INFORMS")</f>
        <v/>
      </c>
      <c r="G50" s="14" t="inlineStr">
        <is>
          <t>SOURCE-REREAD</t>
        </is>
      </c>
      <c r="H50" s="6" t="inlineStr">
        <is>
          <t>K14 Source &amp; vendor verification</t>
        </is>
      </c>
      <c r="I50" s="6" t="inlineStr">
        <is>
          <t>G4 Before claims</t>
        </is>
      </c>
      <c r="J50" s="6" t="inlineStr">
        <is>
          <t>Normal</t>
        </is>
      </c>
      <c r="K50" s="6" t="n">
        <v>91</v>
      </c>
      <c r="L50" s="6" t="inlineStr">
        <is>
          <t>W2 Desk work (no model runs)</t>
        </is>
      </c>
      <c r="M50" s="6" t="inlineStr">
        <is>
          <t>S11</t>
        </is>
      </c>
      <c r="N50" s="6" t="inlineStr">
        <is>
          <t>Lead + steward</t>
        </is>
      </c>
      <c r="O50" s="6" t="inlineStr">
        <is>
          <t>E30 needs your list (Q-U23); UNREADLEADS in progress (memory survey read in batch 13); then close this item</t>
        </is>
      </c>
      <c r="P50" s="6" t="inlineStr">
        <is>
          <t>Yes - stored text, unread</t>
        </is>
      </c>
      <c r="Q50" s="6" t="inlineStr">
        <is>
          <t>Source check</t>
        </is>
      </c>
      <c r="R50" s="6" t="inlineStr">
        <is>
          <t>Item</t>
        </is>
      </c>
      <c r="S50" s="6" t="inlineStr"/>
      <c r="T50" s="6" t="inlineStr">
        <is>
          <t>Fifteen groups of unread, partial, snippet-only or unreadable sources; historical 'not found' searches were bounded.</t>
        </is>
      </c>
      <c r="U50"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0" s="6" t="inlineStr">
        <is>
          <t>Pivotal originals read; non-pivotal ones deferred with a reason and trigger.</t>
        </is>
      </c>
      <c r="W50" s="6" t="inlineStr"/>
      <c r="X50" s="6" t="inlineStr">
        <is>
          <t>C-D01, C-D08</t>
        </is>
      </c>
      <c r="Y50" s="6" t="inlineStr"/>
      <c r="Z50" s="6" t="inlineStr">
        <is>
          <t>LITERATURE-DIRECTED, ACCEPT-LIMITATION</t>
        </is>
      </c>
      <c r="AA50" s="6" t="inlineStr"/>
      <c r="AB50" s="6" t="inlineStr">
        <is>
          <t>SOURCE+ACCESS+RECORD</t>
        </is>
      </c>
      <c r="AC50" s="6" t="inlineStr">
        <is>
          <t>OPEN</t>
        </is>
      </c>
      <c r="AD50" s="6" t="inlineStr">
        <is>
          <t>NARROWED</t>
        </is>
      </c>
      <c r="AE50" s="6" t="inlineStr">
        <is>
          <t>2026-10-20</t>
        </is>
      </c>
      <c r="AF50" s="6" t="inlineStr">
        <is>
          <t>see the child rows</t>
        </is>
      </c>
      <c r="AG50" s="6" t="inlineStr">
        <is>
          <t>When a skipped source becomes pivotal or a paper version changes</t>
        </is>
      </c>
      <c r="AH50" s="6" t="inlineStr">
        <is>
          <t>No (AUTH-016 covers web fetches for this item)</t>
        </is>
      </c>
      <c r="AI50" s="6" t="inlineStr"/>
      <c r="AJ50" s="6" t="inlineStr">
        <is>
          <t>SRC-11 canonical</t>
        </is>
      </c>
      <c r="AK50" s="6" t="inlineStr">
        <is>
          <t>SRC-06 E20-E34, SRC-07 28</t>
        </is>
      </c>
      <c r="AL50" s="6" t="inlineStr">
        <is>
          <t>S11</t>
        </is>
      </c>
    </row>
    <row r="51" ht="53" customHeight="1">
      <c r="A51" s="5" t="inlineStr">
        <is>
          <t>C-E02/E21</t>
        </is>
      </c>
      <c r="B51" s="6" t="inlineStr">
        <is>
          <t>Hajdas post, Cursor cap docs, Claude Code changelog not opened; 55K attribution</t>
        </is>
      </c>
      <c r="C51" s="6" t="inlineStr">
        <is>
          <t>DEFERRED</t>
        </is>
      </c>
      <c r="D51" s="6">
        <f>IFERROR(INDEX(Lists!$B$2:$B$14,MATCH(C51,Lists!$A$2:$A$14,0)),"?")</f>
        <v/>
      </c>
      <c r="E51" s="6">
        <f>IF(COUNTIFS(Links!$B$2:$B$600,A51,Links!$E$2:$E$600,"Yes")&gt;0,"REVISE","")</f>
        <v/>
      </c>
      <c r="F51" s="6">
        <f>COUNTIFS(Links!$B$2:$B$600,A51,Links!$D$2:$D$600,"No",Links!$C$2:$C$600,"&lt;&gt;INFORMS")</f>
        <v/>
      </c>
      <c r="G51" s="14" t="inlineStr">
        <is>
          <t>SOURCE-REREAD</t>
        </is>
      </c>
      <c r="H51" s="6" t="inlineStr">
        <is>
          <t>K14 Source &amp; vendor verification</t>
        </is>
      </c>
      <c r="I51" s="6" t="inlineStr">
        <is>
          <t>G4 Before claims</t>
        </is>
      </c>
      <c r="J51" s="6" t="inlineStr">
        <is>
          <t>Normal</t>
        </is>
      </c>
      <c r="K51" s="6" t="n">
        <v>94</v>
      </c>
      <c r="L51" s="6" t="inlineStr">
        <is>
          <t>W2 Desk work (no model runs)</t>
        </is>
      </c>
      <c r="M51" s="6" t="inlineStr">
        <is>
          <t>S11</t>
        </is>
      </c>
      <c r="N51" s="6" t="inlineStr">
        <is>
          <t>Lead + steward</t>
        </is>
      </c>
      <c r="O51" s="6" t="inlineStr">
        <is>
          <t>none until the trigger fires</t>
        </is>
      </c>
      <c r="P51" s="6" t="inlineStr">
        <is>
          <t>Partly</t>
        </is>
      </c>
      <c r="Q51" s="6" t="inlineStr">
        <is>
          <t>Source check</t>
        </is>
      </c>
      <c r="R51" s="6" t="inlineStr">
        <is>
          <t>Sub-item</t>
        </is>
      </c>
      <c r="S51" s="6" t="inlineStr">
        <is>
          <t>C-E02</t>
        </is>
      </c>
      <c r="T51" s="6" t="inlineStr">
        <is>
          <t>SRC-06 E21: the Hajdas post, Cursor cap docs and Claude Code changelog were not opened; the 55K attribution is uncertain.</t>
        </is>
      </c>
      <c r="U51"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1" s="6" t="inlineStr">
        <is>
          <t>Original read; claims it affects revised or marked unverified.</t>
        </is>
      </c>
      <c r="W51" s="6" t="inlineStr"/>
      <c r="X51" s="6" t="inlineStr"/>
      <c r="Y51" s="6" t="inlineStr"/>
      <c r="Z51" s="6" t="inlineStr"/>
      <c r="AA51" s="6" t="inlineStr"/>
      <c r="AB51" s="6" t="inlineStr">
        <is>
          <t>SOURCE+ACCESS</t>
        </is>
      </c>
      <c r="AC51" s="6" t="inlineStr">
        <is>
          <t>n/a (sub-item)</t>
        </is>
      </c>
      <c r="AD51" s="6" t="inlineStr">
        <is>
          <t>NEW (SRC-11 sub-row)</t>
        </is>
      </c>
      <c r="AE51" s="6" t="inlineStr">
        <is>
          <t>2026-10-20</t>
        </is>
      </c>
      <c r="AF51" s="6" t="inlineStr">
        <is>
          <t>grep of design/package-v3 and design/package-v4 01-05 (lead, 2026-10-20); see also this row's earlier basis</t>
        </is>
      </c>
      <c r="AG51" s="6" t="inlineStr">
        <is>
          <t>A document quotes the Cursor tool cap, the 55K attribution or the Hajdas post</t>
        </is>
      </c>
      <c r="AH51" s="6" t="inlineStr">
        <is>
          <t>No (AUTH-016 covers web fetches for this item)</t>
        </is>
      </c>
      <c r="AI51" s="6" t="inlineStr"/>
      <c r="AJ51" s="6" t="inlineStr">
        <is>
          <t>SRC-11 section D2</t>
        </is>
      </c>
      <c r="AK51" s="6" t="inlineStr">
        <is>
          <t>SRC-06 E21</t>
        </is>
      </c>
      <c r="AL51" s="6" t="inlineStr">
        <is>
          <t>S11</t>
        </is>
      </c>
    </row>
    <row r="52" ht="240.5" customHeight="1">
      <c r="A52" s="5" t="inlineStr">
        <is>
          <t>C-E02/E22</t>
        </is>
      </c>
      <c r="B52" s="6" t="inlineStr">
        <is>
          <t>Anthropic programmatic-tool docs partial; prompt-cache tail, pricing, MCP pages not read in full</t>
        </is>
      </c>
      <c r="C52" s="6" t="inlineStr">
        <is>
          <t>DEFERRED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95</v>
      </c>
      <c r="L52" s="6" t="inlineStr">
        <is>
          <t>W2 Desk work (no model runs)</t>
        </is>
      </c>
      <c r="M52" s="6" t="inlineStr">
        <is>
          <t>S11</t>
        </is>
      </c>
      <c r="N52" s="6" t="inlineStr">
        <is>
          <t>Lead + steward</t>
        </is>
      </c>
      <c r="O52" s="6" t="inlineStr">
        <is>
          <t>none until the trigger fires</t>
        </is>
      </c>
      <c r="P52" s="6" t="inlineStr">
        <is>
          <t>Yes - stored text, unread</t>
        </is>
      </c>
      <c r="Q52" s="6" t="inlineStr">
        <is>
          <t>Source check</t>
        </is>
      </c>
      <c r="R52" s="6" t="inlineStr">
        <is>
          <t>Sub-item</t>
        </is>
      </c>
      <c r="S52" s="6" t="inlineStr">
        <is>
          <t>C-E02</t>
        </is>
      </c>
      <c r="T52" s="6" t="inlineStr">
        <is>
          <t>SRC-06 E22: Anthropic programmatic docs partial; prompt-cache tail, pricing and MCP pages not read in full.</t>
        </is>
      </c>
      <c r="U52"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2" s="6" t="inlineStr">
        <is>
          <t>Original read; claims it affects revised or marked unverified.</t>
        </is>
      </c>
      <c r="W52" s="6" t="inlineStr"/>
      <c r="X52" s="6" t="inlineStr"/>
      <c r="Y52" s="6" t="inlineStr"/>
      <c r="Z52" s="6" t="inlineStr"/>
      <c r="AA52" s="6" t="inlineStr"/>
      <c r="AB52" s="6" t="inlineStr">
        <is>
          <t>SOURCE+ACCESS</t>
        </is>
      </c>
      <c r="AC52" s="6" t="inlineStr">
        <is>
          <t>n/a (sub-item)</t>
        </is>
      </c>
      <c r="AD52" s="6" t="inlineStr">
        <is>
          <t>NEW (SRC-11 sub-row)</t>
        </is>
      </c>
      <c r="AE52" s="6" t="inlineStr">
        <is>
          <t>2026-10-20</t>
        </is>
      </c>
      <c r="AF52" s="6" t="inlineStr">
        <is>
          <t>grep of design/package-v3 and design/package-v4 01-05 (lead, 2026-10-20); see also this row's earlier basis</t>
        </is>
      </c>
      <c r="AG52" s="6" t="inlineStr">
        <is>
          <t>A claim depends on the unread body of the programmatic page or the tail of the prompt-caching page</t>
        </is>
      </c>
      <c r="AH52" s="6" t="inlineStr">
        <is>
          <t>No (AUTH-016 covers web fetches for this item)</t>
        </is>
      </c>
      <c r="AI52" s="6" t="inlineStr"/>
      <c r="AJ52" s="6" t="inlineStr">
        <is>
          <t>SRC-11 section D2</t>
        </is>
      </c>
      <c r="AK52" s="6" t="inlineStr">
        <is>
          <t>SRC-06 E22</t>
        </is>
      </c>
      <c r="AL52" s="6" t="inlineStr">
        <is>
          <t>S11</t>
        </is>
      </c>
    </row>
    <row r="53" ht="300" customHeight="1">
      <c r="A53" s="5" t="inlineStr">
        <is>
          <t>C-E02/E23</t>
        </is>
      </c>
      <c r="B53" s="6" t="inlineStr">
        <is>
          <t>CE-MCP figures, ToolRet Figure 6, ToolShed trade-off not rendered</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96</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E23: CE-MCP figures, ToolRet Figure 6 and the ToolShed trade-off were not rendered.</t>
        </is>
      </c>
      <c r="U53"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3" s="6" t="inlineStr">
        <is>
          <t>Original read; claims it affects revised or marked unverified.</t>
        </is>
      </c>
      <c r="W53" s="6" t="inlineStr"/>
      <c r="X53" s="6" t="inlineStr"/>
      <c r="Y53" s="6" t="inlineStr">
        <is>
          <t>Q-U22</t>
        </is>
      </c>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a G2 or G3 oracle value, or Figure 6</t>
        </is>
      </c>
      <c r="AH53" s="6" t="inlineStr">
        <is>
          <t>No (AUTH-016 covers web fetches for this item)</t>
        </is>
      </c>
      <c r="AI53" s="6" t="inlineStr"/>
      <c r="AJ53" s="6" t="inlineStr">
        <is>
          <t>SRC-11 section D2</t>
        </is>
      </c>
      <c r="AK53" s="6" t="inlineStr">
        <is>
          <t>SRC-06 E23</t>
        </is>
      </c>
      <c r="AL53" s="6" t="inlineStr">
        <is>
          <t>S11</t>
        </is>
      </c>
    </row>
    <row r="54" ht="300" customHeight="1">
      <c r="A54" s="5" t="inlineStr">
        <is>
          <t>C-E02/E24</t>
        </is>
      </c>
      <c r="B54" s="6" t="inlineStr">
        <is>
          <t>Speakeasy tables and Composio/Zapier/Pipedream/Smithery measurements missing</t>
        </is>
      </c>
      <c r="C54" s="6" t="inlineStr">
        <is>
          <t>DEFERRED</t>
        </is>
      </c>
      <c r="D54" s="6">
        <f>IFERROR(INDEX(Lists!$B$2:$B$14,MATCH(C54,Lists!$A$2:$A$14,0)),"?")</f>
        <v/>
      </c>
      <c r="E54" s="6">
        <f>IF(COUNTIFS(Links!$B$2:$B$600,A54,Links!$E$2:$E$600,"Yes")&gt;0,"REVISE","")</f>
        <v/>
      </c>
      <c r="F54" s="6">
        <f>COUNTIFS(Links!$B$2:$B$600,A54,Links!$D$2:$D$600,"No",Links!$C$2:$C$600,"&lt;&gt;INFORMS")</f>
        <v/>
      </c>
      <c r="G54" s="16" t="inlineStr">
        <is>
          <t>AUTHOR-OR-VENDOR</t>
        </is>
      </c>
      <c r="H54" s="6" t="inlineStr">
        <is>
          <t>K14 Source &amp; vendor verification</t>
        </is>
      </c>
      <c r="I54" s="6" t="inlineStr">
        <is>
          <t>G4 Before claims</t>
        </is>
      </c>
      <c r="J54" s="6" t="inlineStr">
        <is>
          <t>Normal</t>
        </is>
      </c>
      <c r="K54" s="6" t="n">
        <v>97</v>
      </c>
      <c r="L54" s="6" t="inlineStr">
        <is>
          <t>W2 Desk work (no model runs)</t>
        </is>
      </c>
      <c r="M54" s="6" t="inlineStr">
        <is>
          <t>S11</t>
        </is>
      </c>
      <c r="N54" s="6" t="inlineStr">
        <is>
          <t>Lead + steward</t>
        </is>
      </c>
      <c r="O54" s="6" t="inlineStr">
        <is>
          <t>none until the trigger fires</t>
        </is>
      </c>
      <c r="P54" s="6" t="inlineStr">
        <is>
          <t>Partly</t>
        </is>
      </c>
      <c r="Q54" s="6" t="inlineStr">
        <is>
          <t>Source check</t>
        </is>
      </c>
      <c r="R54" s="6" t="inlineStr">
        <is>
          <t>Sub-item</t>
        </is>
      </c>
      <c r="S54" s="6" t="inlineStr">
        <is>
          <t>C-E02</t>
        </is>
      </c>
      <c r="T54" s="6" t="inlineStr">
        <is>
          <t>SRC-06 E24: Speakeasy tables and Composio/Zapier/Pipedream/Smithery measurements were missing from fetched pages.</t>
        </is>
      </c>
      <c r="U54"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document quotes a measurement from Composio, Zapier, Pipedream or Smithery</t>
        </is>
      </c>
      <c r="AH54" s="6" t="inlineStr">
        <is>
          <t>No (AUTH-016 covers web fetches for this item)</t>
        </is>
      </c>
      <c r="AI54" s="6" t="inlineStr"/>
      <c r="AJ54" s="6" t="inlineStr">
        <is>
          <t>SRC-11 section D2</t>
        </is>
      </c>
      <c r="AK54" s="6" t="inlineStr">
        <is>
          <t>SRC-06 E24</t>
        </is>
      </c>
      <c r="AL54" s="6" t="inlineStr">
        <is>
          <t>S11</t>
        </is>
      </c>
    </row>
    <row r="55" ht="300" customHeight="1">
      <c r="A55" s="5" t="inlineStr">
        <is>
          <t>C-E02/E25</t>
        </is>
      </c>
      <c r="B55" s="6" t="inlineStr">
        <is>
          <t>Claude Code deferral bug reports known by title only</t>
        </is>
      </c>
      <c r="C55" s="6" t="inlineStr">
        <is>
          <t>PARTLY ANSWERED</t>
        </is>
      </c>
      <c r="D55" s="6">
        <f>IFERROR(INDEX(Lists!$B$2:$B$14,MATCH(C55,Lists!$A$2:$A$14,0)),"?")</f>
        <v/>
      </c>
      <c r="E55" s="6">
        <f>IF(COUNTIFS(Links!$B$2:$B$600,A55,Links!$E$2:$E$600,"Yes")&gt;0,"REVISE","")</f>
        <v/>
      </c>
      <c r="F55" s="6">
        <f>COUNTIFS(Links!$B$2:$B$600,A55,Links!$D$2:$D$600,"No",Links!$C$2:$C$600,"&lt;&gt;INFORMS")</f>
        <v/>
      </c>
      <c r="G55" s="16" t="inlineStr">
        <is>
          <t>AUTHOR-OR-VENDOR</t>
        </is>
      </c>
      <c r="H55" s="6" t="inlineStr">
        <is>
          <t>K14 Source &amp; vendor verification</t>
        </is>
      </c>
      <c r="I55" s="6" t="inlineStr">
        <is>
          <t>G4 Before claims</t>
        </is>
      </c>
      <c r="J55" s="6" t="inlineStr">
        <is>
          <t>Normal</t>
        </is>
      </c>
      <c r="K55" s="6" t="n">
        <v>98</v>
      </c>
      <c r="L55" s="6" t="inlineStr">
        <is>
          <t>W2 Desk work (no model runs)</t>
        </is>
      </c>
      <c r="M55" s="6" t="inlineStr">
        <is>
          <t>S11</t>
        </is>
      </c>
      <c r="N55" s="6" t="inlineStr">
        <is>
          <t>Reporters / lead</t>
        </is>
      </c>
      <c r="O55" s="6" t="inlineStr">
        <is>
          <t>Treat as a user report; verify only if the anecdote is used</t>
        </is>
      </c>
      <c r="P55" s="6" t="inlineStr">
        <is>
          <t>No</t>
        </is>
      </c>
      <c r="Q55" s="6" t="inlineStr">
        <is>
          <t>Source check</t>
        </is>
      </c>
      <c r="R55" s="6" t="inlineStr">
        <is>
          <t>Sub-item</t>
        </is>
      </c>
      <c r="S55" s="6" t="inlineStr">
        <is>
          <t>C-E02</t>
        </is>
      </c>
      <c r="T55" s="6" t="inlineStr">
        <is>
          <t>SRC-06 E25: Claude Code deferral bug reports known by titles only; the cache-read inflation anecdote is unverified.</t>
        </is>
      </c>
      <c r="U55"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 | V5 2026-10-22: one cache-bust issue stored with community data; Claude Code's tool-search docs stored</t>
        </is>
      </c>
      <c r="V55" s="6" t="inlineStr">
        <is>
          <t>Original read; claims it affects revised or marked unverified.</t>
        </is>
      </c>
      <c r="W55" s="6" t="inlineStr"/>
      <c r="X55" s="6" t="inlineStr"/>
      <c r="Y55" s="6" t="inlineStr"/>
      <c r="Z55" s="6" t="inlineStr"/>
      <c r="AA55" s="6" t="inlineStr"/>
      <c r="AB55" s="6" t="inlineStr">
        <is>
          <t>SOURCE+ACCESS</t>
        </is>
      </c>
      <c r="AC55" s="6" t="inlineStr">
        <is>
          <t>n/a (sub-item)</t>
        </is>
      </c>
      <c r="AD55" s="6" t="inlineStr">
        <is>
          <t>NEW (SRC-11 sub-row)</t>
        </is>
      </c>
      <c r="AE55" s="6" t="inlineStr">
        <is>
          <t>2026-10-22</t>
        </is>
      </c>
      <c r="AF55" s="6" t="inlineStr">
        <is>
          <t>L/v5-ccissue-92033-cachebust-20261022.txt:180-192; L/v5-claudecode-mcp-20261022.md:1441</t>
        </is>
      </c>
      <c r="AG55" s="6" t="inlineStr"/>
      <c r="AH55" s="6" t="inlineStr">
        <is>
          <t>No (AUTH-016 covers web fetches for this item)</t>
        </is>
      </c>
      <c r="AI55" s="6" t="inlineStr"/>
      <c r="AJ55" s="6" t="inlineStr">
        <is>
          <t>SRC-11 section D2</t>
        </is>
      </c>
      <c r="AK55" s="6" t="inlineStr">
        <is>
          <t>SRC-06 E25</t>
        </is>
      </c>
      <c r="AL55" s="6" t="inlineStr">
        <is>
          <t>S11</t>
        </is>
      </c>
    </row>
    <row r="56" ht="115.5" customHeight="1">
      <c r="A56" s="5" t="inlineStr">
        <is>
          <t>C-E02/E26</t>
        </is>
      </c>
      <c r="B56" s="6" t="inlineStr">
        <is>
          <t>ToolHop repo 404, Schlapbach PDF unreadable, other agent docs not fetched</t>
        </is>
      </c>
      <c r="C56" s="6" t="inlineStr">
        <is>
          <t>DEFERRED</t>
        </is>
      </c>
      <c r="D56" s="6">
        <f>IFERROR(INDEX(Lists!$B$2:$B$14,MATCH(C56,Lists!$A$2:$A$14,0)),"?")</f>
        <v/>
      </c>
      <c r="E56" s="6">
        <f>IF(COUNTIFS(Links!$B$2:$B$600,A56,Links!$E$2:$E$600,"Yes")&gt;0,"REVISE","")</f>
        <v/>
      </c>
      <c r="F56" s="6">
        <f>COUNTIFS(Links!$B$2:$B$600,A56,Links!$D$2:$D$600,"No",Links!$C$2:$C$600,"&lt;&gt;INFORMS")</f>
        <v/>
      </c>
      <c r="G56" s="14" t="inlineStr">
        <is>
          <t>SOURCE-REREAD</t>
        </is>
      </c>
      <c r="H56" s="6" t="inlineStr">
        <is>
          <t>K14 Source &amp; vendor verification</t>
        </is>
      </c>
      <c r="I56" s="6" t="inlineStr">
        <is>
          <t>G4 Before claims</t>
        </is>
      </c>
      <c r="J56" s="6" t="inlineStr">
        <is>
          <t>Normal</t>
        </is>
      </c>
      <c r="K56" s="6" t="n">
        <v>99</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E26: ToolHop repo 404, Schlapbach PDF unreadable, other agent docs not fetched.</t>
        </is>
      </c>
      <c r="U56"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the Schlapbach PDF or an agent-framework doc that is not stored</t>
        </is>
      </c>
      <c r="AH56" s="6" t="inlineStr">
        <is>
          <t>No (AUTH-016 covers web fetches for this item)</t>
        </is>
      </c>
      <c r="AI56" s="6" t="inlineStr"/>
      <c r="AJ56" s="6" t="inlineStr">
        <is>
          <t>SRC-11 section D2</t>
        </is>
      </c>
      <c r="AK56" s="6" t="inlineStr">
        <is>
          <t>SRC-06 E26</t>
        </is>
      </c>
      <c r="AL56" s="6" t="inlineStr">
        <is>
          <t>S11</t>
        </is>
      </c>
    </row>
    <row r="57" ht="190.5" customHeight="1">
      <c r="A57" s="5" t="inlineStr">
        <is>
          <t>C-E02/E29-OTHERS</t>
        </is>
      </c>
      <c r="B57" s="6" t="inlineStr">
        <is>
          <t>Papers in the garbled-table group that no live document quotes: Re-Invoke, Shi, ToolTweak, MCP-SafetyBench, CE-MCP, ToolShed trade-off</t>
        </is>
      </c>
      <c r="C57" s="6" t="inlineStr">
        <is>
          <t>DEFERRED</t>
        </is>
      </c>
      <c r="D57" s="6">
        <f>IFERROR(INDEX(Lists!$B$2:$B$14,MATCH(C57,Lists!$A$2:$A$14,0)),"?")</f>
        <v/>
      </c>
      <c r="E57" s="6">
        <f>IF(COUNTIFS(Links!$B$2:$B$600,A57,Links!$E$2:$E$600,"Yes")&gt;0,"REVISE","")</f>
        <v/>
      </c>
      <c r="F57" s="6">
        <f>COUNTIFS(Links!$B$2:$B$600,A57,Links!$D$2:$D$600,"No",Links!$C$2:$C$600,"&lt;&gt;INFORMS")</f>
        <v/>
      </c>
      <c r="G57" s="14" t="inlineStr">
        <is>
          <t>SOURCE-REREAD</t>
        </is>
      </c>
      <c r="H57" s="6" t="inlineStr">
        <is>
          <t>K14 Source &amp; vendor verification</t>
        </is>
      </c>
      <c r="I57" s="6" t="inlineStr">
        <is>
          <t>G5 Housekeeping / no block</t>
        </is>
      </c>
      <c r="J57" s="6" t="inlineStr">
        <is>
          <t>Low</t>
        </is>
      </c>
      <c r="K57" s="6" t="n">
        <v>103</v>
      </c>
      <c r="L57" s="6" t="inlineStr">
        <is>
          <t>W2 Desk work (no model runs)</t>
        </is>
      </c>
      <c r="M57" s="6" t="inlineStr">
        <is>
          <t>S11</t>
        </is>
      </c>
      <c r="N57" s="6" t="inlineStr">
        <is>
          <t>Lead + steward</t>
        </is>
      </c>
      <c r="O57" s="6" t="inlineStr">
        <is>
          <t>Render the table pages only if a claim quotes them</t>
        </is>
      </c>
      <c r="P57" s="6" t="inlineStr">
        <is>
          <t>Partly</t>
        </is>
      </c>
      <c r="Q57" s="6" t="inlineStr">
        <is>
          <t>Source check</t>
        </is>
      </c>
      <c r="R57" s="6" t="inlineStr">
        <is>
          <t>Sub-item</t>
        </is>
      </c>
      <c r="S57" s="6" t="inlineStr">
        <is>
          <t>C-E02</t>
        </is>
      </c>
      <c r="T57"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7" s="6" t="inlineStr">
        <is>
          <t>Deferred 2026-10-19 with reason and trigger, as the C-E02 criterion allows ('non-pivotal ones deferred with a reason and trigger'). The determination 'no live document quotes them' is the lead's grep and may miss a paraphrase.</t>
        </is>
      </c>
      <c r="V57" s="6" t="inlineStr">
        <is>
          <t>Reopened and read on rendered pages if any document quotes a figure from these papers; otherwise stays deferred.</t>
        </is>
      </c>
      <c r="W57" s="6" t="inlineStr"/>
      <c r="X57" s="6" t="inlineStr"/>
      <c r="Y57" s="6" t="inlineStr"/>
      <c r="Z57" s="6" t="inlineStr"/>
      <c r="AA57" s="6" t="inlineStr"/>
      <c r="AB57" s="6" t="inlineStr">
        <is>
          <t>SOURCE</t>
        </is>
      </c>
      <c r="AC57" s="6" t="inlineStr">
        <is>
          <t>n/a (sub-item)</t>
        </is>
      </c>
      <c r="AD57" s="6" t="inlineStr">
        <is>
          <t>NEW (repo sweep)</t>
        </is>
      </c>
      <c r="AE57" s="6" t="inlineStr">
        <is>
          <t>2026-10-19</t>
        </is>
      </c>
      <c r="AF57" s="6" t="inlineStr">
        <is>
          <t>grep of the live documents by the lead (2026-10-19); FND-0024 (findings/SUM-0026); EXT-0211; evidence/literature-20261019/pages/INDEX.md (page images with SHA-256; raw PDF hashes match the manifest)</t>
        </is>
      </c>
      <c r="AG57" s="6" t="inlineStr">
        <is>
          <t>Any live document, brief or thesis text quotes a figure, table or trade-off from Re-Invoke, Shi, ToolTweak, MCP-SafetyBench, CE-MCP or ToolShed</t>
        </is>
      </c>
      <c r="AH57" s="6" t="inlineStr">
        <is>
          <t>No (AUTH-016 covers web fetches for this item)</t>
        </is>
      </c>
      <c r="AI57" s="6" t="inlineStr"/>
      <c r="AJ57" s="6" t="inlineStr">
        <is>
          <t>Batch 8 split of C-E02/E23 and C-E02/E29</t>
        </is>
      </c>
      <c r="AK57" s="6" t="inlineStr"/>
      <c r="AL57" s="6" t="inlineStr">
        <is>
          <t>S11</t>
        </is>
      </c>
    </row>
    <row r="58" ht="203" customHeight="1">
      <c r="A58" s="5" t="inlineStr">
        <is>
          <t>C-E02/E30</t>
        </is>
      </c>
      <c r="B58" s="6" t="inlineStr">
        <is>
          <t>Eight listed prior-art leads never fetched</t>
        </is>
      </c>
      <c r="C58" s="6" t="inlineStr">
        <is>
          <t>OPEN</t>
        </is>
      </c>
      <c r="D58" s="6">
        <f>IFERROR(INDEX(Lists!$B$2:$B$14,MATCH(C58,Lists!$A$2:$A$14,0)),"?")</f>
        <v/>
      </c>
      <c r="E58" s="6">
        <f>IF(COUNTIFS(Links!$B$2:$B$600,A58,Links!$E$2:$E$600,"Yes")&gt;0,"REVISE","")</f>
        <v/>
      </c>
      <c r="F58" s="6">
        <f>COUNTIFS(Links!$B$2:$B$600,A58,Links!$D$2:$D$600,"No",Links!$C$2:$C$600,"&lt;&gt;INFORMS")</f>
        <v/>
      </c>
      <c r="G58" s="11" t="inlineStr">
        <is>
          <t>LITERATURE-DIRECTED</t>
        </is>
      </c>
      <c r="H58" s="6" t="inlineStr">
        <is>
          <t>K14 Source &amp; vendor verification</t>
        </is>
      </c>
      <c r="I58" s="6" t="inlineStr">
        <is>
          <t>G4 Before claims</t>
        </is>
      </c>
      <c r="J58" s="6" t="inlineStr">
        <is>
          <t>Normal</t>
        </is>
      </c>
      <c r="K58" s="6" t="n">
        <v>104</v>
      </c>
      <c r="L58" s="6" t="inlineStr">
        <is>
          <t>W2 Desk work (no model runs)</t>
        </is>
      </c>
      <c r="M58" s="6" t="inlineStr">
        <is>
          <t>S11</t>
        </is>
      </c>
      <c r="N58" s="6" t="inlineStr">
        <is>
          <t>You (supply the list) then lead</t>
        </is>
      </c>
      <c r="O58" s="6" t="inlineStr">
        <is>
          <t>Directed search (needs scope)</t>
        </is>
      </c>
      <c r="P58" s="6" t="inlineStr">
        <is>
          <t>No</t>
        </is>
      </c>
      <c r="Q58" s="6" t="inlineStr">
        <is>
          <t>Source check</t>
        </is>
      </c>
      <c r="R58" s="6" t="inlineStr">
        <is>
          <t>Sub-item</t>
        </is>
      </c>
      <c r="S58" s="6" t="inlineStr">
        <is>
          <t>C-E02</t>
        </is>
      </c>
      <c r="T58" s="6" t="inlineStr">
        <is>
          <t>SRC-06 E30: eight listed prior-art leads were never fetched by the earlier body.</t>
        </is>
      </c>
      <c r="U58" s="6" t="inlineStr">
        <is>
          <t>Names not available from SRC-11; cannot check against the repo.</t>
        </is>
      </c>
      <c r="V58" s="6" t="inlineStr">
        <is>
          <t>Original read; claims it affects revised or marked unverified.</t>
        </is>
      </c>
      <c r="W58" s="6" t="inlineStr"/>
      <c r="X58" s="6" t="inlineStr"/>
      <c r="Y58" s="6" t="inlineStr">
        <is>
          <t>Q-U23</t>
        </is>
      </c>
      <c r="Z58" s="6" t="inlineStr"/>
      <c r="AA58" s="6" t="inlineStr"/>
      <c r="AB58" s="6" t="inlineStr">
        <is>
          <t>SOURCE+ACCESS</t>
        </is>
      </c>
      <c r="AC58" s="6" t="inlineStr">
        <is>
          <t>n/a (sub-item)</t>
        </is>
      </c>
      <c r="AD58" s="6" t="inlineStr">
        <is>
          <t>NEW (SRC-11 sub-row)</t>
        </is>
      </c>
      <c r="AE58" s="6" t="inlineStr">
        <is>
          <t>2026-10-19</t>
        </is>
      </c>
      <c r="AF58" s="6" t="inlineStr">
        <is>
          <t>the list is in SRC-08 (not in .workspace)</t>
        </is>
      </c>
      <c r="AG58" s="6" t="inlineStr"/>
      <c r="AH58" s="6" t="inlineStr">
        <is>
          <t>No (AUTH-016 covers web fetches for this item)</t>
        </is>
      </c>
      <c r="AI58" s="6" t="inlineStr"/>
      <c r="AJ58" s="6" t="inlineStr">
        <is>
          <t>SRC-11 section D2</t>
        </is>
      </c>
      <c r="AK58" s="6" t="inlineStr">
        <is>
          <t>SRC-06 E30</t>
        </is>
      </c>
      <c r="AL58" s="6" t="inlineStr">
        <is>
          <t>S11</t>
        </is>
      </c>
    </row>
    <row r="59" ht="128" customHeight="1">
      <c r="A59" s="5" t="inlineStr">
        <is>
          <t>C-E02/E31</t>
        </is>
      </c>
      <c r="B59" s="6" t="inlineStr">
        <is>
          <t>ScaleMCP/MemTool/Toolshed/Manus/HAL/tau-bench and Spring AI/langgraph-bigtool: follow-up status unclear</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105</v>
      </c>
      <c r="L59" s="6" t="inlineStr">
        <is>
          <t>W2 Desk work (no model runs)</t>
        </is>
      </c>
      <c r="M59" s="6" t="inlineStr">
        <is>
          <t>S11</t>
        </is>
      </c>
      <c r="N59" s="6" t="inlineStr">
        <is>
          <t>Lead + steward</t>
        </is>
      </c>
      <c r="O59" s="6" t="inlineStr">
        <is>
          <t>Spring AI (origin r4-spring-tool-search-blog), Toolshed</t>
        </is>
      </c>
      <c r="P59" s="6" t="inlineStr">
        <is>
          <t>Partly</t>
        </is>
      </c>
      <c r="Q59" s="6" t="inlineStr">
        <is>
          <t>Source check</t>
        </is>
      </c>
      <c r="R59" s="6" t="inlineStr">
        <is>
          <t>Sub-item</t>
        </is>
      </c>
      <c r="S59" s="6" t="inlineStr">
        <is>
          <t>C-E02</t>
        </is>
      </c>
      <c r="T59" s="6" t="inlineStr">
        <is>
          <t>SRC-06 E31: ScaleMCP, MemTool, Toolshed, Manus, HAL and tau-bench groups and Spring AI / langgraph-bigtool code; follow-up status is unclear.</t>
        </is>
      </c>
      <c r="U59"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 | V5 2026-10-22: ScaleMCP, MemTool, Manus, langgraph-bigtool stored and checked by stewards (FND-0040..0042); Spring AI and Toolshed remain unread</t>
        </is>
      </c>
      <c r="V59" s="6" t="inlineStr">
        <is>
          <t>Original read; claims it affects revised or marked unverified.</t>
        </is>
      </c>
      <c r="W59" s="6" t="inlineStr"/>
      <c r="X59" s="6" t="inlineStr"/>
      <c r="Y59" s="6" t="inlineStr"/>
      <c r="Z59" s="6" t="inlineStr"/>
      <c r="AA59" s="6" t="inlineStr"/>
      <c r="AB59" s="6" t="inlineStr">
        <is>
          <t>SOURCE+ACCESS</t>
        </is>
      </c>
      <c r="AC59" s="6" t="inlineStr">
        <is>
          <t>n/a (sub-item)</t>
        </is>
      </c>
      <c r="AD59" s="6" t="inlineStr">
        <is>
          <t>NEW (SRC-11 sub-row)</t>
        </is>
      </c>
      <c r="AE59" s="6" t="inlineStr">
        <is>
          <t>2026-10-22</t>
        </is>
      </c>
      <c r="AF59" s="6" t="inlineStr">
        <is>
          <t>FND-0040, FND-0041, FND-0042</t>
        </is>
      </c>
      <c r="AG59" s="6" t="inlineStr">
        <is>
          <t>A document quotes Manus, HAL, tau-bench, Spring AI, langgraph-bigtool or Toolshed</t>
        </is>
      </c>
      <c r="AH59" s="6" t="inlineStr">
        <is>
          <t>No (AUTH-016 covers web fetches for this item)</t>
        </is>
      </c>
      <c r="AI59" s="6" t="inlineStr"/>
      <c r="AJ59" s="6" t="inlineStr">
        <is>
          <t>SRC-11 section D2</t>
        </is>
      </c>
      <c r="AK59" s="6" t="inlineStr">
        <is>
          <t>SRC-06 E31</t>
        </is>
      </c>
      <c r="AL59" s="6" t="inlineStr">
        <is>
          <t>S11</t>
        </is>
      </c>
    </row>
    <row r="60" ht="53" customHeight="1">
      <c r="A60" s="5" t="inlineStr">
        <is>
          <t>C-E02/E32</t>
        </is>
      </c>
      <c r="B60" s="6" t="inlineStr">
        <is>
          <t>95 near-miss stored texts: abstracts read, ~12 read deeper</t>
        </is>
      </c>
      <c r="C60" s="6" t="inlineStr">
        <is>
          <t>DEFERRED</t>
        </is>
      </c>
      <c r="D60" s="6">
        <f>IFERROR(INDEX(Lists!$B$2:$B$14,MATCH(C60,Lists!$A$2:$A$14,0)),"?")</f>
        <v/>
      </c>
      <c r="E60" s="6">
        <f>IF(COUNTIFS(Links!$B$2:$B$600,A60,Links!$E$2:$E$600,"Yes")&gt;0,"REVISE","")</f>
        <v/>
      </c>
      <c r="F60" s="6">
        <f>COUNTIFS(Links!$B$2:$B$600,A60,Links!$D$2:$D$600,"No",Links!$C$2:$C$600,"&lt;&gt;INFORMS")</f>
        <v/>
      </c>
      <c r="G60" s="14" t="inlineStr">
        <is>
          <t>SOURCE-REREAD</t>
        </is>
      </c>
      <c r="H60" s="6" t="inlineStr">
        <is>
          <t>K14 Source &amp; vendor verification</t>
        </is>
      </c>
      <c r="I60" s="6" t="inlineStr">
        <is>
          <t>G4 Before claims</t>
        </is>
      </c>
      <c r="J60" s="6" t="inlineStr">
        <is>
          <t>Normal</t>
        </is>
      </c>
      <c r="K60" s="6" t="n">
        <v>106</v>
      </c>
      <c r="L60" s="6" t="inlineStr">
        <is>
          <t>W2 Desk work (no model runs)</t>
        </is>
      </c>
      <c r="M60" s="6" t="inlineStr">
        <is>
          <t>S11</t>
        </is>
      </c>
      <c r="N60" s="6" t="inlineStr">
        <is>
          <t>Lead + steward</t>
        </is>
      </c>
      <c r="O60" s="6" t="inlineStr">
        <is>
          <t>none until the trigger fires</t>
        </is>
      </c>
      <c r="P60" s="6" t="inlineStr">
        <is>
          <t>Partly</t>
        </is>
      </c>
      <c r="Q60" s="6" t="inlineStr">
        <is>
          <t>Source check</t>
        </is>
      </c>
      <c r="R60" s="6" t="inlineStr">
        <is>
          <t>Sub-item</t>
        </is>
      </c>
      <c r="S60" s="6" t="inlineStr">
        <is>
          <t>C-E02</t>
        </is>
      </c>
      <c r="T60" s="6" t="inlineStr">
        <is>
          <t>SRC-06 E32: 95 near-miss stored texts had abstracts read; only about 12 were read deeper.</t>
        </is>
      </c>
      <c r="U60"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0" s="6" t="inlineStr">
        <is>
          <t>Decisive ones prioritised; broad absence claims not made.</t>
        </is>
      </c>
      <c r="W60" s="6" t="inlineStr"/>
      <c r="X60" s="6" t="inlineStr"/>
      <c r="Y60" s="6" t="inlineStr"/>
      <c r="Z60" s="6" t="inlineStr"/>
      <c r="AA60" s="6" t="inlineStr"/>
      <c r="AB60" s="6" t="inlineStr">
        <is>
          <t>SOURCE+ACCESS</t>
        </is>
      </c>
      <c r="AC60" s="6" t="inlineStr">
        <is>
          <t>n/a (sub-item)</t>
        </is>
      </c>
      <c r="AD60" s="6" t="inlineStr">
        <is>
          <t>NEW (SRC-11 sub-row)</t>
        </is>
      </c>
      <c r="AE60" s="6" t="inlineStr">
        <is>
          <t>2026-10-20</t>
        </is>
      </c>
      <c r="AF60" s="6" t="inlineStr">
        <is>
          <t>grep of design/package-v3 and design/package-v4 01-05 (lead, 2026-10-20); see also this row's earlier basis</t>
        </is>
      </c>
      <c r="AG60" s="6" t="inlineStr">
        <is>
          <t>A broad absence claim is about to be made, or a decisive near-miss text is identified</t>
        </is>
      </c>
      <c r="AH60" s="6" t="inlineStr">
        <is>
          <t>No (AUTH-016 covers web fetches for this item)</t>
        </is>
      </c>
      <c r="AI60" s="6" t="inlineStr"/>
      <c r="AJ60" s="6" t="inlineStr">
        <is>
          <t>SRC-11 section D2</t>
        </is>
      </c>
      <c r="AK60" s="6" t="inlineStr">
        <is>
          <t>SRC-06 E32</t>
        </is>
      </c>
      <c r="AL60" s="6" t="inlineStr">
        <is>
          <t>S11</t>
        </is>
      </c>
    </row>
    <row r="61" ht="153" customHeight="1">
      <c r="A61" s="5" t="inlineStr">
        <is>
          <t>C-E02/E33</t>
        </is>
      </c>
      <c r="B61" s="6" t="inlineStr">
        <is>
          <t>Historical web fetches were model-generated extracts; 'verbatim' may be paraphrase</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107</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E33: historical web fetches were model-generated extracts, so 'verbatim' quotes may be paraphrase.</t>
        </is>
      </c>
      <c r="U61"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1" s="6" t="inlineStr">
        <is>
          <t>Raw original used before any direct quote.</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Before any direct quote from a web page stored in the origin (r4-* pages): compare it with a fresh litfetch copy</t>
        </is>
      </c>
      <c r="AH61" s="6" t="inlineStr">
        <is>
          <t>No (AUTH-016 covers web fetches for this item)</t>
        </is>
      </c>
      <c r="AI61" s="6" t="inlineStr"/>
      <c r="AJ61" s="6" t="inlineStr">
        <is>
          <t>SRC-11 section D2</t>
        </is>
      </c>
      <c r="AK61" s="6" t="inlineStr">
        <is>
          <t>SRC-06 E33</t>
        </is>
      </c>
      <c r="AL61" s="6" t="inlineStr">
        <is>
          <t>S11</t>
        </is>
      </c>
    </row>
    <row r="62" ht="115.5" customHeight="1">
      <c r="A62" s="5" t="inlineStr">
        <is>
          <t>C-E02/E34</t>
        </is>
      </c>
      <c r="B62" s="6" t="inlineStr">
        <is>
          <t>Historical 'not found' claims used only 2-3 queries</t>
        </is>
      </c>
      <c r="C62" s="6" t="inlineStr">
        <is>
          <t>PARTLY ANSWERED</t>
        </is>
      </c>
      <c r="D62" s="6">
        <f>IFERROR(INDEX(Lists!$B$2:$B$14,MATCH(C62,Lists!$A$2:$A$14,0)),"?")</f>
        <v/>
      </c>
      <c r="E62" s="6">
        <f>IF(COUNTIFS(Links!$B$2:$B$600,A62,Links!$E$2:$E$600,"Yes")&gt;0,"REVISE","")</f>
        <v/>
      </c>
      <c r="F62" s="6">
        <f>COUNTIFS(Links!$B$2:$B$600,A62,Links!$D$2:$D$600,"No",Links!$C$2:$C$600,"&lt;&gt;INFORMS")</f>
        <v/>
      </c>
      <c r="G62" s="11" t="inlineStr">
        <is>
          <t>LITERATURE-DIRECTED</t>
        </is>
      </c>
      <c r="H62" s="6" t="inlineStr">
        <is>
          <t>K14 Source &amp; vendor verification</t>
        </is>
      </c>
      <c r="I62" s="6" t="inlineStr">
        <is>
          <t>G4 Before claims</t>
        </is>
      </c>
      <c r="J62" s="6" t="inlineStr">
        <is>
          <t>Normal</t>
        </is>
      </c>
      <c r="K62" s="6" t="n">
        <v>108</v>
      </c>
      <c r="L62" s="6" t="inlineStr">
        <is>
          <t>W2 Desk work (no model runs)</t>
        </is>
      </c>
      <c r="M62" s="6" t="inlineStr">
        <is>
          <t>S11</t>
        </is>
      </c>
      <c r="N62" s="6" t="inlineStr">
        <is>
          <t>Lead + steward</t>
        </is>
      </c>
      <c r="O62" s="6" t="inlineStr">
        <is>
          <t>Directed search (needs scope)</t>
        </is>
      </c>
      <c r="P62" s="6" t="inlineStr">
        <is>
          <t>Partly</t>
        </is>
      </c>
      <c r="Q62" s="6" t="inlineStr">
        <is>
          <t>Source check</t>
        </is>
      </c>
      <c r="R62" s="6" t="inlineStr">
        <is>
          <t>Sub-item</t>
        </is>
      </c>
      <c r="S62" s="6" t="inlineStr">
        <is>
          <t>C-E02</t>
        </is>
      </c>
      <c r="T62" s="6" t="inlineStr">
        <is>
          <t>SRC-06 E34: historical 'not found' claims used only 2-3 queries and missed stored sources.</t>
        </is>
      </c>
      <c r="U62"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2" s="6" t="inlineStr">
        <is>
          <t>Each absence claim carries a bounded search log.</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2026-10-19</t>
        </is>
      </c>
      <c r="AF62" s="6" t="inlineStr">
        <is>
          <t>ops/threads/T-20261019-102/TASK.md</t>
        </is>
      </c>
      <c r="AG62" s="6" t="inlineStr"/>
      <c r="AH62" s="6" t="inlineStr">
        <is>
          <t>No (AUTH-016 covers web fetches for this item)</t>
        </is>
      </c>
      <c r="AI62" s="6" t="inlineStr"/>
      <c r="AJ62" s="6" t="inlineStr">
        <is>
          <t>SRC-11 section D2</t>
        </is>
      </c>
      <c r="AK62" s="6" t="inlineStr">
        <is>
          <t>SRC-06 E34</t>
        </is>
      </c>
      <c r="AL62" s="6" t="inlineStr">
        <is>
          <t>S11</t>
        </is>
      </c>
    </row>
    <row r="63" ht="140.5" customHeight="1">
      <c r="A63" s="5" t="inlineStr">
        <is>
          <t>C-E02/STEWARDUNREAD</t>
        </is>
      </c>
      <c r="B63" s="6" t="inlineStr">
        <is>
          <t>Steward did not read appendices of TheMCPCompany, LiveMCPBench, When2Call, SING, the cache study</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109</v>
      </c>
      <c r="L63" s="6" t="inlineStr">
        <is>
          <t>W2 Desk work (no model runs)</t>
        </is>
      </c>
      <c r="M63" s="6" t="inlineStr">
        <is>
          <t>S11</t>
        </is>
      </c>
      <c r="N63" s="6" t="inlineStr">
        <is>
          <t>Lead + fresh reviewer</t>
        </is>
      </c>
      <c r="O63" s="6" t="inlineStr">
        <is>
          <t>none until the trigger fires</t>
        </is>
      </c>
      <c r="P63" s="6" t="inlineStr">
        <is>
          <t>Yes - stored text, unread</t>
        </is>
      </c>
      <c r="Q63" s="6" t="inlineStr">
        <is>
          <t>Record fix</t>
        </is>
      </c>
      <c r="R63" s="6" t="inlineStr">
        <is>
          <t>Sub-item</t>
        </is>
      </c>
      <c r="S63" s="6" t="inlineStr">
        <is>
          <t>C-E02</t>
        </is>
      </c>
      <c r="T63" s="6" t="inlineStr">
        <is>
          <t>v4-05 section 5: TheMCPCompany trajectories and appendices, LiveMCPBench appendices other than cited, When2Call appendices, SING appendices (prompts) and the cache-study appendices were not read.</t>
        </is>
      </c>
      <c r="U63"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3" s="6" t="inlineStr">
        <is>
          <t>Read if a claim depends on them.</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grep of design/package-v3 and design/package-v4 01-05 (lead, 2026-10-20); see also this row's earlier basis</t>
        </is>
      </c>
      <c r="AG63" s="6" t="inlineStr">
        <is>
          <t>A claim depends on an unread trajectory or appendix</t>
        </is>
      </c>
      <c r="AH63" s="6" t="inlineStr">
        <is>
          <t>No (AUTH-016 covers web fetches for this item)</t>
        </is>
      </c>
      <c r="AI63" s="6" t="inlineStr"/>
      <c r="AJ63" s="6" t="inlineStr">
        <is>
          <t>repo: v4-03 section 6 / RV-0005 / RV-0007</t>
        </is>
      </c>
      <c r="AK63" s="6" t="inlineStr"/>
      <c r="AL63" s="6" t="inlineStr">
        <is>
          <t>S11</t>
        </is>
      </c>
    </row>
    <row r="64" ht="90.5" customHeight="1">
      <c r="A64" s="5" t="inlineStr">
        <is>
          <t>C-X09</t>
        </is>
      </c>
      <c r="B64" s="6" t="inlineStr">
        <is>
          <t>Re-read decisive papers/tables or ask authors (the check behind C-E01..E03 and C-S19).</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K14 Source &amp; vendor verification</t>
        </is>
      </c>
      <c r="I64" s="6" t="inlineStr">
        <is>
          <t>G4 Before claims</t>
        </is>
      </c>
      <c r="J64" s="6" t="inlineStr">
        <is>
          <t>Normal</t>
        </is>
      </c>
      <c r="K64" s="6" t="n">
        <v>111</v>
      </c>
      <c r="L64" s="6" t="inlineStr">
        <is>
          <t>W2 Desk work (no model runs)</t>
        </is>
      </c>
      <c r="M64" s="6" t="inlineStr">
        <is>
          <t>S11</t>
        </is>
      </c>
      <c r="N64" s="6" t="inlineStr">
        <is>
          <t>Lead + steward</t>
        </is>
      </c>
      <c r="O64" s="6" t="inlineStr">
        <is>
          <t>You send the author asks; approve 06 row 3.29</t>
        </is>
      </c>
      <c r="P64" s="6" t="inlineStr">
        <is>
          <t>Yes - stored text, unread</t>
        </is>
      </c>
      <c r="Q64" s="6" t="inlineStr">
        <is>
          <t>Test</t>
        </is>
      </c>
      <c r="R64" s="6" t="inlineStr">
        <is>
          <t>Check</t>
        </is>
      </c>
      <c r="S64" s="6" t="inlineStr"/>
      <c r="T64" s="6" t="inlineStr">
        <is>
          <t>Re-read decisive papers/tables or ask authors (the check behind C-E01..E03 and C-S19).</t>
        </is>
      </c>
      <c r="U64"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4" s="6" t="inlineStr">
        <is>
          <t>Pivotal sources read and cited with version; authors asked where needed.</t>
        </is>
      </c>
      <c r="W64" s="6" t="inlineStr"/>
      <c r="X64" s="6" t="inlineStr">
        <is>
          <t>C-D01</t>
        </is>
      </c>
      <c r="Y64" s="6" t="inlineStr"/>
      <c r="Z64" s="6" t="inlineStr">
        <is>
          <t>AUTHOR-OR-VENDOR</t>
        </is>
      </c>
      <c r="AA64" s="6" t="inlineStr"/>
      <c r="AB64" s="6" t="inlineStr">
        <is>
          <t>SOURCE</t>
        </is>
      </c>
      <c r="AC64" s="6" t="inlineStr">
        <is>
          <t>PARTLY DONE - OPEN</t>
        </is>
      </c>
      <c r="AD64" s="6" t="inlineStr">
        <is>
          <t>NARROWED</t>
        </is>
      </c>
      <c r="AE64" s="6" t="inlineStr">
        <is>
          <t>2026-10-20</t>
        </is>
      </c>
      <c r="AF64" s="6" t="inlineStr">
        <is>
          <t>SUM-0005..0009</t>
        </is>
      </c>
      <c r="AG64" s="6" t="inlineStr"/>
      <c r="AH64" s="6" t="inlineStr">
        <is>
          <t>No (AUTH-016 covers web fetches for this item)</t>
        </is>
      </c>
      <c r="AI64" s="6" t="inlineStr"/>
      <c r="AJ64" s="6" t="inlineStr">
        <is>
          <t>SRC-11 canonical</t>
        </is>
      </c>
      <c r="AK64" s="6" t="inlineStr">
        <is>
          <t>SRC-06 X09</t>
        </is>
      </c>
      <c r="AL64" s="6" t="inlineStr">
        <is>
          <t>S11</t>
        </is>
      </c>
    </row>
    <row r="65" ht="300" customHeight="1">
      <c r="A65" s="5" t="inlineStr">
        <is>
          <t>C-S05</t>
        </is>
      </c>
      <c r="B65" s="6" t="inlineStr">
        <is>
          <t>Vendor tool-search gain (49% to 74%) has no public method or sample and is unreplicated.</t>
        </is>
      </c>
      <c r="C65" s="6" t="inlineStr">
        <is>
          <t>NOT LOCATED</t>
        </is>
      </c>
      <c r="D65" s="6">
        <f>IFERROR(INDEX(Lists!$B$2:$B$14,MATCH(C65,Lists!$A$2:$A$14,0)),"?")</f>
        <v/>
      </c>
      <c r="E65" s="6">
        <f>IF(COUNTIFS(Links!$B$2:$B$600,A65,Links!$E$2:$E$600,"Yes")&gt;0,"REVISE","")</f>
        <v/>
      </c>
      <c r="F65" s="6">
        <f>COUNTIFS(Links!$B$2:$B$600,A65,Links!$D$2:$D$600,"No",Links!$C$2:$C$600,"&lt;&gt;INFORMS")</f>
        <v/>
      </c>
      <c r="G65" s="16" t="inlineStr">
        <is>
          <t>AUTHOR-OR-VENDOR</t>
        </is>
      </c>
      <c r="H65" s="6" t="inlineStr">
        <is>
          <t>K14 Source &amp; vendor verification</t>
        </is>
      </c>
      <c r="I65" s="6" t="inlineStr">
        <is>
          <t>G4 Before claims</t>
        </is>
      </c>
      <c r="J65" s="6" t="inlineStr">
        <is>
          <t>Normal</t>
        </is>
      </c>
      <c r="K65" s="6" t="n">
        <v>113</v>
      </c>
      <c r="L65" s="6" t="inlineStr">
        <is>
          <t>W2 Desk work (no model runs)</t>
        </is>
      </c>
      <c r="M65" s="6" t="inlineStr">
        <is>
          <t>S12</t>
        </is>
      </c>
      <c r="N65" s="6" t="inlineStr">
        <is>
          <t>Vendor (or an independent benchmark)</t>
        </is>
      </c>
      <c r="O65" s="6" t="inlineStr">
        <is>
          <t>You send the drafted ask (design/ledger/notes/AUTHOR-ASKS-DRAFT-20261020.md, section 3) and record the reply; until then it waits on the authors</t>
        </is>
      </c>
      <c r="P65" s="6" t="inlineStr">
        <is>
          <t>No</t>
        </is>
      </c>
      <c r="Q65" s="6" t="inlineStr">
        <is>
          <t>Source check</t>
        </is>
      </c>
      <c r="R65" s="6" t="inlineStr">
        <is>
          <t>Item</t>
        </is>
      </c>
      <c r="S65" s="6" t="inlineStr"/>
      <c r="T65" s="6" t="inlineStr">
        <is>
          <t>Vendor tool-search gain (49% to 74%) has no public method or sample and is unreplicated.</t>
        </is>
      </c>
      <c r="U65" s="6" t="inlineStr">
        <is>
          <t>Three differently worded searches found no third-party measurement (not located is not 'does not exist').</t>
        </is>
      </c>
      <c r="V65" s="6" t="inlineStr">
        <is>
          <t>Method/data supplied, or recorded as 'not provided' and cited as a vendor claim.</t>
        </is>
      </c>
      <c r="W65" s="6" t="inlineStr"/>
      <c r="X65" s="6" t="inlineStr">
        <is>
          <t>C-S02</t>
        </is>
      </c>
      <c r="Y65" s="6" t="inlineStr"/>
      <c r="Z65" s="6" t="inlineStr">
        <is>
          <t>TEST-PILOT</t>
        </is>
      </c>
      <c r="AA65" s="6" t="inlineStr">
        <is>
          <t>K11 End-to-end comparison</t>
        </is>
      </c>
      <c r="AB65" s="6" t="inlineStr">
        <is>
          <t>SOURCE+DATA</t>
        </is>
      </c>
      <c r="AC65" s="6" t="inlineStr">
        <is>
          <t>OPEN</t>
        </is>
      </c>
      <c r="AD65" s="6" t="inlineStr">
        <is>
          <t>NOT LOCATED</t>
        </is>
      </c>
      <c r="AE65" s="6" t="inlineStr">
        <is>
          <t>2026-10-20</t>
        </is>
      </c>
      <c r="AF65" s="6" t="inlineStr">
        <is>
          <t>v4-05 section 1B and saturation note; EXT-0074</t>
        </is>
      </c>
      <c r="AG65" s="6" t="inlineStr"/>
      <c r="AH65" s="6" t="inlineStr">
        <is>
          <t>No for the ask</t>
        </is>
      </c>
      <c r="AI65" s="6" t="inlineStr"/>
      <c r="AJ65" s="6" t="inlineStr">
        <is>
          <t>SRC-11 canonical</t>
        </is>
      </c>
      <c r="AK65" s="6" t="inlineStr">
        <is>
          <t>SRC-06 S09</t>
        </is>
      </c>
      <c r="AL65" s="6" t="inlineStr">
        <is>
          <t>S12</t>
        </is>
      </c>
    </row>
    <row r="66" ht="128" customHeight="1">
      <c r="A66" s="5" t="inlineStr">
        <is>
          <t>C-S19</t>
        </is>
      </c>
      <c r="B66" s="6" t="inlineStr">
        <is>
          <t>MCPVerse v1/v2 discrepancies (score shift, copied v2 Table 4 cells, denominators, pool, reproduction, nativ...</t>
        </is>
      </c>
      <c r="C66" s="6" t="inlineStr">
        <is>
          <t>PARTLY ANSWERED</t>
        </is>
      </c>
      <c r="D66" s="6">
        <f>IFERROR(INDEX(Lists!$B$2:$B$14,MATCH(C66,Lists!$A$2:$A$14,0)),"?")</f>
        <v/>
      </c>
      <c r="E66" s="6">
        <f>IF(COUNTIFS(Links!$B$2:$B$600,A66,Links!$E$2:$E$600,"Yes")&gt;0,"REVISE","")</f>
        <v/>
      </c>
      <c r="F66" s="6">
        <f>COUNTIFS(Links!$B$2:$B$600,A66,Links!$D$2:$D$600,"No",Links!$C$2:$C$600,"&lt;&gt;INFORMS")</f>
        <v/>
      </c>
      <c r="G66" s="16" t="inlineStr">
        <is>
          <t>AUTHOR-OR-VENDOR</t>
        </is>
      </c>
      <c r="H66" s="6" t="inlineStr">
        <is>
          <t>K14 Source &amp; vendor verification</t>
        </is>
      </c>
      <c r="I66" s="6" t="inlineStr">
        <is>
          <t>G5 Housekeeping / no block</t>
        </is>
      </c>
      <c r="J66" s="6" t="inlineStr">
        <is>
          <t>Low</t>
        </is>
      </c>
      <c r="K66" s="6" t="n">
        <v>114</v>
      </c>
      <c r="L66" s="6" t="inlineStr">
        <is>
          <t>W2 Desk work (no model runs)</t>
        </is>
      </c>
      <c r="M66" s="6" t="inlineStr">
        <is>
          <t>S12</t>
        </is>
      </c>
      <c r="N66" s="6" t="inlineStr">
        <is>
          <t>Authors; or defer</t>
        </is>
      </c>
      <c r="O66" s="6" t="inlineStr">
        <is>
          <t>Author asks (S40, S41, S43 judge identity)</t>
        </is>
      </c>
      <c r="P66" s="6" t="inlineStr">
        <is>
          <t>Yes - stored text, unread</t>
        </is>
      </c>
      <c r="Q66" s="6" t="inlineStr">
        <is>
          <t>Source check</t>
        </is>
      </c>
      <c r="R66" s="6" t="inlineStr">
        <is>
          <t>Item</t>
        </is>
      </c>
      <c r="S66" s="6" t="inlineStr"/>
      <c r="T66" s="6" t="inlineStr">
        <is>
          <t>MCPVerse v1/v2 discrepancies (score shift, copied v2 Table 4 cells, denominators, pool, reproduction, native vs prompt calling).</t>
        </is>
      </c>
      <c r="U66"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6" s="6" t="inlineStr">
        <is>
          <t>Author reply or 'author unavailable' recorded; defer unless it becomes a cited premise.</t>
        </is>
      </c>
      <c r="W66" s="6" t="inlineStr"/>
      <c r="X66" s="6" t="inlineStr"/>
      <c r="Y66" s="6" t="inlineStr"/>
      <c r="Z66" s="6" t="inlineStr">
        <is>
          <t>SOURCE-REREAD, ACCEPT-LIMITATION</t>
        </is>
      </c>
      <c r="AA66" s="6" t="inlineStr"/>
      <c r="AB66" s="6" t="inlineStr">
        <is>
          <t>SOURCE+AUTHOR+DATA</t>
        </is>
      </c>
      <c r="AC66" s="6" t="inlineStr">
        <is>
          <t>PARTLY ANSWERED - OPEN</t>
        </is>
      </c>
      <c r="AD66" s="6" t="inlineStr">
        <is>
          <t>UNCHANGED</t>
        </is>
      </c>
      <c r="AE66" s="6" t="inlineStr">
        <is>
          <t>2026-10-19</t>
        </is>
      </c>
      <c r="AF66" s="6" t="inlineStr">
        <is>
          <t>FND-0026 (findings/SUM-0028); EXT-0203, EXT-0204; evidence/literature-20261019/pages/INDEX.md (MCPVerse v2 pages 5, 7, 9)</t>
        </is>
      </c>
      <c r="AG66" s="6" t="inlineStr">
        <is>
          <t>If MCPVerse becomes a cited premise</t>
        </is>
      </c>
      <c r="AH66" s="6" t="inlineStr">
        <is>
          <t>No</t>
        </is>
      </c>
      <c r="AI66" s="6" t="inlineStr"/>
      <c r="AJ66" s="6" t="inlineStr">
        <is>
          <t>SRC-11 canonical</t>
        </is>
      </c>
      <c r="AK66" s="6" t="inlineStr">
        <is>
          <t>SRC-06 S40-S46, SRC-07 23, SRC-07 24</t>
        </is>
      </c>
      <c r="AL66" s="6" t="inlineStr">
        <is>
          <t>S12</t>
        </is>
      </c>
    </row>
    <row r="67" ht="65.5" customHeight="1">
      <c r="A67" s="5" t="inlineStr">
        <is>
          <t>C-S19/S40</t>
        </is>
      </c>
      <c r="B67" s="6" t="inlineStr">
        <is>
          <t>Cause of the v1/v2 Claude score shift (judge change insufficient)</t>
        </is>
      </c>
      <c r="C67" s="6" t="inlineStr">
        <is>
          <t>PARTLY ANSWERED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G5 Housekeeping / no block</t>
        </is>
      </c>
      <c r="J67" s="6" t="inlineStr">
        <is>
          <t>Low</t>
        </is>
      </c>
      <c r="K67" s="6" t="n">
        <v>115</v>
      </c>
      <c r="L67" s="6" t="inlineStr">
        <is>
          <t>W2 Desk work (no model runs)</t>
        </is>
      </c>
      <c r="M67" s="6" t="inlineStr">
        <is>
          <t>S12</t>
        </is>
      </c>
      <c r="N67" s="6" t="inlineStr">
        <is>
          <t>Authors / team</t>
        </is>
      </c>
      <c r="O67" s="6" t="inlineStr">
        <is>
          <t>You send the drafted ask (design/ledger/notes/AUTHOR-ASKS-DRAFT-20261020.md, section 1) and record the reply; until then it waits on the authors</t>
        </is>
      </c>
      <c r="P67" s="6" t="inlineStr">
        <is>
          <t>Partly</t>
        </is>
      </c>
      <c r="Q67" s="6" t="inlineStr">
        <is>
          <t>Source check</t>
        </is>
      </c>
      <c r="R67" s="6" t="inlineStr">
        <is>
          <t>Sub-item</t>
        </is>
      </c>
      <c r="S67" s="6" t="inlineStr">
        <is>
          <t>C-S19</t>
        </is>
      </c>
      <c r="T67" s="6" t="inlineStr">
        <is>
          <t>SRC-06 S40 / SRC-07 23: a judge change does not explain the v1/v2 Claude shift; the actual cause (protocol, task/model mix, reruns) is open.</t>
        </is>
      </c>
      <c r="U67"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7" s="6" t="inlineStr">
        <is>
          <t>Authors / raw logs / reproduction.</t>
        </is>
      </c>
      <c r="W67" s="6" t="inlineStr"/>
      <c r="X67" s="6" t="inlineStr"/>
      <c r="Y67" s="6" t="inlineStr"/>
      <c r="Z67" s="6" t="inlineStr"/>
      <c r="AA67" s="6" t="inlineStr"/>
      <c r="AB67" s="6" t="inlineStr">
        <is>
          <t>SOURCE+AUTHOR</t>
        </is>
      </c>
      <c r="AC67" s="6" t="inlineStr">
        <is>
          <t>n/a (sub-item)</t>
        </is>
      </c>
      <c r="AD67" s="6" t="inlineStr">
        <is>
          <t>NEW (SRC-11 sub-row)</t>
        </is>
      </c>
      <c r="AE67" s="6" t="inlineStr">
        <is>
          <t>2026-10-20</t>
        </is>
      </c>
      <c r="AF67" s="6" t="inlineStr">
        <is>
          <t>FND-0026 (findings/SUM-0028); EXT-0203, EXT-0204; evidence/literature-20261019/pages/INDEX.md (MCPVerse v2 pages 5, 7, 9); EXT-0204</t>
        </is>
      </c>
      <c r="AG67" s="6" t="inlineStr"/>
      <c r="AH67" s="6" t="inlineStr">
        <is>
          <t>No</t>
        </is>
      </c>
      <c r="AI67" s="6" t="inlineStr"/>
      <c r="AJ67" s="6" t="inlineStr">
        <is>
          <t>SRC-11 section D3</t>
        </is>
      </c>
      <c r="AK67" s="6" t="inlineStr">
        <is>
          <t>SRC-06 S40</t>
        </is>
      </c>
      <c r="AL67" s="6" t="inlineStr">
        <is>
          <t>S12</t>
        </is>
      </c>
    </row>
    <row r="68" ht="103" customHeight="1">
      <c r="A68" s="5" t="inlineStr">
        <is>
          <t>C-S19/S41</t>
        </is>
      </c>
      <c r="B68" s="6" t="inlineStr">
        <is>
          <t>Copied cells in v2 Table 4 (Claude/Gemini)</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116</v>
      </c>
      <c r="L68" s="6" t="inlineStr">
        <is>
          <t>W2 Desk work (no model runs)</t>
        </is>
      </c>
      <c r="M68" s="6" t="inlineStr">
        <is>
          <t>S12</t>
        </is>
      </c>
      <c r="N68" s="6" t="inlineStr">
        <is>
          <t>Authors / team</t>
        </is>
      </c>
      <c r="O68" s="6" t="inlineStr">
        <is>
          <t>You send the drafted ask (design/ledger/notes/AUTHOR-ASKS-DRAFT-20261020.md, section 1) and record the reply; until then it waits on the authors</t>
        </is>
      </c>
      <c r="P68" s="6" t="inlineStr">
        <is>
          <t>Partly</t>
        </is>
      </c>
      <c r="Q68" s="6" t="inlineStr">
        <is>
          <t>Source check</t>
        </is>
      </c>
      <c r="R68" s="6" t="inlineStr">
        <is>
          <t>Sub-item</t>
        </is>
      </c>
      <c r="S68" s="6" t="inlineStr">
        <is>
          <t>C-S19</t>
        </is>
      </c>
      <c r="T68" s="6" t="inlineStr">
        <is>
          <t>SRC-06 S41 / SRC-07 24: apparent copied cells identified; the correct v2 Table 4 Claude/Gemini cells are unknown.</t>
        </is>
      </c>
      <c r="U68"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68" s="6" t="inlineStr">
        <is>
          <t>Authors / raw logs / reproduction.</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FND-0026 (findings/SUM-0028); EXT-0203, EXT-0204; evidence/literature-20261019/pages/INDEX.md (MCPVerse v2 pages 5, 7, 9)</t>
        </is>
      </c>
      <c r="AG68" s="6" t="inlineStr"/>
      <c r="AH68" s="6" t="inlineStr">
        <is>
          <t>No</t>
        </is>
      </c>
      <c r="AI68" s="6" t="inlineStr"/>
      <c r="AJ68" s="6" t="inlineStr">
        <is>
          <t>SRC-11 section D3</t>
        </is>
      </c>
      <c r="AK68" s="6" t="inlineStr">
        <is>
          <t>SRC-06 S41</t>
        </is>
      </c>
      <c r="AL68" s="6" t="inlineStr">
        <is>
          <t>S12</t>
        </is>
      </c>
    </row>
    <row r="69" ht="278" customHeight="1">
      <c r="A69" s="5" t="inlineStr">
        <is>
          <t>C-S19/S42</t>
        </is>
      </c>
      <c r="B69" s="6" t="inlineStr">
        <is>
          <t>Printed per-level counts and 250-vs-311 mismatch</t>
        </is>
      </c>
      <c r="C69" s="6" t="inlineStr">
        <is>
          <t>PARTLY ANSWERED</t>
        </is>
      </c>
      <c r="D69" s="6">
        <f>IFERROR(INDEX(Lists!$B$2:$B$14,MATCH(C69,Lists!$A$2:$A$14,0)),"?")</f>
        <v/>
      </c>
      <c r="E69" s="6">
        <f>IF(COUNTIFS(Links!$B$2:$B$600,A69,Links!$E$2:$E$600,"Yes")&gt;0,"REVISE","")</f>
        <v/>
      </c>
      <c r="F69" s="6">
        <f>COUNTIFS(Links!$B$2:$B$600,A69,Links!$D$2:$D$600,"No",Links!$C$2:$C$600,"&lt;&gt;INFORMS")</f>
        <v/>
      </c>
      <c r="G69" s="14" t="inlineStr">
        <is>
          <t>SOURCE-REREAD</t>
        </is>
      </c>
      <c r="H69" s="6" t="inlineStr">
        <is>
          <t>K14 Source &amp; vendor verification</t>
        </is>
      </c>
      <c r="I69" s="6" t="inlineStr">
        <is>
          <t>G5 Housekeeping / no block</t>
        </is>
      </c>
      <c r="J69" s="6" t="inlineStr">
        <is>
          <t>Low</t>
        </is>
      </c>
      <c r="K69" s="6" t="n">
        <v>117</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S42: printed per-level counts and a 250-vs-311 mismatch; denominators unknown.</t>
        </is>
      </c>
      <c r="U69"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69" s="6" t="inlineStr">
        <is>
          <t>Authors / raw logs / reproduction.</t>
        </is>
      </c>
      <c r="W69" s="6" t="inlineStr"/>
      <c r="X69" s="6" t="inlineStr"/>
      <c r="Y69" s="6" t="inlineStr">
        <is>
          <t>Q-U22</t>
        </is>
      </c>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t>
        </is>
      </c>
      <c r="AG69" s="6" t="inlineStr"/>
      <c r="AH69" s="6" t="inlineStr">
        <is>
          <t>No</t>
        </is>
      </c>
      <c r="AI69" s="6" t="inlineStr"/>
      <c r="AJ69" s="6" t="inlineStr">
        <is>
          <t>SRC-11 section D3</t>
        </is>
      </c>
      <c r="AK69" s="6" t="inlineStr">
        <is>
          <t>SRC-06 S42</t>
        </is>
      </c>
      <c r="AL69" s="6" t="inlineStr">
        <is>
          <t>S12</t>
        </is>
      </c>
    </row>
    <row r="70" ht="140.5" customHeight="1">
      <c r="A70" s="5" t="inlineStr">
        <is>
          <t>C-S19/S43</t>
        </is>
      </c>
      <c r="B70" s="6" t="inlineStr">
        <is>
          <t>Retrieve pool (32/65) and retrieve-mode judge behaviour</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G5 Housekeeping / no block</t>
        </is>
      </c>
      <c r="J70" s="6" t="inlineStr">
        <is>
          <t>Low</t>
        </is>
      </c>
      <c r="K70" s="6" t="n">
        <v>118</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Yes - stored text, unread</t>
        </is>
      </c>
      <c r="Q70" s="6" t="inlineStr">
        <is>
          <t>Source check</t>
        </is>
      </c>
      <c r="R70" s="6" t="inlineStr">
        <is>
          <t>Sub-item</t>
        </is>
      </c>
      <c r="S70" s="6" t="inlineStr">
        <is>
          <t>C-S19</t>
        </is>
      </c>
      <c r="T70" s="6" t="inlineStr">
        <is>
          <t>SRC-06 S43: the retrieve pool (32/65) and retrieve-mode judge behaviour are unknown.</t>
        </is>
      </c>
      <c r="U70"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S43</t>
        </is>
      </c>
      <c r="AL70" s="6" t="inlineStr">
        <is>
          <t>S12</t>
        </is>
      </c>
    </row>
    <row r="71" ht="300" customHeight="1">
      <c r="A71" s="5" t="inlineStr">
        <is>
          <t>C-S19/S44</t>
        </is>
      </c>
      <c r="B71" s="6" t="inlineStr">
        <is>
          <t>Does the released repo reproduce the paper numbers?</t>
        </is>
      </c>
      <c r="C71" s="6" t="inlineStr">
        <is>
          <t>DEFERRED</t>
        </is>
      </c>
      <c r="D71" s="6">
        <f>IFERROR(INDEX(Lists!$B$2:$B$14,MATCH(C71,Lists!$A$2:$A$14,0)),"?")</f>
        <v/>
      </c>
      <c r="E71" s="6">
        <f>IF(COUNTIFS(Links!$B$2:$B$600,A71,Links!$E$2:$E$600,"Yes")&gt;0,"REVISE","")</f>
        <v/>
      </c>
      <c r="F71" s="6">
        <f>COUNTIFS(Links!$B$2:$B$600,A71,Links!$D$2:$D$600,"No",Links!$C$2:$C$600,"&lt;&gt;INFORMS")</f>
        <v/>
      </c>
      <c r="G71" s="17" t="inlineStr">
        <is>
          <t>TEST-PILOT</t>
        </is>
      </c>
      <c r="H71" s="6" t="inlineStr">
        <is>
          <t>K14 Source &amp; vendor verification</t>
        </is>
      </c>
      <c r="I71" s="6" t="inlineStr">
        <is>
          <t>G5 Housekeeping / no block</t>
        </is>
      </c>
      <c r="J71" s="6" t="inlineStr">
        <is>
          <t>Low</t>
        </is>
      </c>
      <c r="K71" s="6" t="n">
        <v>119</v>
      </c>
      <c r="L71" s="6" t="inlineStr">
        <is>
          <t>W2 Desk work (no model runs)</t>
        </is>
      </c>
      <c r="M71" s="6" t="inlineStr">
        <is>
          <t>S12</t>
        </is>
      </c>
      <c r="N71" s="6" t="inlineStr">
        <is>
          <t>Authors / team</t>
        </is>
      </c>
      <c r="O71" s="6" t="inlineStr">
        <is>
          <t>none until the trigger fires</t>
        </is>
      </c>
      <c r="P71" s="6" t="inlineStr">
        <is>
          <t>No</t>
        </is>
      </c>
      <c r="Q71" s="6" t="inlineStr">
        <is>
          <t>Source check</t>
        </is>
      </c>
      <c r="R71" s="6" t="inlineStr">
        <is>
          <t>Sub-item</t>
        </is>
      </c>
      <c r="S71" s="6" t="inlineStr">
        <is>
          <t>C-S19</t>
        </is>
      </c>
      <c r="T71" s="6" t="inlineStr">
        <is>
          <t>SRC-06 S44: whether the released repository reproduces the paper's numbers is unknown (no reproduction in reviewed material).</t>
        </is>
      </c>
      <c r="U71" s="6" t="inlineStr">
        <is>
          <t>No reproduction anywhere in the repo. 2026-10-21 (AUTH-019): reproducing the MCPVerse authors' numbers is not needed for the policy: the paper's numbers are cited as the authors' claims only and nothing is built on them (FND-0037 (findings/SUM-0039)).</t>
        </is>
      </c>
      <c r="V71" s="6" t="inlineStr">
        <is>
          <t>Authors / raw logs / reproduction.</t>
        </is>
      </c>
      <c r="W71" s="6" t="inlineStr"/>
      <c r="X71" s="6" t="inlineStr"/>
      <c r="Y71" s="6" t="inlineStr"/>
      <c r="Z71" s="6" t="inlineStr"/>
      <c r="AA71" s="6" t="inlineStr"/>
      <c r="AB71" s="6" t="inlineStr">
        <is>
          <t>DATA</t>
        </is>
      </c>
      <c r="AC71" s="6" t="inlineStr">
        <is>
          <t>n/a (sub-item)</t>
        </is>
      </c>
      <c r="AD71" s="6" t="inlineStr">
        <is>
          <t>NEW (SRC-11 sub-row)</t>
        </is>
      </c>
      <c r="AE71" s="6" t="inlineStr">
        <is>
          <t>2026-10-21</t>
        </is>
      </c>
      <c r="AF71" s="6" t="inlineStr">
        <is>
          <t>FND-0037 (findings/SUM-0039)</t>
        </is>
      </c>
      <c r="AG71" s="6" t="inlineStr">
        <is>
          <t>A design choice is about to rest on MCPVerse numbers</t>
        </is>
      </c>
      <c r="AH71" s="6" t="inlineStr">
        <is>
          <t>No</t>
        </is>
      </c>
      <c r="AI71" s="6" t="inlineStr"/>
      <c r="AJ71" s="6" t="inlineStr">
        <is>
          <t>SRC-11 section D3</t>
        </is>
      </c>
      <c r="AK71" s="6" t="inlineStr">
        <is>
          <t>SRC-06 S44</t>
        </is>
      </c>
      <c r="AL71" s="6" t="inlineStr">
        <is>
          <t>S12</t>
        </is>
      </c>
    </row>
    <row r="72" ht="300" customHeight="1">
      <c r="A72" s="5" t="inlineStr">
        <is>
          <t>C-S19/S46</t>
        </is>
      </c>
      <c r="B72" s="6" t="inlineStr">
        <is>
          <t>Native vs prompt calling: frozen report's 'workaround' wording</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G5 Housekeeping / no block</t>
        </is>
      </c>
      <c r="J72" s="6" t="inlineStr">
        <is>
          <t>Low</t>
        </is>
      </c>
      <c r="K72" s="6" t="n">
        <v>121</v>
      </c>
      <c r="L72" s="6" t="inlineStr">
        <is>
          <t>W2 Desk work (no model runs)</t>
        </is>
      </c>
      <c r="M72" s="6" t="inlineStr">
        <is>
          <t>S12</t>
        </is>
      </c>
      <c r="N72" s="6" t="inlineStr">
        <is>
          <t>Authors / team</t>
        </is>
      </c>
      <c r="O72" s="6" t="inlineStr">
        <is>
          <t>Lead drafts the fix; you approve</t>
        </is>
      </c>
      <c r="P72" s="6" t="inlineStr">
        <is>
          <t>No</t>
        </is>
      </c>
      <c r="Q72" s="6" t="inlineStr">
        <is>
          <t>Source check</t>
        </is>
      </c>
      <c r="R72" s="6" t="inlineStr">
        <is>
          <t>Sub-item</t>
        </is>
      </c>
      <c r="S72" s="6" t="inlineStr">
        <is>
          <t>C-S19</t>
        </is>
      </c>
      <c r="T72" s="6" t="inlineStr">
        <is>
          <t>SRC-06 S46: native versus prompt calling is a different treatment; the frozen report's 'workaround' wording needs correcting.</t>
        </is>
      </c>
      <c r="U72" s="6" t="inlineStr">
        <is>
          <t>Outside the repo.</t>
        </is>
      </c>
      <c r="V72" s="6" t="inlineStr">
        <is>
          <t>Authors / raw logs / reproduction.</t>
        </is>
      </c>
      <c r="W72" s="6" t="inlineStr"/>
      <c r="X72" s="6" t="inlineStr"/>
      <c r="Y72" s="6" t="inlineStr"/>
      <c r="Z72" s="6" t="inlineStr"/>
      <c r="AA72" s="6" t="inlineStr"/>
      <c r="AB72" s="6" t="inlineStr">
        <is>
          <t>RECORD</t>
        </is>
      </c>
      <c r="AC72" s="6" t="inlineStr">
        <is>
          <t>n/a (sub-item)</t>
        </is>
      </c>
      <c r="AD72" s="6" t="inlineStr">
        <is>
          <t>NEW (SRC-11 sub-row)</t>
        </is>
      </c>
      <c r="AE72" s="6" t="inlineStr">
        <is>
          <t>2026-10-19</t>
        </is>
      </c>
      <c r="AF72" s="6" t="inlineStr">
        <is>
          <t>Phase 1 report outside repo</t>
        </is>
      </c>
      <c r="AG72" s="6" t="inlineStr"/>
      <c r="AH72" s="6" t="inlineStr">
        <is>
          <t>No</t>
        </is>
      </c>
      <c r="AI72" s="6" t="inlineStr"/>
      <c r="AJ72" s="6" t="inlineStr">
        <is>
          <t>SRC-11 section D3</t>
        </is>
      </c>
      <c r="AK72" s="6" t="inlineStr">
        <is>
          <t>SRC-06 S46</t>
        </is>
      </c>
      <c r="AL72" s="6" t="inlineStr">
        <is>
          <t>S12</t>
        </is>
      </c>
    </row>
    <row r="73" ht="78" customHeight="1">
      <c r="A73" s="5" t="inlineStr">
        <is>
          <t>AS-09</t>
        </is>
      </c>
      <c r="B73" s="6" t="inlineStr">
        <is>
          <t>Supervisor assertion A9: The partial-information idea comes from another party's documentation</t>
        </is>
      </c>
      <c r="C73" s="6" t="inlineStr">
        <is>
          <t>PARTLY ANSWERED</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G5 Housekeeping / no block</t>
        </is>
      </c>
      <c r="J73" s="6" t="inlineStr">
        <is>
          <t>Low</t>
        </is>
      </c>
      <c r="K73" s="6" t="n">
        <v>126</v>
      </c>
      <c r="L73" s="6" t="inlineStr">
        <is>
          <t>W2 Desk work (no model runs)</t>
        </is>
      </c>
      <c r="M73" s="6" t="inlineStr">
        <is>
          <t>S13</t>
        </is>
      </c>
      <c r="N73" s="6" t="inlineStr">
        <is>
          <t>Lead / team</t>
        </is>
      </c>
      <c r="O73" s="6" t="inlineStr">
        <is>
          <t>Q-J28 (source the supervisor meant)</t>
        </is>
      </c>
      <c r="P73" s="6" t="inlineStr">
        <is>
          <t>No</t>
        </is>
      </c>
      <c r="Q73" s="6" t="inlineStr">
        <is>
          <t>Claim to test</t>
        </is>
      </c>
      <c r="R73" s="6" t="inlineStr">
        <is>
          <t>Item</t>
        </is>
      </c>
      <c r="S73" s="6" t="inlineStr"/>
      <c r="T73" s="6" t="inlineStr">
        <is>
          <t>REQ-A1 A9: The partial-information idea comes from another party's documentation. Source unnamed; prior art to locate.</t>
        </is>
      </c>
      <c r="U73"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 | V5 2026-10-22: vendors ship partial-information tiers: an OpenAI deferred function shows name and description, schema deferred; a namespace shows only its own description</t>
        </is>
      </c>
      <c r="V73" s="6" t="inlineStr">
        <is>
          <t>Source unnamed; prior art to locate.</t>
        </is>
      </c>
      <c r="W73" s="6" t="inlineStr"/>
      <c r="X73" s="6" t="inlineStr"/>
      <c r="Y73" s="6" t="inlineStr">
        <is>
          <t>Q-J28</t>
        </is>
      </c>
      <c r="Z73" s="6" t="inlineStr"/>
      <c r="AA73" s="6" t="inlineStr"/>
      <c r="AB73" s="6" t="inlineStr">
        <is>
          <t>SOURCE</t>
        </is>
      </c>
      <c r="AC73" s="6" t="inlineStr">
        <is>
          <t>n/a (REGISTER E)</t>
        </is>
      </c>
      <c r="AD73" s="6" t="inlineStr">
        <is>
          <t>NEW (repo sweep)</t>
        </is>
      </c>
      <c r="AE73" s="6" t="inlineStr">
        <is>
          <t>2026-10-22</t>
        </is>
      </c>
      <c r="AF73" s="6" t="inlineStr">
        <is>
          <t>L/v5-openai-tool-search-20261022.md:22</t>
        </is>
      </c>
      <c r="AG73" s="6" t="inlineStr"/>
      <c r="AH73" s="6" t="inlineStr">
        <is>
          <t>No</t>
        </is>
      </c>
      <c r="AI73" s="6" t="inlineStr"/>
      <c r="AJ73" s="6" t="inlineStr">
        <is>
          <t>repo: REGISTER section E / EXT-0004</t>
        </is>
      </c>
      <c r="AK73" s="6" t="inlineStr">
        <is>
          <t>REQ-A1 A9</t>
        </is>
      </c>
      <c r="AL73" s="6" t="inlineStr">
        <is>
          <t>S11</t>
        </is>
      </c>
    </row>
    <row r="74" ht="28" customHeight="1">
      <c r="A74" s="5" t="inlineStr">
        <is>
          <t>C-E02/UNREADLEADS</t>
        </is>
      </c>
      <c r="B74" s="6" t="inlineStr">
        <is>
          <t>Reference lists (KAIST, cache study), agent-memory survey 2602.06052 not read</t>
        </is>
      </c>
      <c r="C74" s="6" t="inlineStr">
        <is>
          <t>DEFERRED</t>
        </is>
      </c>
      <c r="D74" s="6">
        <f>IFERROR(INDEX(Lists!$B$2:$B$14,MATCH(C74,Lists!$A$2:$A$14,0)),"?")</f>
        <v/>
      </c>
      <c r="E74" s="6">
        <f>IF(COUNTIFS(Links!$B$2:$B$600,A74,Links!$E$2:$E$600,"Yes")&gt;0,"REVISE","")</f>
        <v/>
      </c>
      <c r="F74" s="6">
        <f>COUNTIFS(Links!$B$2:$B$600,A74,Links!$D$2:$D$600,"No",Links!$C$2:$C$600,"&lt;&gt;INFORMS")</f>
        <v/>
      </c>
      <c r="G74" s="11" t="inlineStr">
        <is>
          <t>LITERATURE-DIRECTED</t>
        </is>
      </c>
      <c r="H74" s="6" t="inlineStr">
        <is>
          <t>K14 Source &amp; vendor verification</t>
        </is>
      </c>
      <c r="I74" s="6" t="inlineStr">
        <is>
          <t>G4 Before claims</t>
        </is>
      </c>
      <c r="J74" s="6" t="inlineStr">
        <is>
          <t>Normal</t>
        </is>
      </c>
      <c r="K74" s="6" t="n">
        <v>127</v>
      </c>
      <c r="L74" s="6" t="inlineStr">
        <is>
          <t>W2 Desk work (no model runs)</t>
        </is>
      </c>
      <c r="M74" s="6" t="inlineStr">
        <is>
          <t>S13</t>
        </is>
      </c>
      <c r="N74" s="6" t="inlineStr">
        <is>
          <t>Lead + fresh reviewer</t>
        </is>
      </c>
      <c r="O74" s="6" t="inlineStr">
        <is>
          <t>none until the trigger fires</t>
        </is>
      </c>
      <c r="P74" s="6" t="inlineStr">
        <is>
          <t>Partly</t>
        </is>
      </c>
      <c r="Q74" s="6" t="inlineStr">
        <is>
          <t>Record fix</t>
        </is>
      </c>
      <c r="R74" s="6" t="inlineStr">
        <is>
          <t>Sub-item</t>
        </is>
      </c>
      <c r="S74" s="6" t="inlineStr">
        <is>
          <t>C-E02</t>
        </is>
      </c>
      <c r="T74" s="6" t="inlineStr">
        <is>
          <t>v4-05 section 5 'not done': reference lists of KAIST and the cache study and the agent-memory survey (arXiv 2602.06052) were not read.</t>
        </is>
      </c>
      <c r="U74"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4" s="6" t="inlineStr">
        <is>
          <t>Read or marked out of scope.</t>
        </is>
      </c>
      <c r="W74" s="6" t="inlineStr"/>
      <c r="X74" s="6" t="inlineStr"/>
      <c r="Y74" s="6" t="inlineStr">
        <is>
          <t>Q-U21</t>
        </is>
      </c>
      <c r="Z74" s="6" t="inlineStr"/>
      <c r="AA74" s="6" t="inlineStr"/>
      <c r="AB74" s="6" t="inlineStr">
        <is>
          <t>RECORD+SOURCE</t>
        </is>
      </c>
      <c r="AC74" s="6" t="inlineStr">
        <is>
          <t>n/a (sub-item)</t>
        </is>
      </c>
      <c r="AD74" s="6" t="inlineStr">
        <is>
          <t>NEW (repo sweep)</t>
        </is>
      </c>
      <c r="AE74" s="6" t="inlineStr">
        <is>
          <t>2026-10-20</t>
        </is>
      </c>
      <c r="AF74" s="6" t="inlineStr">
        <is>
          <t>FND-0032 (findings/SUM-0034); evidence/literature-20261019/pdf-memory-survey-2602.06052.txt</t>
        </is>
      </c>
      <c r="AG74" s="6" t="inlineStr">
        <is>
          <t>A claim depends on a paper cited in the KAIST or cache-study reference lists, or on a survey section not read (lines 560-1015, 1777-2340, 2500-3005, 3065-3370)</t>
        </is>
      </c>
      <c r="AH74" s="6" t="inlineStr">
        <is>
          <t>No (AUTH-016 covers web fetches for this item)</t>
        </is>
      </c>
      <c r="AI74" s="6" t="inlineStr"/>
      <c r="AJ74" s="6" t="inlineStr">
        <is>
          <t>repo: v4-03 section 6 / RV-0005 / RV-0007</t>
        </is>
      </c>
      <c r="AK74" s="6" t="inlineStr"/>
      <c r="AL74" s="6" t="inlineStr">
        <is>
          <t>S13</t>
        </is>
      </c>
    </row>
    <row r="75" ht="300" customHeight="1">
      <c r="A75" s="5" t="inlineStr">
        <is>
          <t>N-19</t>
        </is>
      </c>
      <c r="B75" s="6" t="inlineStr">
        <is>
          <t>Stale counts and safeguard text in records</t>
        </is>
      </c>
      <c r="C75" s="6" t="inlineStr">
        <is>
          <t>PARTLY ANSWERED</t>
        </is>
      </c>
      <c r="D75" s="6">
        <f>IFERROR(INDEX(Lists!$B$2:$B$14,MATCH(C75,Lists!$A$2:$A$14,0)),"?")</f>
        <v/>
      </c>
      <c r="E75" s="6">
        <f>IF(COUNTIFS(Links!$B$2:$B$600,A75,Links!$E$2:$E$600,"Yes")&gt;0,"REVISE","")</f>
        <v/>
      </c>
      <c r="F75" s="6">
        <f>COUNTIFS(Links!$B$2:$B$600,A75,Links!$D$2:$D$600,"No",Links!$C$2:$C$600,"&lt;&gt;INFORMS")</f>
        <v/>
      </c>
      <c r="G75" s="8" t="inlineStr">
        <is>
          <t>RECORDS-AT-HAND</t>
        </is>
      </c>
      <c r="H75" s="6" t="inlineStr">
        <is>
          <t>K17 Record repair &amp; procedure error</t>
        </is>
      </c>
      <c r="I75" s="6" t="inlineStr">
        <is>
          <t>G5 Housekeeping / no block</t>
        </is>
      </c>
      <c r="J75" s="6" t="inlineStr">
        <is>
          <t>Low</t>
        </is>
      </c>
      <c r="K75" s="6" t="n">
        <v>130</v>
      </c>
      <c r="L75" s="6" t="inlineStr">
        <is>
          <t>W2 Desk work (no model runs)</t>
        </is>
      </c>
      <c r="M75" s="6" t="inlineStr">
        <is>
          <t>S15</t>
        </is>
      </c>
      <c r="N75" s="6" t="inlineStr">
        <is>
          <t>Lead (STATE, v4-05); you (pinned files)</t>
        </is>
      </c>
      <c r="O75" s="6" t="inlineStr">
        <is>
          <t>You decide whether the proposed wording for CLAUDE.md and SAFEGUARDS rows 5 and 17 may be applied</t>
        </is>
      </c>
      <c r="P75" s="6" t="inlineStr">
        <is>
          <t>Answered (see basis)</t>
        </is>
      </c>
      <c r="Q75" s="6" t="inlineStr">
        <is>
          <t>Record fix</t>
        </is>
      </c>
      <c r="R75" s="6" t="inlineStr">
        <is>
          <t>Item</t>
        </is>
      </c>
      <c r="S75" s="6" t="inlineStr"/>
      <c r="T75" s="6" t="inlineStr">
        <is>
          <t>STATE says AUTH-013 had 23 searches / 32 sources; v4-05 section 5 says 18 / 28 while its header says 27 / 37 (manifest has 37 rows); SAFEGUARDS rows 5 and 17 and CLAUDE.md predate AUTH-012/014/015.</t>
        </is>
      </c>
      <c r="U75"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5" s="6" t="inlineStr">
        <is>
          <t>Counts and safeguard text updated.</t>
        </is>
      </c>
      <c r="W75" s="6" t="inlineStr"/>
      <c r="X75" s="6" t="inlineStr"/>
      <c r="Y75" s="6" t="inlineStr">
        <is>
          <t>Q-U11</t>
        </is>
      </c>
      <c r="Z75" s="6" t="inlineStr"/>
      <c r="AA75" s="6" t="inlineStr"/>
      <c r="AB75" s="6" t="inlineStr">
        <is>
          <t>RECORD</t>
        </is>
      </c>
      <c r="AC75" s="6" t="inlineStr">
        <is>
          <t>n/a (new)</t>
        </is>
      </c>
      <c r="AD75" s="6" t="inlineStr">
        <is>
          <t>NEW (repo sweep)</t>
        </is>
      </c>
      <c r="AE75" s="6" t="inlineStr">
        <is>
          <t>2026-10-20</t>
        </is>
      </c>
      <c r="AF75" s="6" t="inlineStr">
        <is>
          <t>reviews/RV-0015.md; evidence/literature-20261019/README.md</t>
        </is>
      </c>
      <c r="AG75" s="6" t="inlineStr"/>
      <c r="AH75" s="6" t="inlineStr">
        <is>
          <t>No</t>
        </is>
      </c>
      <c r="AI75" s="6" t="inlineStr"/>
      <c r="AJ75" s="6" t="inlineStr">
        <is>
          <t>review 19 Oct section 6.6</t>
        </is>
      </c>
      <c r="AK75" s="6" t="inlineStr"/>
      <c r="AL75" s="6" t="inlineStr">
        <is>
          <t>S03</t>
        </is>
      </c>
    </row>
    <row r="76" ht="300" customHeight="1">
      <c r="A76" s="5" t="inlineStr">
        <is>
          <t>C-R01/C03</t>
        </is>
      </c>
      <c r="B76" s="6" t="inlineStr">
        <is>
          <t>R6 timing, query source, recovery assumptions</t>
        </is>
      </c>
      <c r="C76" s="6" t="inlineStr">
        <is>
          <t>PARTLY ANSWERED</t>
        </is>
      </c>
      <c r="D76" s="6">
        <f>IFERROR(INDEX(Lists!$B$2:$B$14,MATCH(C76,Lists!$A$2:$A$14,0)),"?")</f>
        <v/>
      </c>
      <c r="E76" s="6">
        <f>IF(COUNTIFS(Links!$B$2:$B$600,A76,Links!$E$2:$E$600,"Yes")&gt;0,"REVISE","")</f>
        <v/>
      </c>
      <c r="F76" s="6">
        <f>COUNTIFS(Links!$B$2:$B$600,A76,Links!$D$2:$D$600,"No",Links!$C$2:$C$600,"&lt;&gt;INFORMS")</f>
        <v/>
      </c>
      <c r="G76" s="8" t="inlineStr">
        <is>
          <t>RECORDS-AT-HAND</t>
        </is>
      </c>
      <c r="H76" s="6" t="inlineStr">
        <is>
          <t>K17 Record repair &amp; procedure error</t>
        </is>
      </c>
      <c r="I76" s="6" t="inlineStr">
        <is>
          <t>G3 Before confirmatory study</t>
        </is>
      </c>
      <c r="J76" s="6" t="inlineStr">
        <is>
          <t>Normal</t>
        </is>
      </c>
      <c r="K76" s="6" t="n">
        <v>133</v>
      </c>
      <c r="L76" s="6" t="inlineStr">
        <is>
          <t>W2 Desk work (no model runs)</t>
        </is>
      </c>
      <c r="M76" s="6" t="inlineStr">
        <is>
          <t>S15</t>
        </is>
      </c>
      <c r="N76" s="6" t="inlineStr">
        <is>
          <t>Lead + fresh reviewer</t>
        </is>
      </c>
      <c r="O76" s="6" t="inlineStr">
        <is>
          <t>You approve RA14 and choose among the R1TRIG options</t>
        </is>
      </c>
      <c r="P76" s="6" t="inlineStr">
        <is>
          <t>Partly</t>
        </is>
      </c>
      <c r="Q76" s="6" t="inlineStr">
        <is>
          <t>Scientific unknown</t>
        </is>
      </c>
      <c r="R76" s="6" t="inlineStr">
        <is>
          <t>Sub-item</t>
        </is>
      </c>
      <c r="S76" s="6" t="inlineStr">
        <is>
          <t>C-R01</t>
        </is>
      </c>
      <c r="T76" s="6" t="inlineStr">
        <is>
          <t>SRC-06 C03: R6 (trigger) timing, scripted-query provenance, recovery assumptions.</t>
        </is>
      </c>
      <c r="U76"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6" s="6" t="inlineStr">
        <is>
          <t>Independent re-check and a dated fix.</t>
        </is>
      </c>
      <c r="W76" s="6" t="inlineStr"/>
      <c r="X76" s="6" t="inlineStr"/>
      <c r="Y76" s="6" t="inlineStr"/>
      <c r="Z76" s="6" t="inlineStr"/>
      <c r="AA76" s="6" t="inlineStr"/>
      <c r="AB76" s="6" t="inlineStr">
        <is>
          <t>RECORD+DATA</t>
        </is>
      </c>
      <c r="AC76" s="6" t="inlineStr">
        <is>
          <t>n/a (sub-item)</t>
        </is>
      </c>
      <c r="AD76" s="6" t="inlineStr">
        <is>
          <t>NEW (SRC-11 sub-row)</t>
        </is>
      </c>
      <c r="AE76" s="6" t="inlineStr">
        <is>
          <t>2026-10-20</t>
        </is>
      </c>
      <c r="AF76" s="6" t="inlineStr">
        <is>
          <t>reviews/RV-0008.md (fresh reviewer, same model family, read the current text); design/package-v4/06-corrections-proposed.md</t>
        </is>
      </c>
      <c r="AG76" s="6" t="inlineStr"/>
      <c r="AH76" s="6" t="inlineStr">
        <is>
          <t>No</t>
        </is>
      </c>
      <c r="AI76" s="6" t="inlineStr"/>
      <c r="AJ76" s="6" t="inlineStr">
        <is>
          <t>SRC-11 section D4</t>
        </is>
      </c>
      <c r="AK76" s="6" t="inlineStr">
        <is>
          <t>SRC-06 C03, CH-0041</t>
        </is>
      </c>
      <c r="AL76" s="6" t="inlineStr">
        <is>
          <t>S09</t>
        </is>
      </c>
    </row>
    <row r="77" ht="300" customHeight="1">
      <c r="A77" s="5" t="inlineStr">
        <is>
          <t>C-R01/C04</t>
        </is>
      </c>
      <c r="B77" s="6" t="inlineStr">
        <is>
          <t>Outcome-split accounting, provider usage, task shedding</t>
        </is>
      </c>
      <c r="C77" s="6" t="inlineStr">
        <is>
          <t>PARTLY ANSWERED</t>
        </is>
      </c>
      <c r="D77" s="6">
        <f>IFERROR(INDEX(Lists!$B$2:$B$14,MATCH(C77,Lists!$A$2:$A$14,0)),"?")</f>
        <v/>
      </c>
      <c r="E77" s="6">
        <f>IF(COUNTIFS(Links!$B$2:$B$600,A77,Links!$E$2:$E$600,"Yes")&gt;0,"REVISE","")</f>
        <v/>
      </c>
      <c r="F77" s="6">
        <f>COUNTIFS(Links!$B$2:$B$600,A77,Links!$D$2:$D$600,"No",Links!$C$2:$C$600,"&lt;&gt;INFORMS")</f>
        <v/>
      </c>
      <c r="G77" s="17" t="inlineStr">
        <is>
          <t>TEST-PILOT</t>
        </is>
      </c>
      <c r="H77" s="6" t="inlineStr">
        <is>
          <t>K17 Record repair &amp; procedure error</t>
        </is>
      </c>
      <c r="I77" s="6" t="inlineStr">
        <is>
          <t>G3 Before confirmatory study</t>
        </is>
      </c>
      <c r="J77" s="6" t="inlineStr">
        <is>
          <t>Normal</t>
        </is>
      </c>
      <c r="K77" s="6" t="n">
        <v>134</v>
      </c>
      <c r="L77" s="6" t="inlineStr">
        <is>
          <t>W2 Desk work (no model runs)</t>
        </is>
      </c>
      <c r="M77" s="6" t="inlineStr">
        <is>
          <t>S15</t>
        </is>
      </c>
      <c r="N77" s="6" t="inlineStr">
        <is>
          <t>Lead + fresh reviewer</t>
        </is>
      </c>
      <c r="O77" s="6" t="inlineStr">
        <is>
          <t>Test only the remainder, in the proof-of-concept loop</t>
        </is>
      </c>
      <c r="P77" s="6" t="inlineStr">
        <is>
          <t>Partly</t>
        </is>
      </c>
      <c r="Q77" s="6" t="inlineStr">
        <is>
          <t>Scientific unknown</t>
        </is>
      </c>
      <c r="R77" s="6" t="inlineStr">
        <is>
          <t>Sub-item</t>
        </is>
      </c>
      <c r="S77" s="6" t="inlineStr">
        <is>
          <t>C-R01</t>
        </is>
      </c>
      <c r="T77" s="6" t="inlineStr">
        <is>
          <t>SRC-06 C04: outcome-split accounting, whether provider usage counts deferred definitions, and expensive-task shedding.</t>
        </is>
      </c>
      <c r="U77"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7" s="6" t="inlineStr">
        <is>
          <t>Independent re-check and a dated fix.</t>
        </is>
      </c>
      <c r="W77" s="6" t="inlineStr"/>
      <c r="X77" s="6" t="inlineStr"/>
      <c r="Y77" s="6" t="inlineStr"/>
      <c r="Z77" s="6" t="inlineStr"/>
      <c r="AA77" s="6" t="inlineStr"/>
      <c r="AB77" s="6" t="inlineStr">
        <is>
          <t>RECORD+DATA</t>
        </is>
      </c>
      <c r="AC77" s="6" t="inlineStr">
        <is>
          <t>n/a (sub-item)</t>
        </is>
      </c>
      <c r="AD77" s="6" t="inlineStr">
        <is>
          <t>NEW (SRC-11 sub-row)</t>
        </is>
      </c>
      <c r="AE77" s="6" t="inlineStr">
        <is>
          <t>2026-10-21</t>
        </is>
      </c>
      <c r="AF77" s="6" t="inlineStr">
        <is>
          <t>FND-0037 (findings/SUM-0039)</t>
        </is>
      </c>
      <c r="AG77" s="6" t="inlineStr"/>
      <c r="AH77" s="6" t="inlineStr">
        <is>
          <t>No</t>
        </is>
      </c>
      <c r="AI77" s="6" t="inlineStr"/>
      <c r="AJ77" s="6" t="inlineStr">
        <is>
          <t>SRC-11 section D4</t>
        </is>
      </c>
      <c r="AK77" s="6" t="inlineStr">
        <is>
          <t>SRC-06 C04, CH-0042</t>
        </is>
      </c>
      <c r="AL77" s="6" t="inlineStr">
        <is>
          <t>S09</t>
        </is>
      </c>
    </row>
    <row r="78" ht="165.5" customHeight="1">
      <c r="A78" s="5" t="inlineStr">
        <is>
          <t>C-R01/C06</t>
        </is>
      </c>
      <c r="B78" s="6" t="inlineStr">
        <is>
          <t>No-miss searches; conditional I_disc / tau</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136</v>
      </c>
      <c r="L78" s="6" t="inlineStr">
        <is>
          <t>W2 Desk work (no model runs)</t>
        </is>
      </c>
      <c r="M78" s="6" t="inlineStr">
        <is>
          <t>S15</t>
        </is>
      </c>
      <c r="N78" s="6" t="inlineStr">
        <is>
          <t>Lead + fresh reviewer</t>
        </is>
      </c>
      <c r="O78" s="6" t="inlineStr">
        <is>
          <t>Specify with C-S08/EVENTS once the pilot design is chosen</t>
        </is>
      </c>
      <c r="P78" s="6" t="inlineStr">
        <is>
          <t>Partly</t>
        </is>
      </c>
      <c r="Q78" s="6" t="inlineStr">
        <is>
          <t>Scientific unknown</t>
        </is>
      </c>
      <c r="R78" s="6" t="inlineStr">
        <is>
          <t>Sub-item</t>
        </is>
      </c>
      <c r="S78" s="6" t="inlineStr">
        <is>
          <t>C-R01</t>
        </is>
      </c>
      <c r="T78" s="6" t="inlineStr">
        <is>
          <t>SRC-06 C06: searches in trajectories that need no deferred tool; I_disc and tau must be conditional on the needed tool.</t>
        </is>
      </c>
      <c r="U78"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v4 05 line 83; row C-S08/EVENTS</t>
        </is>
      </c>
      <c r="AG78" s="6" t="inlineStr"/>
      <c r="AH78" s="6" t="inlineStr">
        <is>
          <t>No</t>
        </is>
      </c>
      <c r="AI78" s="6" t="inlineStr"/>
      <c r="AJ78" s="6" t="inlineStr">
        <is>
          <t>SRC-11 section D4</t>
        </is>
      </c>
      <c r="AK78" s="6" t="inlineStr">
        <is>
          <t>SRC-06 C06</t>
        </is>
      </c>
      <c r="AL78" s="6" t="inlineStr">
        <is>
          <t>S09</t>
        </is>
      </c>
    </row>
    <row r="79" ht="103" customHeight="1">
      <c r="A79" s="5" t="inlineStr">
        <is>
          <t>C-R01</t>
        </is>
      </c>
      <c r="B79" s="6" t="inlineStr">
        <is>
          <t>v3 challenge residuals: D4 arm/multiplicity, substitute reference, trigger timing, outcome-split accounting...</t>
        </is>
      </c>
      <c r="C79" s="6" t="inlineStr">
        <is>
          <t>PARTLY ANSWERED</t>
        </is>
      </c>
      <c r="D79" s="6">
        <f>IFERROR(INDEX(Lists!$B$2:$B$14,MATCH(C79,Lists!$A$2:$A$14,0)),"?")</f>
        <v/>
      </c>
      <c r="E79" s="6">
        <f>IF(COUNTIFS(Links!$B$2:$B$600,A79,Links!$E$2:$E$600,"Yes")&gt;0,"REVISE","")</f>
        <v/>
      </c>
      <c r="F79" s="6">
        <f>COUNTIFS(Links!$B$2:$B$600,A79,Links!$D$2:$D$600,"No",Links!$C$2:$C$600,"&lt;&gt;INFORMS")</f>
        <v/>
      </c>
      <c r="G79" s="8" t="inlineStr">
        <is>
          <t>RECORDS-AT-HAND</t>
        </is>
      </c>
      <c r="H79" s="6" t="inlineStr">
        <is>
          <t>K17 Record repair &amp; procedure error</t>
        </is>
      </c>
      <c r="I79" s="6" t="inlineStr">
        <is>
          <t>G3 Before confirmatory study</t>
        </is>
      </c>
      <c r="J79" s="6" t="inlineStr">
        <is>
          <t>Normal</t>
        </is>
      </c>
      <c r="K79" s="6" t="n">
        <v>137</v>
      </c>
      <c r="L79" s="6" t="inlineStr">
        <is>
          <t>W2 Desk work (no model runs)</t>
        </is>
      </c>
      <c r="M79" s="6" t="inlineStr">
        <is>
          <t>S15</t>
        </is>
      </c>
      <c r="N79" s="6" t="inlineStr">
        <is>
          <t>Lead + fresh reviewer</t>
        </is>
      </c>
      <c r="O79" s="6" t="inlineStr">
        <is>
          <t>Lead drafts the fix; you approve</t>
        </is>
      </c>
      <c r="P79" s="6" t="inlineStr">
        <is>
          <t>Partly</t>
        </is>
      </c>
      <c r="Q79" s="6" t="inlineStr">
        <is>
          <t>Record fix</t>
        </is>
      </c>
      <c r="R79" s="6" t="inlineStr">
        <is>
          <t>Item</t>
        </is>
      </c>
      <c r="S79" s="6" t="inlineStr"/>
      <c r="T79" s="6" t="inlineStr">
        <is>
          <t>v3 challenge residuals: D4 arm/multiplicity, substitute reference, trigger timing, outcome-split accounting, fair baseline, no-miss searches.</t>
        </is>
      </c>
      <c r="U79" s="6" t="inlineStr">
        <is>
          <t>v4 corrected the text; 11 of 13 v4 challenges closed; the last edits were not re-verified by the challenger; figures never rendered.</t>
        </is>
      </c>
      <c r="V79" s="6" t="inlineStr">
        <is>
          <t>Last edits re-checked independently; figures rendered; data residuals tied to their tests.</t>
        </is>
      </c>
      <c r="W79" s="6" t="inlineStr">
        <is>
          <t>C-D08</t>
        </is>
      </c>
      <c r="X79" s="6" t="inlineStr">
        <is>
          <t>C-S14</t>
        </is>
      </c>
      <c r="Y79" s="6" t="inlineStr"/>
      <c r="Z79" s="6" t="inlineStr">
        <is>
          <t>DESK-ANALYSIS, TEST-PILOT</t>
        </is>
      </c>
      <c r="AA79" s="6" t="inlineStr">
        <is>
          <t>K5 Evaluation contract</t>
        </is>
      </c>
      <c r="AB79" s="6" t="inlineStr">
        <is>
          <t>DATA+DEC+RECORD</t>
        </is>
      </c>
      <c r="AC79" s="6" t="inlineStr">
        <is>
          <t>PARTLY ANSWERED - OPEN</t>
        </is>
      </c>
      <c r="AD79" s="6" t="inlineStr">
        <is>
          <t>RE-CHARACTERISED</t>
        </is>
      </c>
      <c r="AE79" s="6" t="inlineStr">
        <is>
          <t>2026-10-19</t>
        </is>
      </c>
      <c r="AF79" s="6" t="inlineStr">
        <is>
          <t>v4-03 sections 5-6; CH-0045..0057; RV-0005</t>
        </is>
      </c>
      <c r="AG79" s="6" t="inlineStr"/>
      <c r="AH79" s="6" t="inlineStr">
        <is>
          <t>No</t>
        </is>
      </c>
      <c r="AI79" s="6" t="inlineStr"/>
      <c r="AJ79" s="6" t="inlineStr">
        <is>
          <t>SRC-11 canonical</t>
        </is>
      </c>
      <c r="AK79" s="6" t="inlineStr">
        <is>
          <t>SRC-06 C01-C06, v4-03 residuals</t>
        </is>
      </c>
      <c r="AL79" s="6" t="inlineStr">
        <is>
          <t>S09</t>
        </is>
      </c>
    </row>
    <row r="80" ht="103" customHeight="1">
      <c r="A80" s="5" t="inlineStr">
        <is>
          <t>C-R01/FIG2</t>
        </is>
      </c>
      <c r="B80" s="6" t="inlineStr">
        <is>
          <t>Figure 2 has no path to the outcome for a Regime B run with no declared margin</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G1 Before any implementation</t>
        </is>
      </c>
      <c r="J80" s="6" t="inlineStr">
        <is>
          <t>High</t>
        </is>
      </c>
      <c r="K80" s="6" t="n">
        <v>138</v>
      </c>
      <c r="L80" s="6" t="inlineStr">
        <is>
          <t>W2 Desk work (no model runs)</t>
        </is>
      </c>
      <c r="M80" s="6" t="inlineStr">
        <is>
          <t>S15</t>
        </is>
      </c>
      <c r="N80" s="6" t="inlineStr">
        <is>
          <t>Lead drafts, you approve</t>
        </is>
      </c>
      <c r="O80" s="6" t="inlineStr">
        <is>
          <t>You render the block in VS Code and approve or correct it; your approval (in your words) closes this row</t>
        </is>
      </c>
      <c r="P80" s="6" t="inlineStr">
        <is>
          <t>Answered (see basis)</t>
        </is>
      </c>
      <c r="Q80" s="6" t="inlineStr">
        <is>
          <t>Record fix</t>
        </is>
      </c>
      <c r="R80" s="6" t="inlineStr">
        <is>
          <t>Sub-item</t>
        </is>
      </c>
      <c r="S80" s="6" t="inlineStr">
        <is>
          <t>C-R01/V4RES</t>
        </is>
      </c>
      <c r="T80"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0"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0" s="6" t="inlineStr">
        <is>
          <t>Figure 2 (and the brief's copy, if any) has a path to O for every regime and outcome, re-read by a reviewer.</t>
        </is>
      </c>
      <c r="W80" s="6" t="inlineStr"/>
      <c r="X80" s="6" t="inlineStr"/>
      <c r="Y80" s="6" t="inlineStr"/>
      <c r="Z80" s="6" t="inlineStr"/>
      <c r="AA80" s="6" t="inlineStr"/>
      <c r="AB80" s="6" t="inlineStr">
        <is>
          <t>RECORD+DEC</t>
        </is>
      </c>
      <c r="AC80" s="6" t="inlineStr">
        <is>
          <t>n/a (sub-item)</t>
        </is>
      </c>
      <c r="AD80" s="6" t="inlineStr">
        <is>
          <t>NEW (repo sweep)</t>
        </is>
      </c>
      <c r="AE80" s="6" t="inlineStr">
        <is>
          <t>2026-10-20</t>
        </is>
      </c>
      <c r="AF80" s="6" t="inlineStr">
        <is>
          <t>design/package-v4/06-corrections-proposed.md section 1; reviews/RV-0011.md</t>
        </is>
      </c>
      <c r="AG80" s="6" t="inlineStr"/>
      <c r="AH80" s="6" t="inlineStr">
        <is>
          <t>No (editing needs the human's approval)</t>
        </is>
      </c>
      <c r="AI80" s="6" t="inlineStr"/>
      <c r="AJ80" s="6" t="inlineStr">
        <is>
          <t>RV-0009 (Reviewer 6b1), confirmed by the lead</t>
        </is>
      </c>
      <c r="AK80" s="6" t="inlineStr"/>
      <c r="AL80" s="6" t="inlineStr">
        <is>
          <t>S15</t>
        </is>
      </c>
    </row>
    <row r="81" ht="40.5" customHeight="1">
      <c r="A81" s="5" t="inlineStr">
        <is>
          <t>C-R01/FIG2-POINTS</t>
        </is>
      </c>
      <c r="B81" s="6" t="inlineStr">
        <is>
          <t>Four design points the Figure 2 check left unresolved: expose-all in the feasible set, option (b), Regime B decision rule, the regime-size loop</t>
        </is>
      </c>
      <c r="C81" s="6" t="inlineStr">
        <is>
          <t>PARTLY ANSWERED</t>
        </is>
      </c>
      <c r="D81" s="6">
        <f>IFERROR(INDEX(Lists!$B$2:$B$14,MATCH(C81,Lists!$A$2:$A$14,0)),"?")</f>
        <v/>
      </c>
      <c r="E81" s="6">
        <f>IF(COUNTIFS(Links!$B$2:$B$600,A81,Links!$E$2:$E$600,"Yes")&gt;0,"REVISE","")</f>
        <v/>
      </c>
      <c r="F81" s="6">
        <f>COUNTIFS(Links!$B$2:$B$600,A81,Links!$D$2:$D$600,"No",Links!$C$2:$C$600,"&lt;&gt;INFORMS")</f>
        <v/>
      </c>
      <c r="G81" s="9" t="inlineStr">
        <is>
          <t>USER-DECISION</t>
        </is>
      </c>
      <c r="H81" s="6" t="inlineStr">
        <is>
          <t>K17 Record repair &amp; procedure error</t>
        </is>
      </c>
      <c r="I81" s="6" t="inlineStr">
        <is>
          <t>G1 Before any implementation</t>
        </is>
      </c>
      <c r="J81" s="6" t="inlineStr">
        <is>
          <t>Normal</t>
        </is>
      </c>
      <c r="K81" s="6" t="n">
        <v>139</v>
      </c>
      <c r="L81" s="6" t="inlineStr">
        <is>
          <t>W2 Desk work (no model runs)</t>
        </is>
      </c>
      <c r="M81" s="6" t="inlineStr">
        <is>
          <t>S15</t>
        </is>
      </c>
      <c r="N81" s="6" t="inlineStr">
        <is>
          <t>You (or Joaa)</t>
        </is>
      </c>
      <c r="O81" s="6" t="inlineStr">
        <is>
          <t>Settle (a), (b), (d) when the end-to-end study is designed</t>
        </is>
      </c>
      <c r="P81" s="6" t="inlineStr">
        <is>
          <t>Partly</t>
        </is>
      </c>
      <c r="Q81" s="6" t="inlineStr">
        <is>
          <t>Decision</t>
        </is>
      </c>
      <c r="R81" s="6" t="inlineStr">
        <is>
          <t>Sub-item</t>
        </is>
      </c>
      <c r="S81" s="6" t="inlineStr">
        <is>
          <t>C-R01/FIG2</t>
        </is>
      </c>
      <c r="T81"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1"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1" s="6" t="inlineStr">
        <is>
          <t>Each point decided in the human's or the supervisor's words, or recorded as open.</t>
        </is>
      </c>
      <c r="W81" s="6" t="inlineStr"/>
      <c r="X81" s="6" t="inlineStr"/>
      <c r="Y81" s="6" t="inlineStr"/>
      <c r="Z81" s="6" t="inlineStr"/>
      <c r="AA81" s="6" t="inlineStr"/>
      <c r="AB81" s="6" t="inlineStr">
        <is>
          <t>RECORD+DEC</t>
        </is>
      </c>
      <c r="AC81" s="6" t="inlineStr">
        <is>
          <t>n/a (sub-item)</t>
        </is>
      </c>
      <c r="AD81" s="6" t="inlineStr">
        <is>
          <t>NEW (repo sweep)</t>
        </is>
      </c>
      <c r="AE81" s="6" t="inlineStr">
        <is>
          <t>2026-10-21</t>
        </is>
      </c>
      <c r="AF81" s="6" t="inlineStr">
        <is>
          <t>INT-T-005 (requirements/intake/2026-10-21-user-decisions-after-meetings.md)</t>
        </is>
      </c>
      <c r="AG81" s="6" t="inlineStr"/>
      <c r="AH81" s="6" t="inlineStr">
        <is>
          <t>No</t>
        </is>
      </c>
      <c r="AI81" s="6" t="inlineStr"/>
      <c r="AJ81" s="6" t="inlineStr">
        <is>
          <t>RV-0011 (batch 11)</t>
        </is>
      </c>
      <c r="AK81" s="6" t="inlineStr"/>
      <c r="AL81" s="6" t="inlineStr">
        <is>
          <t>S15</t>
        </is>
      </c>
    </row>
    <row r="82" ht="278" customHeight="1">
      <c r="A82" s="5" t="inlineStr">
        <is>
          <t>C-R01/R1TRIG</t>
        </is>
      </c>
      <c r="B82" s="6" t="inlineStr">
        <is>
          <t>A trigger can re-fire on every finish proposal when the budget is exhausted</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G2 Before the affected pilot/arm</t>
        </is>
      </c>
      <c r="J82" s="6" t="inlineStr">
        <is>
          <t>Normal</t>
        </is>
      </c>
      <c r="K82" s="6" t="n">
        <v>140</v>
      </c>
      <c r="L82" s="6" t="inlineStr">
        <is>
          <t>W2 Desk work (no model runs)</t>
        </is>
      </c>
      <c r="M82" s="6" t="inlineStr">
        <is>
          <t>S15</t>
        </is>
      </c>
      <c r="N82" s="6" t="inlineStr">
        <is>
          <t>Lead drafts, you approve</t>
        </is>
      </c>
      <c r="O82" s="6" t="inlineStr">
        <is>
          <t>You or Joaa choose (a), (b) or (c)</t>
        </is>
      </c>
      <c r="P82" s="6" t="inlineStr">
        <is>
          <t>Answered (see basis)</t>
        </is>
      </c>
      <c r="Q82" s="6" t="inlineStr">
        <is>
          <t>Record fix</t>
        </is>
      </c>
      <c r="R82" s="6" t="inlineStr">
        <is>
          <t>Sub-item</t>
        </is>
      </c>
      <c r="S82" s="6" t="inlineStr">
        <is>
          <t>C-R01/V4RES</t>
        </is>
      </c>
      <c r="T82" s="6" t="inlineStr">
        <is>
          <t>RV-0009 R1 residual: P3/P3f 'yes' still goes to B and B 'no' still returns 'unavailable' to A (02 lines 24, 28, 33), so a trigger can fire on every finish proposal until the call limit; neither 02 nor 03 says what happens when the budget is exhausted.</t>
        </is>
      </c>
      <c r="U82"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2" s="6" t="inlineStr">
        <is>
          <t>The protocol states what the trigger does after the call limit is reached.</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2; reviews/RV-0012.md</t>
        </is>
      </c>
      <c r="AG82" s="6" t="inlineStr"/>
      <c r="AH82" s="6" t="inlineStr">
        <is>
          <t>No (editing needs the human's approval)</t>
        </is>
      </c>
      <c r="AI82" s="6" t="inlineStr"/>
      <c r="AJ82" s="6" t="inlineStr">
        <is>
          <t>RV-0009 (Reviewer 6b1)</t>
        </is>
      </c>
      <c r="AK82" s="6" t="inlineStr"/>
      <c r="AL82" s="6" t="inlineStr">
        <is>
          <t>S15</t>
        </is>
      </c>
    </row>
    <row r="83" ht="165.5" customHeight="1">
      <c r="A83" s="5" t="inlineStr">
        <is>
          <t>C-R01/RENDER</t>
        </is>
      </c>
      <c r="B83" s="6" t="inlineStr">
        <is>
          <t>Mermaid figures were never rendered</t>
        </is>
      </c>
      <c r="C83" s="6" t="inlineStr">
        <is>
          <t>PARTLY ANSWERED</t>
        </is>
      </c>
      <c r="D83" s="6">
        <f>IFERROR(INDEX(Lists!$B$2:$B$14,MATCH(C83,Lists!$A$2:$A$14,0)),"?")</f>
        <v/>
      </c>
      <c r="E83" s="6">
        <f>IF(COUNTIFS(Links!$B$2:$B$600,A83,Links!$E$2:$E$600,"Yes")&gt;0,"REVISE","")</f>
        <v/>
      </c>
      <c r="F83" s="6">
        <f>COUNTIFS(Links!$B$2:$B$600,A83,Links!$D$2:$D$600,"No",Links!$C$2:$C$600,"&lt;&gt;INFORMS")</f>
        <v/>
      </c>
      <c r="G83" s="8" t="inlineStr">
        <is>
          <t>RECORDS-AT-HAND</t>
        </is>
      </c>
      <c r="H83" s="6" t="inlineStr">
        <is>
          <t>K17 Record repair &amp; procedure error</t>
        </is>
      </c>
      <c r="I83" s="6" t="inlineStr">
        <is>
          <t>G4 Before claims</t>
        </is>
      </c>
      <c r="J83" s="6" t="inlineStr">
        <is>
          <t>Normal</t>
        </is>
      </c>
      <c r="K83" s="6" t="n">
        <v>141</v>
      </c>
      <c r="L83" s="6" t="inlineStr">
        <is>
          <t>W2 Desk work (no model runs)</t>
        </is>
      </c>
      <c r="M83" s="6" t="inlineStr">
        <is>
          <t>S15</t>
        </is>
      </c>
      <c r="N83" s="6" t="inlineStr">
        <is>
          <t>You (render in VS Code); lead (concept check)</t>
        </is>
      </c>
      <c r="O83" s="6" t="inlineStr">
        <is>
          <t>Lead fixes the concept defects in the successor note; you render the figures in VS Code and report anything that looks wrong</t>
        </is>
      </c>
      <c r="P83" s="6" t="inlineStr">
        <is>
          <t>No</t>
        </is>
      </c>
      <c r="Q83" s="6" t="inlineStr">
        <is>
          <t>Record fix</t>
        </is>
      </c>
      <c r="R83" s="6" t="inlineStr">
        <is>
          <t>Sub-item</t>
        </is>
      </c>
      <c r="S83" s="6" t="inlineStr">
        <is>
          <t>C-R01</t>
        </is>
      </c>
      <c r="T83" s="6" t="inlineStr">
        <is>
          <t>No renderer was installed; Figure 1 and 2 syntax is unverified.</t>
        </is>
      </c>
      <c r="U83"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3" s="6" t="inlineStr">
        <is>
          <t>Checked and corrected or labelled unverifiable: labelled unverifiable; your acceptance pending.</t>
        </is>
      </c>
      <c r="W83" s="6" t="inlineStr"/>
      <c r="X83" s="6" t="inlineStr"/>
      <c r="Y83" s="6" t="inlineStr"/>
      <c r="Z83" s="6" t="inlineStr"/>
      <c r="AA83" s="6" t="inlineStr"/>
      <c r="AB83" s="6" t="inlineStr">
        <is>
          <t>RECORD+SOURCE</t>
        </is>
      </c>
      <c r="AC83" s="6" t="inlineStr">
        <is>
          <t>n/a (sub-item)</t>
        </is>
      </c>
      <c r="AD83" s="6" t="inlineStr">
        <is>
          <t>NEW (repo sweep)</t>
        </is>
      </c>
      <c r="AE83" s="6" t="inlineStr">
        <is>
          <t>2026-10-20</t>
        </is>
      </c>
      <c r="AF83" s="6" t="inlineStr">
        <is>
          <t>chat message of 2026-10-20; RV-0009</t>
        </is>
      </c>
      <c r="AG83" s="6" t="inlineStr"/>
      <c r="AH83" s="6" t="inlineStr">
        <is>
          <t>No</t>
        </is>
      </c>
      <c r="AI83" s="6" t="inlineStr">
        <is>
          <t>Rendering unverified; to be accepted as a stated limitation or checked by the human in any Mermaid viewer.</t>
        </is>
      </c>
      <c r="AJ83" s="6" t="inlineStr">
        <is>
          <t>repo: v4-03 section 6 / RV-0005 / RV-0007</t>
        </is>
      </c>
      <c r="AK83" s="6" t="inlineStr"/>
      <c r="AL83" s="6" t="inlineStr">
        <is>
          <t>S15</t>
        </is>
      </c>
    </row>
    <row r="84" ht="203" customHeight="1">
      <c r="A84" s="5" t="inlineStr">
        <is>
          <t>C-R01/V4-03-STALE</t>
        </is>
      </c>
      <c r="B84" s="6" t="inlineStr">
        <is>
          <t>Stale wording in v4 03 that conflicts with the corrected stage-inclusion rule</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G4 Before claims</t>
        </is>
      </c>
      <c r="J84" s="6" t="inlineStr">
        <is>
          <t>Normal</t>
        </is>
      </c>
      <c r="K84" s="6" t="n">
        <v>142</v>
      </c>
      <c r="L84" s="6" t="inlineStr">
        <is>
          <t>W2 Desk work (no model runs)</t>
        </is>
      </c>
      <c r="M84" s="6" t="inlineStr">
        <is>
          <t>S15</t>
        </is>
      </c>
      <c r="N84" s="6" t="inlineStr">
        <is>
          <t>Lead drafts, you approve</t>
        </is>
      </c>
      <c r="O84" s="6" t="inlineStr">
        <is>
          <t>You approve the replacement sentences</t>
        </is>
      </c>
      <c r="P84" s="6" t="inlineStr">
        <is>
          <t>Answered (see basis)</t>
        </is>
      </c>
      <c r="Q84" s="6" t="inlineStr">
        <is>
          <t>Record fix</t>
        </is>
      </c>
      <c r="R84" s="6" t="inlineStr">
        <is>
          <t>Sub-item</t>
        </is>
      </c>
      <c r="S84" s="6" t="inlineStr">
        <is>
          <t>C-R01/V4RES</t>
        </is>
      </c>
      <c r="T84"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4"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4" s="6" t="inlineStr">
        <is>
          <t>03 states the same stage-inclusion rule as 02, or a successor note records the difference.</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3 rows 3.1-3.4;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C-R03</t>
        </is>
      </c>
      <c r="B85" s="6" t="inlineStr">
        <is>
          <t>v3 artefacts not independently verified: simulation not rerun, single challenger, summaries unverified, par...</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144</v>
      </c>
      <c r="L85" s="6" t="inlineStr">
        <is>
          <t>W2 Desk work (no model runs)</t>
        </is>
      </c>
      <c r="M85" s="6" t="inlineStr">
        <is>
          <t>S15</t>
        </is>
      </c>
      <c r="N85" s="6" t="inlineStr">
        <is>
          <t>Lead + fresh reviewer</t>
        </is>
      </c>
      <c r="O85" s="6" t="inlineStr">
        <is>
          <t>Rerun the simulation if its outputs are quoted (see C-R03/C20)</t>
        </is>
      </c>
      <c r="P85" s="6" t="inlineStr">
        <is>
          <t>Partly</t>
        </is>
      </c>
      <c r="Q85" s="6" t="inlineStr">
        <is>
          <t>Record fix</t>
        </is>
      </c>
      <c r="R85" s="6" t="inlineStr">
        <is>
          <t>Item</t>
        </is>
      </c>
      <c r="S85" s="6" t="inlineStr"/>
      <c r="T85" s="6" t="inlineStr">
        <is>
          <t>v3 artefacts not independently verified: simulation not rerun, single challenger, summaries unverified, partly supported pivotal passages.</t>
        </is>
      </c>
      <c r="U85"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5" s="6" t="inlineStr">
        <is>
          <t>Each artifact verified or labelled; stale counts fixed.</t>
        </is>
      </c>
      <c r="W85" s="6" t="inlineStr"/>
      <c r="X85" s="6" t="inlineStr"/>
      <c r="Y85" s="6" t="inlineStr"/>
      <c r="Z85" s="6" t="inlineStr">
        <is>
          <t>DESK-ANALYSIS, SOURCE-REREAD</t>
        </is>
      </c>
      <c r="AA85" s="6" t="inlineStr">
        <is>
          <t>K14 Source &amp; vendor verification</t>
        </is>
      </c>
      <c r="AB85" s="6" t="inlineStr">
        <is>
          <t>RECORD+SOURCE+DATA</t>
        </is>
      </c>
      <c r="AC85" s="6" t="inlineStr">
        <is>
          <t>OPEN</t>
        </is>
      </c>
      <c r="AD85" s="6" t="inlineStr">
        <is>
          <t>UNCHANGED</t>
        </is>
      </c>
      <c r="AE85" s="6" t="inlineStr">
        <is>
          <t>2026-10-19</t>
        </is>
      </c>
      <c r="AF85" s="6" t="inlineStr">
        <is>
          <t>RV-0008 (reviews/RV-0008.md), thread T-20261019-104; RV-0009 (reviews/RV-0009.md), thread T-20261019-104; RV-0010 (reviews/RV-0010.md), thread T-20261019-104</t>
        </is>
      </c>
      <c r="AG85" s="6" t="inlineStr"/>
      <c r="AH85" s="6" t="inlineStr">
        <is>
          <t>No</t>
        </is>
      </c>
      <c r="AI85" s="6" t="inlineStr"/>
      <c r="AJ85" s="6" t="inlineStr">
        <is>
          <t>SRC-11 canonical</t>
        </is>
      </c>
      <c r="AK85" s="6" t="inlineStr">
        <is>
          <t>SRC-06 C20-C27</t>
        </is>
      </c>
      <c r="AL85" s="6" t="inlineStr">
        <is>
          <t>S15</t>
        </is>
      </c>
    </row>
    <row r="86" ht="165.5" customHeight="1">
      <c r="A86" s="5" t="inlineStr">
        <is>
          <t>C-R03/C20</t>
        </is>
      </c>
      <c r="B86" s="6" t="inlineStr">
        <is>
          <t>No computational rerun of the simulation/limits</t>
        </is>
      </c>
      <c r="C86" s="6" t="inlineStr">
        <is>
          <t>DEFERRED</t>
        </is>
      </c>
      <c r="D86" s="6">
        <f>IFERROR(INDEX(Lists!$B$2:$B$14,MATCH(C86,Lists!$A$2:$A$14,0)),"?")</f>
        <v/>
      </c>
      <c r="E86" s="6">
        <f>IF(COUNTIFS(Links!$B$2:$B$600,A86,Links!$E$2:$E$600,"Yes")&gt;0,"REVISE","")</f>
        <v/>
      </c>
      <c r="F86" s="6">
        <f>COUNTIFS(Links!$B$2:$B$600,A86,Links!$D$2:$D$600,"No",Links!$C$2:$C$600,"&lt;&gt;INFORMS")</f>
        <v/>
      </c>
      <c r="G86" s="13" t="inlineStr">
        <is>
          <t>DESK-ANALYSIS</t>
        </is>
      </c>
      <c r="H86" s="6" t="inlineStr">
        <is>
          <t>K17 Record repair &amp; procedure error</t>
        </is>
      </c>
      <c r="I86" s="6" t="inlineStr">
        <is>
          <t>G4 Before claims</t>
        </is>
      </c>
      <c r="J86" s="6" t="inlineStr">
        <is>
          <t>Normal</t>
        </is>
      </c>
      <c r="K86" s="6" t="n">
        <v>145</v>
      </c>
      <c r="L86" s="6" t="inlineStr">
        <is>
          <t>W2 Desk work (no model runs)</t>
        </is>
      </c>
      <c r="M86" s="6" t="inlineStr">
        <is>
          <t>S15</t>
        </is>
      </c>
      <c r="N86" s="6" t="inlineStr">
        <is>
          <t>Lead + fresh reviewer</t>
        </is>
      </c>
      <c r="O86" s="6" t="inlineStr">
        <is>
          <t>none until the trigger fires</t>
        </is>
      </c>
      <c r="P86" s="6" t="inlineStr">
        <is>
          <t>No</t>
        </is>
      </c>
      <c r="Q86" s="6" t="inlineStr">
        <is>
          <t>Scientific unknown</t>
        </is>
      </c>
      <c r="R86" s="6" t="inlineStr">
        <is>
          <t>Sub-item</t>
        </is>
      </c>
      <c r="S86" s="6" t="inlineStr">
        <is>
          <t>C-R03</t>
        </is>
      </c>
      <c r="T86" s="6" t="inlineStr">
        <is>
          <t>SRC-06 C20: the v3 greedy-core simulation and limits were not computationally re-run.</t>
        </is>
      </c>
      <c r="U86"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6" s="6" t="inlineStr">
        <is>
          <t>Simulation rerun and results compared.</t>
        </is>
      </c>
      <c r="W86" s="6" t="inlineStr"/>
      <c r="X86" s="6" t="inlineStr"/>
      <c r="Y86" s="6" t="inlineStr">
        <is>
          <t>Q-U26</t>
        </is>
      </c>
      <c r="Z86" s="6" t="inlineStr"/>
      <c r="AA86" s="6" t="inlineStr"/>
      <c r="AB86" s="6" t="inlineStr">
        <is>
          <t>RECORD+DATA</t>
        </is>
      </c>
      <c r="AC86" s="6" t="inlineStr">
        <is>
          <t>n/a (sub-item)</t>
        </is>
      </c>
      <c r="AD86" s="6" t="inlineStr">
        <is>
          <t>NEW (SRC-11 sub-row)</t>
        </is>
      </c>
      <c r="AE86" s="6" t="inlineStr">
        <is>
          <t>2026-10-21</t>
        </is>
      </c>
      <c r="AF86" s="6" t="inlineStr">
        <is>
          <t>INT-T-005 (requirements/intake/2026-10-21-user-decisions-after-meetings.md)</t>
        </is>
      </c>
      <c r="AG86" s="6" t="inlineStr">
        <is>
          <t>The end-to-end study is designed</t>
        </is>
      </c>
      <c r="AH86" s="6" t="inlineStr">
        <is>
          <t>No</t>
        </is>
      </c>
      <c r="AI86" s="6" t="inlineStr"/>
      <c r="AJ86" s="6" t="inlineStr">
        <is>
          <t>SRC-11 section D4</t>
        </is>
      </c>
      <c r="AK86" s="6" t="inlineStr">
        <is>
          <t>SRC-06 C20</t>
        </is>
      </c>
      <c r="AL86" s="6" t="inlineStr">
        <is>
          <t>S15</t>
        </is>
      </c>
    </row>
    <row r="87" ht="128" customHeight="1">
      <c r="A87" s="5" t="inlineStr">
        <is>
          <t>C-R03/C21</t>
        </is>
      </c>
      <c r="B87" s="6" t="inlineStr">
        <is>
          <t>Only one challenger</t>
        </is>
      </c>
      <c r="C87" s="6" t="inlineStr">
        <is>
          <t>OPEN</t>
        </is>
      </c>
      <c r="D87" s="6">
        <f>IFERROR(INDEX(Lists!$B$2:$B$14,MATCH(C87,Lists!$A$2:$A$14,0)),"?")</f>
        <v/>
      </c>
      <c r="E87" s="6">
        <f>IF(COUNTIFS(Links!$B$2:$B$600,A87,Links!$E$2:$E$600,"Yes")&gt;0,"REVISE","")</f>
        <v/>
      </c>
      <c r="F87" s="6">
        <f>COUNTIFS(Links!$B$2:$B$600,A87,Links!$D$2:$D$600,"No",Links!$C$2:$C$600,"&lt;&gt;INFORMS")</f>
        <v/>
      </c>
      <c r="G87" s="12" t="inlineStr">
        <is>
          <t>ACCEPT-LIMITATION</t>
        </is>
      </c>
      <c r="H87" s="6" t="inlineStr">
        <is>
          <t>K17 Record repair &amp; procedure error</t>
        </is>
      </c>
      <c r="I87" s="6" t="inlineStr">
        <is>
          <t>G4 Before claims</t>
        </is>
      </c>
      <c r="J87" s="6" t="inlineStr">
        <is>
          <t>Normal</t>
        </is>
      </c>
      <c r="K87" s="6" t="n">
        <v>146</v>
      </c>
      <c r="L87" s="6" t="inlineStr">
        <is>
          <t>W2 Desk work (no model runs)</t>
        </is>
      </c>
      <c r="M87" s="6" t="inlineStr">
        <is>
          <t>S15</t>
        </is>
      </c>
      <c r="N87" s="6" t="inlineStr">
        <is>
          <t>Lead + fresh reviewer</t>
        </is>
      </c>
      <c r="O87" s="6" t="inlineStr">
        <is>
          <t>You accept or reject the limit (Q-U20)</t>
        </is>
      </c>
      <c r="P87" s="6" t="inlineStr">
        <is>
          <t>Partly</t>
        </is>
      </c>
      <c r="Q87" s="6" t="inlineStr">
        <is>
          <t>Limitation</t>
        </is>
      </c>
      <c r="R87" s="6" t="inlineStr">
        <is>
          <t>Sub-item</t>
        </is>
      </c>
      <c r="S87" s="6" t="inlineStr">
        <is>
          <t>C-R03</t>
        </is>
      </c>
      <c r="T87" s="6" t="inlineStr">
        <is>
          <t>SRC-06 C21: only one challenger reviewed v3.</t>
        </is>
      </c>
      <c r="U87" s="6" t="inlineStr">
        <is>
          <t>Same model family on every review.</t>
        </is>
      </c>
      <c r="V87" s="6" t="inlineStr">
        <is>
          <t>Limitation stated, or a different-provider review.</t>
        </is>
      </c>
      <c r="W87" s="6" t="inlineStr"/>
      <c r="X87" s="6" t="inlineStr"/>
      <c r="Y87" s="6" t="inlineStr">
        <is>
          <t>Q-U20</t>
        </is>
      </c>
      <c r="Z87" s="6" t="inlineStr"/>
      <c r="AA87" s="6" t="inlineStr"/>
      <c r="AB87" s="6" t="inlineStr">
        <is>
          <t>RECORD+DATA</t>
        </is>
      </c>
      <c r="AC87" s="6" t="inlineStr">
        <is>
          <t>n/a (sub-item)</t>
        </is>
      </c>
      <c r="AD87" s="6" t="inlineStr">
        <is>
          <t>NEW (SRC-11 sub-row)</t>
        </is>
      </c>
      <c r="AE87" s="6" t="inlineStr">
        <is>
          <t>2026-10-19</t>
        </is>
      </c>
      <c r="AF87" s="6" t="inlineStr">
        <is>
          <t>v3-04 header; SAFEGUARDS row 12 (all Sonnet)</t>
        </is>
      </c>
      <c r="AG87" s="6" t="inlineStr"/>
      <c r="AH87" s="6" t="inlineStr">
        <is>
          <t>No</t>
        </is>
      </c>
      <c r="AI87" s="6" t="inlineStr"/>
      <c r="AJ87" s="6" t="inlineStr">
        <is>
          <t>SRC-11 section D4</t>
        </is>
      </c>
      <c r="AK87" s="6" t="inlineStr">
        <is>
          <t>SRC-06 C21</t>
        </is>
      </c>
      <c r="AL87" s="6" t="inlineStr">
        <is>
          <t>S15</t>
        </is>
      </c>
    </row>
    <row r="88" ht="128" customHeight="1">
      <c r="A88" s="5" t="inlineStr">
        <is>
          <t>C-R03/C22-RESID</t>
        </is>
      </c>
      <c r="B88" s="6" t="inlineStr">
        <is>
          <t>Edits that the AUTH-004 concessions promised but the proposal records still lack</t>
        </is>
      </c>
      <c r="C88" s="6" t="inlineStr">
        <is>
          <t>OPEN</t>
        </is>
      </c>
      <c r="D88" s="6">
        <f>IFERROR(INDEX(Lists!$B$2:$B$14,MATCH(C88,Lists!$A$2:$A$14,0)),"?")</f>
        <v/>
      </c>
      <c r="E88" s="6">
        <f>IF(COUNTIFS(Links!$B$2:$B$600,A88,Links!$E$2:$E$600,"Yes")&gt;0,"REVISE","")</f>
        <v/>
      </c>
      <c r="F88" s="6">
        <f>COUNTIFS(Links!$B$2:$B$600,A88,Links!$D$2:$D$600,"No",Links!$C$2:$C$600,"&lt;&gt;INFORMS")</f>
        <v/>
      </c>
      <c r="G88" s="8" t="inlineStr">
        <is>
          <t>RECORDS-AT-HAND</t>
        </is>
      </c>
      <c r="H88" s="6" t="inlineStr">
        <is>
          <t>K17 Record repair &amp; procedure error</t>
        </is>
      </c>
      <c r="I88" s="6" t="inlineStr">
        <is>
          <t>G5 Housekeeping / no block</t>
        </is>
      </c>
      <c r="J88" s="6" t="inlineStr">
        <is>
          <t>Low</t>
        </is>
      </c>
      <c r="K88" s="6" t="n">
        <v>148</v>
      </c>
      <c r="L88" s="6" t="inlineStr">
        <is>
          <t>W2 Desk work (no model runs)</t>
        </is>
      </c>
      <c r="M88" s="6" t="inlineStr">
        <is>
          <t>S15</t>
        </is>
      </c>
      <c r="N88" s="6" t="inlineStr">
        <is>
          <t>You (approve); the proposals' owner or a successor note</t>
        </is>
      </c>
      <c r="O88" s="6" t="inlineStr">
        <is>
          <t>You decide whether the earlier proposal records (DPR-0001 to DPR-0003, HYP-0002/0004/0005) are edited or a successor note records the residues; the live packages v3 and v4 were built on DPR-0004 and DPR-0005</t>
        </is>
      </c>
      <c r="P88" s="6" t="inlineStr">
        <is>
          <t>Answered (see basis)</t>
        </is>
      </c>
      <c r="Q88" s="6" t="inlineStr">
        <is>
          <t>Record fix</t>
        </is>
      </c>
      <c r="R88" s="6" t="inlineStr">
        <is>
          <t>Sub-item</t>
        </is>
      </c>
      <c r="S88" s="6" t="inlineStr">
        <is>
          <t>C-R03/C22</t>
        </is>
      </c>
      <c r="T88"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88" s="6" t="inlineStr">
        <is>
          <t>The substantive points of all 19 challenges were warranted; these are leftovers in earlier proposal records. FitText section 4.2, which several of them ask for, was read on 2026-10-20 (EXT-0224, EXT-0225, EXT-0226, see C-R03/C23).</t>
        </is>
      </c>
      <c r="V88" s="6" t="inlineStr">
        <is>
          <t>Each leftover edited, or recorded in a successor note, or accepted as superseded by DPR-0004 and DPR-0005 and the v3 and v4 packages.</t>
        </is>
      </c>
      <c r="W88" s="6" t="inlineStr"/>
      <c r="X88" s="6" t="inlineStr"/>
      <c r="Y88" s="6" t="inlineStr"/>
      <c r="Z88" s="6" t="inlineStr"/>
      <c r="AA88" s="6" t="inlineStr"/>
      <c r="AB88" s="6" t="inlineStr">
        <is>
          <t>RECORD</t>
        </is>
      </c>
      <c r="AC88" s="6" t="inlineStr">
        <is>
          <t>n/a (sub-item)</t>
        </is>
      </c>
      <c r="AD88" s="6" t="inlineStr">
        <is>
          <t>NEW (repo sweep)</t>
        </is>
      </c>
      <c r="AE88" s="6" t="inlineStr">
        <is>
          <t>2026-10-20</t>
        </is>
      </c>
      <c r="AF88" s="6" t="inlineStr">
        <is>
          <t>reviews/RV-0017.md, RV-0018.md, RV-0019.md (fresh reviewers, same model family; RV-0018 ended at its turn limit after CH-0016 and CH-0017 to CH-0019 were done in RV-0019; no shell, so no origin extraction runs)</t>
        </is>
      </c>
      <c r="AG88" s="6" t="inlineStr"/>
      <c r="AH88" s="6" t="inlineStr">
        <is>
          <t>No (editing earlier records needs your approval)</t>
        </is>
      </c>
      <c r="AI88" s="6" t="inlineStr"/>
      <c r="AJ88" s="6" t="inlineStr">
        <is>
          <t>RV-0017 to RV-0019 (batch 15b)</t>
        </is>
      </c>
      <c r="AK88" s="6" t="inlineStr"/>
      <c r="AL88" s="6" t="inlineStr">
        <is>
          <t>S15</t>
        </is>
      </c>
    </row>
    <row r="89" ht="28" customHeight="1">
      <c r="A89" s="5" t="inlineStr">
        <is>
          <t>C-R03/C23</t>
        </is>
      </c>
      <c r="B89" s="6" t="inlineStr">
        <is>
          <t>RV-0002 draft residues</t>
        </is>
      </c>
      <c r="C89" s="6" t="inlineStr">
        <is>
          <t>PARTLY ANSWERED</t>
        </is>
      </c>
      <c r="D89" s="6">
        <f>IFERROR(INDEX(Lists!$B$2:$B$14,MATCH(C89,Lists!$A$2:$A$14,0)),"?")</f>
        <v/>
      </c>
      <c r="E89" s="6">
        <f>IF(COUNTIFS(Links!$B$2:$B$600,A89,Links!$E$2:$E$600,"Yes")&gt;0,"REVISE","")</f>
        <v/>
      </c>
      <c r="F89" s="6">
        <f>COUNTIFS(Links!$B$2:$B$600,A89,Links!$D$2:$D$600,"No",Links!$C$2:$C$600,"&lt;&gt;INFORMS")</f>
        <v/>
      </c>
      <c r="G89" s="8" t="inlineStr">
        <is>
          <t>RECORDS-AT-HAND</t>
        </is>
      </c>
      <c r="H89" s="6" t="inlineStr">
        <is>
          <t>K17 Record repair &amp; procedure error</t>
        </is>
      </c>
      <c r="I89" s="6" t="inlineStr">
        <is>
          <t>G4 Before claims</t>
        </is>
      </c>
      <c r="J89" s="6" t="inlineStr">
        <is>
          <t>Normal</t>
        </is>
      </c>
      <c r="K89" s="6" t="n">
        <v>149</v>
      </c>
      <c r="L89" s="6" t="inlineStr">
        <is>
          <t>W2 Desk work (no model runs)</t>
        </is>
      </c>
      <c r="M89" s="6" t="inlineStr">
        <is>
          <t>S15</t>
        </is>
      </c>
      <c r="N89" s="6" t="inlineStr">
        <is>
          <t>Lead + fresh reviewer</t>
        </is>
      </c>
      <c r="O89" s="6" t="inlineStr">
        <is>
          <t>You decide whether the successor wording and the updated FitText sentences are recorded (a record edit)</t>
        </is>
      </c>
      <c r="P89" s="6" t="inlineStr">
        <is>
          <t>Partly</t>
        </is>
      </c>
      <c r="Q89" s="6" t="inlineStr">
        <is>
          <t>Record fix</t>
        </is>
      </c>
      <c r="R89" s="6" t="inlineStr">
        <is>
          <t>Sub-item</t>
        </is>
      </c>
      <c r="S89" s="6" t="inlineStr">
        <is>
          <t>C-R03</t>
        </is>
      </c>
      <c r="T89" s="6" t="inlineStr">
        <is>
          <t>SRC-06 C23: RV-0002 is a draft with residues.</t>
        </is>
      </c>
      <c r="U89"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89" s="6" t="inlineStr">
        <is>
          <t>RV-0002 finalised or marked superseded.</t>
        </is>
      </c>
      <c r="W89" s="6" t="inlineStr"/>
      <c r="X89" s="6" t="inlineStr"/>
      <c r="Y89" s="6" t="inlineStr"/>
      <c r="Z89" s="6" t="inlineStr"/>
      <c r="AA89" s="6" t="inlineStr"/>
      <c r="AB89" s="6" t="inlineStr">
        <is>
          <t>RECORD+DATA</t>
        </is>
      </c>
      <c r="AC89" s="6" t="inlineStr">
        <is>
          <t>n/a (sub-item)</t>
        </is>
      </c>
      <c r="AD89" s="6" t="inlineStr">
        <is>
          <t>NEW (SRC-11 sub-row)</t>
        </is>
      </c>
      <c r="AE89" s="6" t="inlineStr">
        <is>
          <t>2026-10-20</t>
        </is>
      </c>
      <c r="AF89" s="6" t="inlineStr">
        <is>
          <t>EXT-0224, EXT-0225, EXT-0226; reviews/RV-0017.md, RV-0018.md, RV-0019.md (fresh reviewers, same model family; RV-0018 ended at its turn limit after CH-0016 and CH-0017 to CH-0019 were done in RV-0019; no shell, so no origin extraction runs)</t>
        </is>
      </c>
      <c r="AG89" s="6" t="inlineStr"/>
      <c r="AH89" s="6" t="inlineStr">
        <is>
          <t>No</t>
        </is>
      </c>
      <c r="AI89" s="6" t="inlineStr"/>
      <c r="AJ89" s="6" t="inlineStr">
        <is>
          <t>SRC-11 section D4</t>
        </is>
      </c>
      <c r="AK89" s="6" t="inlineStr">
        <is>
          <t>SRC-06 C23</t>
        </is>
      </c>
      <c r="AL89" s="6" t="inlineStr">
        <is>
          <t>S15</t>
        </is>
      </c>
    </row>
    <row r="90" ht="278" customHeight="1">
      <c r="A90" s="5" t="inlineStr">
        <is>
          <t>C-R03/C24</t>
        </is>
      </c>
      <c r="B90" s="6" t="inlineStr">
        <is>
          <t>Propagation defects (agreed fixes not carried into operative text)</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G4 Before claims</t>
        </is>
      </c>
      <c r="J90" s="6" t="inlineStr">
        <is>
          <t>Normal</t>
        </is>
      </c>
      <c r="K90" s="6" t="n">
        <v>150</v>
      </c>
      <c r="L90" s="6" t="inlineStr">
        <is>
          <t>W2 Desk work (no model runs)</t>
        </is>
      </c>
      <c r="M90" s="6" t="inlineStr">
        <is>
          <t>S15</t>
        </is>
      </c>
      <c r="N90" s="6" t="inlineStr">
        <is>
          <t>Lead + fresh reviewer</t>
        </is>
      </c>
      <c r="O90" s="6" t="inlineStr">
        <is>
          <t>Operative wording to be verified per record when the successor notes are drafted</t>
        </is>
      </c>
      <c r="P90" s="6" t="inlineStr">
        <is>
          <t>Partly</t>
        </is>
      </c>
      <c r="Q90" s="6" t="inlineStr">
        <is>
          <t>Record fix</t>
        </is>
      </c>
      <c r="R90" s="6" t="inlineStr">
        <is>
          <t>Sub-item</t>
        </is>
      </c>
      <c r="S90" s="6" t="inlineStr">
        <is>
          <t>C-R03</t>
        </is>
      </c>
      <c r="T90" s="6" t="inlineStr">
        <is>
          <t>SRC-06 C24: agreed fixes were not carried into the operative text of several records.</t>
        </is>
      </c>
      <c r="U90"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0" s="6" t="inlineStr">
        <is>
          <t>Operative wording verified per record.</t>
        </is>
      </c>
      <c r="W90" s="6" t="inlineStr"/>
      <c r="X90" s="6" t="inlineStr"/>
      <c r="Y90" s="6" t="inlineStr"/>
      <c r="Z90" s="6" t="inlineStr"/>
      <c r="AA90" s="6" t="inlineStr"/>
      <c r="AB90" s="6" t="inlineStr">
        <is>
          <t>RECORD+DATA</t>
        </is>
      </c>
      <c r="AC90" s="6" t="inlineStr">
        <is>
          <t>n/a (sub-item)</t>
        </is>
      </c>
      <c r="AD90" s="6" t="inlineStr">
        <is>
          <t>NEW (SRC-11 sub-row)</t>
        </is>
      </c>
      <c r="AE90" s="6" t="inlineStr">
        <is>
          <t>2026-10-19</t>
        </is>
      </c>
      <c r="AF90" s="6" t="inlineStr">
        <is>
          <t>RV-0008 (reviews/RV-0008.md), thread T-20261019-104; RV-0009 (reviews/RV-0009.md), thread T-20261019-104</t>
        </is>
      </c>
      <c r="AG90" s="6" t="inlineStr"/>
      <c r="AH90" s="6" t="inlineStr">
        <is>
          <t>No</t>
        </is>
      </c>
      <c r="AI90" s="6" t="inlineStr"/>
      <c r="AJ90" s="6" t="inlineStr">
        <is>
          <t>SRC-11 section D4</t>
        </is>
      </c>
      <c r="AK90" s="6" t="inlineStr">
        <is>
          <t>SRC-06 C24</t>
        </is>
      </c>
      <c r="AL90" s="6" t="inlineStr">
        <is>
          <t>S15</t>
        </is>
      </c>
    </row>
    <row r="91" ht="300" customHeight="1">
      <c r="A91" s="5" t="inlineStr">
        <is>
          <t>C-R03/C25</t>
        </is>
      </c>
      <c r="B91" s="6" t="inlineStr">
        <is>
          <t>Unverified SUM/FND summaries</t>
        </is>
      </c>
      <c r="C91" s="6" t="inlineStr">
        <is>
          <t>OPEN</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151</v>
      </c>
      <c r="L91" s="6" t="inlineStr">
        <is>
          <t>W2 Desk work (no model runs)</t>
        </is>
      </c>
      <c r="M91" s="6" t="inlineStr">
        <is>
          <t>S15</t>
        </is>
      </c>
      <c r="N91" s="6" t="inlineStr">
        <is>
          <t>Lead + fresh reviewer</t>
        </is>
      </c>
      <c r="O91" s="6" t="inlineStr">
        <is>
          <t>Lead drafts the fix; you approve</t>
        </is>
      </c>
      <c r="P91" s="6" t="inlineStr">
        <is>
          <t>Partly</t>
        </is>
      </c>
      <c r="Q91" s="6" t="inlineStr">
        <is>
          <t>Record fix</t>
        </is>
      </c>
      <c r="R91" s="6" t="inlineStr">
        <is>
          <t>Sub-item</t>
        </is>
      </c>
      <c r="S91" s="6" t="inlineStr">
        <is>
          <t>C-R03</t>
        </is>
      </c>
      <c r="T91" s="6" t="inlineStr">
        <is>
          <t>SRC-06 C25: SUM/FND summaries are unverified (front matter says unverified-until-human-checks).</t>
        </is>
      </c>
      <c r="U91" s="6" t="inlineStr">
        <is>
          <t>All steward summaries carry 'unverified'.</t>
        </is>
      </c>
      <c r="V91" s="6" t="inlineStr">
        <is>
          <t>A human or independent check per summary.</t>
        </is>
      </c>
      <c r="W91" s="6" t="inlineStr"/>
      <c r="X91" s="6" t="inlineStr"/>
      <c r="Y91" s="6" t="inlineStr">
        <is>
          <t>Q-U27</t>
        </is>
      </c>
      <c r="Z91" s="6" t="inlineStr"/>
      <c r="AA91" s="6" t="inlineStr"/>
      <c r="AB91" s="6" t="inlineStr">
        <is>
          <t>RECORD+DATA</t>
        </is>
      </c>
      <c r="AC91" s="6" t="inlineStr">
        <is>
          <t>n/a (sub-item)</t>
        </is>
      </c>
      <c r="AD91" s="6" t="inlineStr">
        <is>
          <t>NEW (SRC-11 sub-row)</t>
        </is>
      </c>
      <c r="AE91" s="6" t="inlineStr">
        <is>
          <t>2026-10-19</t>
        </is>
      </c>
      <c r="AF91" s="6" t="inlineStr">
        <is>
          <t>findings/SUM-0003..0009 front matter</t>
        </is>
      </c>
      <c r="AG91" s="6" t="inlineStr"/>
      <c r="AH91" s="6" t="inlineStr">
        <is>
          <t>No</t>
        </is>
      </c>
      <c r="AI91" s="6" t="inlineStr"/>
      <c r="AJ91" s="6" t="inlineStr">
        <is>
          <t>SRC-11 section D4</t>
        </is>
      </c>
      <c r="AK91" s="6" t="inlineStr">
        <is>
          <t>SRC-06 C25</t>
        </is>
      </c>
      <c r="AL91" s="6" t="inlineStr">
        <is>
          <t>S15</t>
        </is>
      </c>
    </row>
    <row r="92" ht="115.5" customHeight="1">
      <c r="A92" s="5" t="inlineStr">
        <is>
          <t>C-R03/C26</t>
        </is>
      </c>
      <c r="B92" s="6" t="inlineStr">
        <is>
          <t>Cost algebra fit / unreviewed numerical slip</t>
        </is>
      </c>
      <c r="C92" s="6" t="inlineStr">
        <is>
          <t>DEFERRED</t>
        </is>
      </c>
      <c r="D92" s="6">
        <f>IFERROR(INDEX(Lists!$B$2:$B$14,MATCH(C92,Lists!$A$2:$A$14,0)),"?")</f>
        <v/>
      </c>
      <c r="E92" s="6">
        <f>IF(COUNTIFS(Links!$B$2:$B$600,A92,Links!$E$2:$E$600,"Yes")&gt;0,"REVISE","")</f>
        <v/>
      </c>
      <c r="F92" s="6">
        <f>COUNTIFS(Links!$B$2:$B$600,A92,Links!$D$2:$D$600,"No",Links!$C$2:$C$600,"&lt;&gt;INFORMS")</f>
        <v/>
      </c>
      <c r="G92" s="13" t="inlineStr">
        <is>
          <t>DESK-ANALYSIS</t>
        </is>
      </c>
      <c r="H92" s="6" t="inlineStr">
        <is>
          <t>K17 Record repair &amp; procedure error</t>
        </is>
      </c>
      <c r="I92" s="6" t="inlineStr">
        <is>
          <t>G4 Before claims</t>
        </is>
      </c>
      <c r="J92" s="6" t="inlineStr">
        <is>
          <t>Normal</t>
        </is>
      </c>
      <c r="K92" s="6" t="n">
        <v>152</v>
      </c>
      <c r="L92" s="6" t="inlineStr">
        <is>
          <t>W2 Desk work (no model runs)</t>
        </is>
      </c>
      <c r="M92" s="6" t="inlineStr">
        <is>
          <t>S15</t>
        </is>
      </c>
      <c r="N92" s="6" t="inlineStr">
        <is>
          <t>Lead + fresh reviewer</t>
        </is>
      </c>
      <c r="O92" s="6" t="inlineStr">
        <is>
          <t>none until the trigger fires</t>
        </is>
      </c>
      <c r="P92" s="6" t="inlineStr">
        <is>
          <t>Partly</t>
        </is>
      </c>
      <c r="Q92" s="6" t="inlineStr">
        <is>
          <t>Scientific unknown</t>
        </is>
      </c>
      <c r="R92" s="6" t="inlineStr">
        <is>
          <t>Sub-item</t>
        </is>
      </c>
      <c r="S92" s="6" t="inlineStr">
        <is>
          <t>C-R03</t>
        </is>
      </c>
      <c r="T92" s="6" t="inlineStr">
        <is>
          <t>SRC-06 C26: cost-algebra fit and one unreviewed numerical slip (141 vs about 115 turns in v2).</t>
        </is>
      </c>
      <c r="U92"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2" s="6" t="inlineStr">
        <is>
          <t>Closed-form algebra rechecked by a second reader.</t>
        </is>
      </c>
      <c r="W92" s="6" t="inlineStr"/>
      <c r="X92" s="6" t="inlineStr"/>
      <c r="Y92" s="6" t="inlineStr">
        <is>
          <t>Q-U26</t>
        </is>
      </c>
      <c r="Z92" s="6" t="inlineStr"/>
      <c r="AA92" s="6" t="inlineStr"/>
      <c r="AB92" s="6" t="inlineStr">
        <is>
          <t>RECORD+DATA</t>
        </is>
      </c>
      <c r="AC92" s="6" t="inlineStr">
        <is>
          <t>n/a (sub-item)</t>
        </is>
      </c>
      <c r="AD92" s="6" t="inlineStr">
        <is>
          <t>NEW (SRC-11 sub-row)</t>
        </is>
      </c>
      <c r="AE92" s="6" t="inlineStr">
        <is>
          <t>2026-10-21</t>
        </is>
      </c>
      <c r="AF92" s="6" t="inlineStr">
        <is>
          <t>INT-T-005 (requirements/intake/2026-10-21-user-decisions-after-meetings.md)</t>
        </is>
      </c>
      <c r="AG92" s="6" t="inlineStr">
        <is>
          <t>The end-to-end study is designed</t>
        </is>
      </c>
      <c r="AH92" s="6" t="inlineStr">
        <is>
          <t>No</t>
        </is>
      </c>
      <c r="AI92" s="6" t="inlineStr"/>
      <c r="AJ92" s="6" t="inlineStr">
        <is>
          <t>SRC-11 section D4</t>
        </is>
      </c>
      <c r="AK92" s="6" t="inlineStr">
        <is>
          <t>SRC-06 C26</t>
        </is>
      </c>
      <c r="AL92" s="6" t="inlineStr">
        <is>
          <t>S15</t>
        </is>
      </c>
    </row>
    <row r="93" ht="28" customHeight="1">
      <c r="A93" s="5" t="inlineStr">
        <is>
          <t>C-R03/C27</t>
        </is>
      </c>
      <c r="B93" s="6" t="inlineStr">
        <is>
          <t>Four partly supported pivotal passages (V2, V3, V6, V8)</t>
        </is>
      </c>
      <c r="C93" s="6" t="inlineStr">
        <is>
          <t>DEFERRED</t>
        </is>
      </c>
      <c r="D93" s="6">
        <f>IFERROR(INDEX(Lists!$B$2:$B$14,MATCH(C93,Lists!$A$2:$A$14,0)),"?")</f>
        <v/>
      </c>
      <c r="E93" s="6">
        <f>IF(COUNTIFS(Links!$B$2:$B$600,A93,Links!$E$2:$E$600,"Yes")&gt;0,"REVISE","")</f>
        <v/>
      </c>
      <c r="F93" s="6">
        <f>COUNTIFS(Links!$B$2:$B$600,A93,Links!$D$2:$D$600,"No",Links!$C$2:$C$600,"&lt;&gt;INFORMS")</f>
        <v/>
      </c>
      <c r="G93" s="14" t="inlineStr">
        <is>
          <t>SOURCE-REREAD</t>
        </is>
      </c>
      <c r="H93" s="6" t="inlineStr">
        <is>
          <t>K17 Record repair &amp; procedure error</t>
        </is>
      </c>
      <c r="I93" s="6" t="inlineStr">
        <is>
          <t>G4 Before claims</t>
        </is>
      </c>
      <c r="J93" s="6" t="inlineStr">
        <is>
          <t>Normal</t>
        </is>
      </c>
      <c r="K93" s="6" t="n">
        <v>153</v>
      </c>
      <c r="L93" s="6" t="inlineStr">
        <is>
          <t>W2 Desk work (no model runs)</t>
        </is>
      </c>
      <c r="M93" s="6" t="inlineStr">
        <is>
          <t>S15</t>
        </is>
      </c>
      <c r="N93" s="6" t="inlineStr">
        <is>
          <t>Lead + fresh reviewer</t>
        </is>
      </c>
      <c r="O93" s="6" t="inlineStr">
        <is>
          <t>none until the trigger fires</t>
        </is>
      </c>
      <c r="P93" s="6" t="inlineStr">
        <is>
          <t>Partly</t>
        </is>
      </c>
      <c r="Q93" s="6" t="inlineStr">
        <is>
          <t>Source check</t>
        </is>
      </c>
      <c r="R93" s="6" t="inlineStr">
        <is>
          <t>Sub-item</t>
        </is>
      </c>
      <c r="S93" s="6" t="inlineStr">
        <is>
          <t>C-R03</t>
        </is>
      </c>
      <c r="T93" s="6" t="inlineStr">
        <is>
          <t>SRC-06 C27: four of the eight pivotal passages checked in v2 were only partly supported (V2 and V3 with a CANNOT DETERMINE component).</t>
        </is>
      </c>
      <c r="U93"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3" s="6" t="inlineStr">
        <is>
          <t>Each undetermined component resolved or labelled.</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grep of design/package-v3 and design/package-v4 01-05 (lead, 2026-10-20)</t>
        </is>
      </c>
      <c r="AG93" s="6" t="inlineStr">
        <is>
          <t>C-S03/DEFUSAGE is answered, or a claim depends on a V2, V3, V6 or V8 passage</t>
        </is>
      </c>
      <c r="AH93" s="6" t="inlineStr">
        <is>
          <t>No</t>
        </is>
      </c>
      <c r="AI93" s="6" t="inlineStr"/>
      <c r="AJ93" s="6" t="inlineStr">
        <is>
          <t>SRC-11 section D4</t>
        </is>
      </c>
      <c r="AK93" s="6" t="inlineStr">
        <is>
          <t>SRC-06 C27</t>
        </is>
      </c>
      <c r="AL93" s="6" t="inlineStr">
        <is>
          <t>S15</t>
        </is>
      </c>
    </row>
    <row r="94" ht="153" customHeight="1">
      <c r="A94" s="5" t="inlineStr">
        <is>
          <t>C-R03/ROUND45-W</t>
        </is>
      </c>
      <c r="B94" s="6" t="inlineStr">
        <is>
          <t>Three wording problems in 05 rounds 4-5: in-sample AutoTailor, BFCL correlation, 'first measured cost effect of persisted memory'</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G4 Before claims</t>
        </is>
      </c>
      <c r="J94" s="6" t="inlineStr">
        <is>
          <t>Normal</t>
        </is>
      </c>
      <c r="K94" s="6" t="n">
        <v>157</v>
      </c>
      <c r="L94" s="6" t="inlineStr">
        <is>
          <t>W2 Desk work (no model runs)</t>
        </is>
      </c>
      <c r="M94" s="6" t="inlineStr">
        <is>
          <t>S15</t>
        </is>
      </c>
      <c r="N94" s="6" t="inlineStr">
        <is>
          <t>Lead drafts, you approve</t>
        </is>
      </c>
      <c r="O94" s="6" t="inlineStr">
        <is>
          <t>You approve the replacement wording</t>
        </is>
      </c>
      <c r="P94" s="6" t="inlineStr">
        <is>
          <t>Answered (see basis)</t>
        </is>
      </c>
      <c r="Q94" s="6" t="inlineStr">
        <is>
          <t>Record fix</t>
        </is>
      </c>
      <c r="R94" s="6" t="inlineStr">
        <is>
          <t>Sub-item</t>
        </is>
      </c>
      <c r="S94" s="6" t="inlineStr">
        <is>
          <t>C-R03/ROUND45</t>
        </is>
      </c>
      <c r="T9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4" s="6" t="inlineStr">
        <is>
          <t>05 states the in-sample calibration, hedges or recomputes the correlation without degenerate rows, and narrows the 'first' claim, or a successor note records it.</t>
        </is>
      </c>
      <c r="W94" s="6" t="inlineStr"/>
      <c r="X94" s="6" t="inlineStr"/>
      <c r="Y94" s="6" t="inlineStr"/>
      <c r="Z94" s="6" t="inlineStr"/>
      <c r="AA94" s="6" t="inlineStr"/>
      <c r="AB94" s="6" t="inlineStr">
        <is>
          <t>RECORD+DEC</t>
        </is>
      </c>
      <c r="AC94" s="6" t="inlineStr">
        <is>
          <t>n/a (sub-item)</t>
        </is>
      </c>
      <c r="AD94" s="6" t="inlineStr">
        <is>
          <t>NEW (repo sweep)</t>
        </is>
      </c>
      <c r="AE94" s="6" t="inlineStr">
        <is>
          <t>2026-10-20</t>
        </is>
      </c>
      <c r="AF94" s="6" t="inlineStr">
        <is>
          <t>design/package-v4/06-corrections-proposed.md section 3b; reviews/RV-0014.md, RV-0015.md, RV-0016.md (fresh reviewers, same model family, each read the source texts; RV-0014 and RV-0016 ended at their turn limit, drafts)</t>
        </is>
      </c>
      <c r="AG94" s="6" t="inlineStr"/>
      <c r="AH94" s="6" t="inlineStr">
        <is>
          <t>No (editing needs the human's approval)</t>
        </is>
      </c>
      <c r="AI94" s="6" t="inlineStr"/>
      <c r="AJ94" s="6" t="inlineStr">
        <is>
          <t>RV-0010 (Reviewer 6b2)</t>
        </is>
      </c>
      <c r="AK94" s="6" t="inlineStr"/>
      <c r="AL94" s="6" t="inlineStr">
        <is>
          <t>S15</t>
        </is>
      </c>
    </row>
    <row r="95" ht="115.5" customHeight="1">
      <c r="A95" s="5" t="inlineStr">
        <is>
          <t>C-R03/STUB</t>
        </is>
      </c>
      <c r="B95" s="6" t="inlineStr">
        <is>
          <t>Stub-schema effect on the 292K figure and 'Claude Code corpus' wording unverifiable</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159</v>
      </c>
      <c r="L95" s="6" t="inlineStr">
        <is>
          <t>W2 Desk work (no model runs)</t>
        </is>
      </c>
      <c r="M95" s="6" t="inlineStr">
        <is>
          <t>S15</t>
        </is>
      </c>
      <c r="N95" s="6" t="inlineStr">
        <is>
          <t>Lead + fresh reviewer</t>
        </is>
      </c>
      <c r="O95" s="6" t="inlineStr">
        <is>
          <t>none until the trigger fires</t>
        </is>
      </c>
      <c r="P95" s="6" t="inlineStr">
        <is>
          <t>Yes - stored text, unread</t>
        </is>
      </c>
      <c r="Q95" s="6" t="inlineStr">
        <is>
          <t>Record fix</t>
        </is>
      </c>
      <c r="R95" s="6" t="inlineStr">
        <is>
          <t>Sub-item</t>
        </is>
      </c>
      <c r="S95" s="6" t="inlineStr">
        <is>
          <t>C-R03</t>
        </is>
      </c>
      <c r="T95"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5"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5" s="6" t="inlineStr">
        <is>
          <t>Each checked in the stored texts (s4c-g2-dynamicmcpbench, r3-promcp, r3-complexmcp).</t>
        </is>
      </c>
      <c r="W95" s="6" t="inlineStr"/>
      <c r="X95" s="6" t="inlineStr"/>
      <c r="Y95" s="6" t="inlineStr"/>
      <c r="Z95" s="6" t="inlineStr"/>
      <c r="AA95" s="6" t="inlineStr"/>
      <c r="AB95" s="6" t="inlineStr">
        <is>
          <t>RECORD+SOURCE</t>
        </is>
      </c>
      <c r="AC95" s="6" t="inlineStr">
        <is>
          <t>n/a (sub-item)</t>
        </is>
      </c>
      <c r="AD95" s="6" t="inlineStr">
        <is>
          <t>NEW (repo sweep)</t>
        </is>
      </c>
      <c r="AE95" s="6" t="inlineStr">
        <is>
          <t>2026-10-20</t>
        </is>
      </c>
      <c r="AF95" s="6" t="inlineStr">
        <is>
          <t>grep of design/package-v3 and design/package-v4 01-05 (lead, 2026-10-20)</t>
        </is>
      </c>
      <c r="AG95" s="6" t="inlineStr">
        <is>
          <t>The stub share or the effect on the 292k figure is to be used, or the phrase 'Claude Code corpus' is quoted</t>
        </is>
      </c>
      <c r="AH95" s="6" t="inlineStr">
        <is>
          <t>No</t>
        </is>
      </c>
      <c r="AI95" s="6" t="inlineStr"/>
      <c r="AJ95" s="6" t="inlineStr">
        <is>
          <t>repo: v4-03 section 6 / RV-0005 / RV-0007</t>
        </is>
      </c>
      <c r="AK95" s="6" t="inlineStr">
        <is>
          <t>SUM-0004</t>
        </is>
      </c>
      <c r="AL95" s="6" t="inlineStr">
        <is>
          <t>S15</t>
        </is>
      </c>
    </row>
    <row r="96" ht="300" customHeight="1">
      <c r="A96" s="5" t="inlineStr">
        <is>
          <t>N-17</t>
        </is>
      </c>
      <c r="B96" s="6" t="inlineStr">
        <is>
          <t>Challenge-record hygiene: 24 CH records still 'open'; fixes reported applied</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160</v>
      </c>
      <c r="L96" s="6" t="inlineStr">
        <is>
          <t>W2 Desk work (no model runs)</t>
        </is>
      </c>
      <c r="M96" s="6" t="inlineStr">
        <is>
          <t>S15</t>
        </is>
      </c>
      <c r="N96" s="6" t="inlineStr">
        <is>
          <t>Lead + fresh reviewer</t>
        </is>
      </c>
      <c r="O96" s="6" t="inlineStr">
        <is>
          <t>Draft the answers to the ten residual records (rows N-17/UNANSWERED, N-17/WORDING) for your approval</t>
        </is>
      </c>
      <c r="P96" s="6" t="inlineStr">
        <is>
          <t>Answered (see basis)</t>
        </is>
      </c>
      <c r="Q96" s="6" t="inlineStr">
        <is>
          <t>Record fix</t>
        </is>
      </c>
      <c r="R96" s="6" t="inlineStr">
        <is>
          <t>Item</t>
        </is>
      </c>
      <c r="S96" s="6" t="inlineStr"/>
      <c r="T96" s="6" t="inlineStr">
        <is>
          <t>24 challenge records have front-matter status 'open' (CH-0038, 0040-0043, 0049, 0055, 0058-0074) although dispositions were reported applied in WD-022/023 and v4-05; the challenger did not re-check rounds 3-5 text; 49 others are 'conceded', 1 'withdrawn'.</t>
        </is>
      </c>
      <c r="U96"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6" s="6" t="inlineStr">
        <is>
          <t>Each record's status matches the text, with an independent re-check of the edits.</t>
        </is>
      </c>
      <c r="W96" s="6" t="inlineStr"/>
      <c r="X96" s="6" t="inlineStr"/>
      <c r="Y96" s="6" t="inlineStr"/>
      <c r="Z96" s="6" t="inlineStr"/>
      <c r="AA96" s="6" t="inlineStr"/>
      <c r="AB96" s="6" t="inlineStr">
        <is>
          <t>RECORD</t>
        </is>
      </c>
      <c r="AC96" s="6" t="inlineStr">
        <is>
          <t>n/a (new)</t>
        </is>
      </c>
      <c r="AD96" s="6" t="inlineStr">
        <is>
          <t>NEW (repo sweep)</t>
        </is>
      </c>
      <c r="AE96" s="6" t="inlineStr">
        <is>
          <t>2026-10-19</t>
        </is>
      </c>
      <c r="AF96" s="6" t="inlineStr">
        <is>
          <t>challenges/CH-0038..0071 (14 files, status and status_note lines); ops/AUTHORIZATIONS.md AUTH-017 (human, 2026-10-19); reviews/RV-0008.md</t>
        </is>
      </c>
      <c r="AG96" s="6" t="inlineStr"/>
      <c r="AH96" s="6" t="inlineStr">
        <is>
          <t>No</t>
        </is>
      </c>
      <c r="AI96" s="6" t="inlineStr"/>
      <c r="AJ96" s="6" t="inlineStr">
        <is>
          <t>repo: challenges/, reviews/RV-0005..0007</t>
        </is>
      </c>
      <c r="AK96" s="6" t="inlineStr">
        <is>
          <t>CH-0058, CH-0064, CH-0068, CH-0071, CH-0074, CH-0049, CH-0055</t>
        </is>
      </c>
      <c r="AL96" s="6" t="inlineStr">
        <is>
          <t>S15</t>
        </is>
      </c>
    </row>
    <row r="97" ht="300" customHeight="1">
      <c r="A97" s="5" t="inlineStr">
        <is>
          <t>N-17/UNANSWERED</t>
        </is>
      </c>
      <c r="B97" s="6" t="inlineStr">
        <is>
          <t>Eight objections in the 24 open challenge records are answered nowhere</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G4 Before claims</t>
        </is>
      </c>
      <c r="J97" s="6" t="inlineStr">
        <is>
          <t>Normal</t>
        </is>
      </c>
      <c r="K97" s="6" t="n">
        <v>162</v>
      </c>
      <c r="L97" s="6" t="inlineStr">
        <is>
          <t>W2 Desk work (no model runs)</t>
        </is>
      </c>
      <c r="M97" s="6" t="inlineStr">
        <is>
          <t>S15</t>
        </is>
      </c>
      <c r="N97" s="6" t="inlineStr">
        <is>
          <t>Lead drafts, you approve</t>
        </is>
      </c>
      <c r="O97" s="6" t="inlineStr">
        <is>
          <t>You approve the drafting items and take or hand on the three decisions</t>
        </is>
      </c>
      <c r="P97" s="6" t="inlineStr">
        <is>
          <t>Answered (see basis)</t>
        </is>
      </c>
      <c r="Q97" s="6" t="inlineStr">
        <is>
          <t>Record fix</t>
        </is>
      </c>
      <c r="R97" s="6" t="inlineStr">
        <is>
          <t>Sub-item</t>
        </is>
      </c>
      <c r="S97" s="6" t="inlineStr">
        <is>
          <t>N-17</t>
        </is>
      </c>
      <c r="T97"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7"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7" s="6" t="inlineStr">
        <is>
          <t>Each objection is answered in the operative text, or recorded as accepted limitation or not applicable.</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4; reviews/RV-0008.md</t>
        </is>
      </c>
      <c r="AG97" s="6" t="inlineStr"/>
      <c r="AH97" s="6" t="inlineStr">
        <is>
          <t>No (editing needs the human's approval)</t>
        </is>
      </c>
      <c r="AI97" s="6" t="inlineStr"/>
      <c r="AJ97" s="6" t="inlineStr">
        <is>
          <t>RV-0008 (Reviewer 6a)</t>
        </is>
      </c>
      <c r="AK97" s="6" t="inlineStr"/>
      <c r="AL97" s="6" t="inlineStr">
        <is>
          <t>S15</t>
        </is>
      </c>
    </row>
    <row r="98" ht="300" customHeight="1">
      <c r="A98" s="5" t="inlineStr">
        <is>
          <t>N-17/WORDING</t>
        </is>
      </c>
      <c r="B98" s="6" t="inlineStr">
        <is>
          <t>Unhedged 'real gap' wording and three different counts in the literature summary and brief</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163</v>
      </c>
      <c r="L98" s="6" t="inlineStr">
        <is>
          <t>W2 Desk work (no model runs)</t>
        </is>
      </c>
      <c r="M98" s="6" t="inlineStr">
        <is>
          <t>S15</t>
        </is>
      </c>
      <c r="N98" s="6" t="inlineStr">
        <is>
          <t>Lead drafts, you approve</t>
        </is>
      </c>
      <c r="O98" s="6" t="inlineStr">
        <is>
          <t>You approve the replacement wording</t>
        </is>
      </c>
      <c r="P98" s="6" t="inlineStr">
        <is>
          <t>Answered (see basis)</t>
        </is>
      </c>
      <c r="Q98" s="6" t="inlineStr">
        <is>
          <t>Record fix</t>
        </is>
      </c>
      <c r="R98" s="6" t="inlineStr">
        <is>
          <t>Sub-item</t>
        </is>
      </c>
      <c r="S98" s="6" t="inlineStr">
        <is>
          <t>N-17</t>
        </is>
      </c>
      <c r="T98"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98"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98" s="6" t="inlineStr">
        <is>
          <t>The brief and 05 carry hedged wording ('no source found' not 'real gap') and one consistent count, or a successor note records both.</t>
        </is>
      </c>
      <c r="W98" s="6" t="inlineStr"/>
      <c r="X98" s="6" t="inlineStr"/>
      <c r="Y98" s="6" t="inlineStr"/>
      <c r="Z98" s="6" t="inlineStr"/>
      <c r="AA98" s="6" t="inlineStr"/>
      <c r="AB98" s="6" t="inlineStr">
        <is>
          <t>RECORD+DEC</t>
        </is>
      </c>
      <c r="AC98" s="6" t="inlineStr">
        <is>
          <t>n/a (sub-item)</t>
        </is>
      </c>
      <c r="AD98" s="6" t="inlineStr">
        <is>
          <t>NEW (repo sweep)</t>
        </is>
      </c>
      <c r="AE98" s="6" t="inlineStr">
        <is>
          <t>2026-10-20</t>
        </is>
      </c>
      <c r="AF98" s="6" t="inlineStr">
        <is>
          <t>design/package-v4/06-corrections-proposed.md section 3b</t>
        </is>
      </c>
      <c r="AG98" s="6" t="inlineStr"/>
      <c r="AH98" s="6" t="inlineStr">
        <is>
          <t>No (editing needs the human's approval)</t>
        </is>
      </c>
      <c r="AI98" s="6" t="inlineStr"/>
      <c r="AJ98" s="6" t="inlineStr">
        <is>
          <t>RV-0008 (Reviewer 6a) and lead check</t>
        </is>
      </c>
      <c r="AK98" s="6" t="inlineStr"/>
      <c r="AL98" s="6" t="inlineStr">
        <is>
          <t>S15</t>
        </is>
      </c>
    </row>
    <row r="99" ht="290.5" customHeight="1">
      <c r="A99" s="5" t="inlineStr">
        <is>
          <t>C-D09</t>
        </is>
      </c>
      <c r="B99" s="6" t="inlineStr">
        <is>
          <t>Authorization to run any experiment, smoke run or script (V3 E1-E8).</t>
        </is>
      </c>
      <c r="C99" s="6" t="inlineStr">
        <is>
          <t>OPEN</t>
        </is>
      </c>
      <c r="D99" s="6">
        <f>IFERROR(INDEX(Lists!$B$2:$B$14,MATCH(C99,Lists!$A$2:$A$14,0)),"?")</f>
        <v/>
      </c>
      <c r="E99" s="6">
        <f>IF(COUNTIFS(Links!$B$2:$B$600,A99,Links!$E$2:$E$600,"Yes")&gt;0,"REVISE","")</f>
        <v/>
      </c>
      <c r="F99" s="6">
        <f>COUNTIFS(Links!$B$2:$B$600,A99,Links!$D$2:$D$600,"No",Links!$C$2:$C$600,"&lt;&gt;INFORMS")</f>
        <v/>
      </c>
      <c r="G99" s="9" t="inlineStr">
        <is>
          <t>USER-DECISION</t>
        </is>
      </c>
      <c r="H99" s="6" t="inlineStr">
        <is>
          <t>K6 Deliverable &amp; authorization</t>
        </is>
      </c>
      <c r="I99" s="6" t="inlineStr">
        <is>
          <t>G1 Before any implementation</t>
        </is>
      </c>
      <c r="J99" s="6" t="inlineStr">
        <is>
          <t>High</t>
        </is>
      </c>
      <c r="K99" s="6" t="n">
        <v>165</v>
      </c>
      <c r="L99" s="6" t="inlineStr">
        <is>
          <t>W3 Pilots (AUTH)</t>
        </is>
      </c>
      <c r="M99" s="6" t="inlineStr">
        <is>
          <t>S16</t>
        </is>
      </c>
      <c r="N99" s="6" t="inlineStr">
        <is>
          <t>You (v4 also wants the supervisor's approval and a budget)</t>
        </is>
      </c>
      <c r="O99" s="6" t="inlineStr">
        <is>
          <t>Authorize the first experiment (Q-U14)</t>
        </is>
      </c>
      <c r="P99" s="6" t="inlineStr">
        <is>
          <t>n/a</t>
        </is>
      </c>
      <c r="Q99" s="6" t="inlineStr">
        <is>
          <t>Decision</t>
        </is>
      </c>
      <c r="R99" s="6" t="inlineStr">
        <is>
          <t>Item</t>
        </is>
      </c>
      <c r="S99" s="6" t="inlineStr"/>
      <c r="T99" s="6" t="inlineStr">
        <is>
          <t>Authorization to run any experiment, smoke run or script (V3 E1-E8).</t>
        </is>
      </c>
      <c r="U99"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99" s="6" t="inlineStr">
        <is>
          <t>An AUTH row per pilot with provider, model, budget cap and what is recorded.</t>
        </is>
      </c>
      <c r="W99" s="6" t="inlineStr">
        <is>
          <t>C-D05, C-D08</t>
        </is>
      </c>
      <c r="X99" s="6" t="inlineStr">
        <is>
          <t>C-D13, C-D11</t>
        </is>
      </c>
      <c r="Y99" s="6" t="inlineStr">
        <is>
          <t>Q-J17, Q-U06, Q-U14</t>
        </is>
      </c>
      <c r="Z99" s="6" t="inlineStr">
        <is>
          <t>JOAA-DECISION</t>
        </is>
      </c>
      <c r="AA99" s="6" t="inlineStr">
        <is>
          <t>K11 End-to-end comparison</t>
        </is>
      </c>
      <c r="AB99" s="6" t="inlineStr">
        <is>
          <t>DEC</t>
        </is>
      </c>
      <c r="AC99" s="6" t="inlineStr">
        <is>
          <t>OPEN</t>
        </is>
      </c>
      <c r="AD99" s="6" t="inlineStr">
        <is>
          <t>UNCHANGED</t>
        </is>
      </c>
      <c r="AE99" s="6" t="inlineStr">
        <is>
          <t>2026-10-21</t>
        </is>
      </c>
      <c r="AF99" s="6" t="inlineStr">
        <is>
          <t>INT-T-002 (requirements/intake/2026-10-21-supervisor-meeting-2026-10-21-notes-and-transcript.md); mapping design/ledger/notes/MEETINGS-MAPPING-20261021.md checked line by line by FND-0035 and FND-0036; REGISTER section H</t>
        </is>
      </c>
      <c r="AG99" s="6" t="inlineStr"/>
      <c r="AH99" s="6" t="inlineStr">
        <is>
          <t>This is the AUTH</t>
        </is>
      </c>
      <c r="AI99" s="6" t="inlineStr"/>
      <c r="AJ99" s="6" t="inlineStr">
        <is>
          <t>SRC-11 canonical</t>
        </is>
      </c>
      <c r="AK99" s="6" t="inlineStr">
        <is>
          <t>SRC-06 D12, SRC-07 11</t>
        </is>
      </c>
      <c r="AL99" s="6" t="inlineStr">
        <is>
          <t>S16</t>
        </is>
      </c>
    </row>
    <row r="100" ht="300" customHeight="1">
      <c r="A100" s="5" t="inlineStr">
        <is>
          <t>C-S16</t>
        </is>
      </c>
      <c r="B100" s="6" t="inlineStr">
        <is>
          <t>Evaluation-vehicle biases (replay routes, stub distractors, 12-turn cap, reference-consistent subset) have ...</t>
        </is>
      </c>
      <c r="C100" s="6" t="inlineStr">
        <is>
          <t>OPEN</t>
        </is>
      </c>
      <c r="D100" s="6">
        <f>IFERROR(INDEX(Lists!$B$2:$B$14,MATCH(C100,Lists!$A$2:$A$14,0)),"?")</f>
        <v/>
      </c>
      <c r="E100" s="6">
        <f>IF(COUNTIFS(Links!$B$2:$B$600,A100,Links!$E$2:$E$600,"Yes")&gt;0,"REVISE","")</f>
        <v/>
      </c>
      <c r="F100" s="6">
        <f>COUNTIFS(Links!$B$2:$B$600,A100,Links!$D$2:$D$600,"No",Links!$C$2:$C$600,"&lt;&gt;INFORMS")</f>
        <v/>
      </c>
      <c r="G100" s="17" t="inlineStr">
        <is>
          <t>TEST-PILOT</t>
        </is>
      </c>
      <c r="H100" s="6" t="inlineStr">
        <is>
          <t>K13 Vehicle validity</t>
        </is>
      </c>
      <c r="I100" s="6" t="inlineStr">
        <is>
          <t>G2 Before the affected pilot/arm</t>
        </is>
      </c>
      <c r="J100" s="6" t="inlineStr">
        <is>
          <t>High</t>
        </is>
      </c>
      <c r="K100" s="6" t="n">
        <v>166</v>
      </c>
      <c r="L100" s="6" t="inlineStr">
        <is>
          <t>W3 Pilots (AUTH)</t>
        </is>
      </c>
      <c r="M100" s="6" t="inlineStr">
        <is>
          <t>S17</t>
        </is>
      </c>
      <c r="N100" s="6" t="inlineStr">
        <is>
          <t>Team</t>
        </is>
      </c>
      <c r="O100" s="6" t="inlineStr">
        <is>
          <t>Needs an AUTH and a protocol</t>
        </is>
      </c>
      <c r="P100" s="6" t="inlineStr">
        <is>
          <t>Partly</t>
        </is>
      </c>
      <c r="Q100" s="6" t="inlineStr">
        <is>
          <t>Scientific unknown</t>
        </is>
      </c>
      <c r="R100" s="6" t="inlineStr">
        <is>
          <t>Item</t>
        </is>
      </c>
      <c r="S100" s="6" t="inlineStr"/>
      <c r="T100" s="6" t="inlineStr">
        <is>
          <t>Evaluation-vehicle biases (replay routes, stub distractors, 12-turn cap, reference-consistent subset) have no measured effect.</t>
        </is>
      </c>
      <c r="U100" s="6" t="inlineStr">
        <is>
          <t>Documented (CAVEATS 3-4; 1,578 of 1,845 specs reference-consistent) but not run.</t>
        </is>
      </c>
      <c r="V100" s="6" t="inlineStr">
        <is>
          <t>Smoke run if the vehicle will carry a claim; otherwise limitation stated with scope.</t>
        </is>
      </c>
      <c r="W100" s="6" t="inlineStr">
        <is>
          <t>C-D08, C-D09</t>
        </is>
      </c>
      <c r="X100" s="6" t="inlineStr"/>
      <c r="Y100" s="6" t="inlineStr">
        <is>
          <t>Q-U03</t>
        </is>
      </c>
      <c r="Z100" s="6" t="inlineStr">
        <is>
          <t>ACCEPT-LIMITATION</t>
        </is>
      </c>
      <c r="AA100" s="6" t="inlineStr"/>
      <c r="AB100" s="6" t="inlineStr">
        <is>
          <t>DATA+BOUND</t>
        </is>
      </c>
      <c r="AC100" s="6" t="inlineStr">
        <is>
          <t>OPEN</t>
        </is>
      </c>
      <c r="AD100" s="6" t="inlineStr">
        <is>
          <t>UNCHANGED</t>
        </is>
      </c>
      <c r="AE100" s="6" t="inlineStr">
        <is>
          <t>2026-10-19</t>
        </is>
      </c>
      <c r="AF100" s="6" t="inlineStr">
        <is>
          <t>CAVEATS rows 3-4; v4-02 section 7</t>
        </is>
      </c>
      <c r="AG100" s="6" t="inlineStr"/>
      <c r="AH100" s="6" t="inlineStr">
        <is>
          <t>Yes</t>
        </is>
      </c>
      <c r="AI100" s="6" t="inlineStr"/>
      <c r="AJ100" s="6" t="inlineStr">
        <is>
          <t>SRC-11 canonical</t>
        </is>
      </c>
      <c r="AK100" s="6" t="inlineStr">
        <is>
          <t>SRC-06 S34, CAVEATS 3, CAVEATS 4</t>
        </is>
      </c>
      <c r="AL100" s="6" t="inlineStr">
        <is>
          <t>S17</t>
        </is>
      </c>
    </row>
    <row r="101" ht="103" customHeight="1">
      <c r="A101" s="5" t="inlineStr">
        <is>
          <t>C-X08</t>
        </is>
      </c>
      <c r="B101" s="6" t="inlineStr">
        <is>
          <t>Smoke execution of the evaluation vehicle that answers C-S16.</t>
        </is>
      </c>
      <c r="C101" s="6" t="inlineStr">
        <is>
          <t>UNRUN</t>
        </is>
      </c>
      <c r="D101" s="6">
        <f>IFERROR(INDEX(Lists!$B$2:$B$14,MATCH(C101,Lists!$A$2:$A$14,0)),"?")</f>
        <v/>
      </c>
      <c r="E101" s="6">
        <f>IF(COUNTIFS(Links!$B$2:$B$600,A101,Links!$E$2:$E$600,"Yes")&gt;0,"REVISE","")</f>
        <v/>
      </c>
      <c r="F101" s="6">
        <f>COUNTIFS(Links!$B$2:$B$600,A101,Links!$D$2:$D$600,"No",Links!$C$2:$C$600,"&lt;&gt;INFORMS")</f>
        <v/>
      </c>
      <c r="G101" s="17" t="inlineStr">
        <is>
          <t>TEST-PILOT</t>
        </is>
      </c>
      <c r="H101" s="6" t="inlineStr">
        <is>
          <t>K13 Vehicle validity</t>
        </is>
      </c>
      <c r="I101" s="6" t="inlineStr">
        <is>
          <t>G2 Before the affected pilot/arm</t>
        </is>
      </c>
      <c r="J101" s="6" t="inlineStr">
        <is>
          <t>High</t>
        </is>
      </c>
      <c r="K101" s="6" t="n">
        <v>167</v>
      </c>
      <c r="L101" s="6" t="inlineStr">
        <is>
          <t>W3 Pilots (AUTH)</t>
        </is>
      </c>
      <c r="M101" s="6" t="inlineStr">
        <is>
          <t>S17</t>
        </is>
      </c>
      <c r="N101" s="6" t="inlineStr">
        <is>
          <t>Team</t>
        </is>
      </c>
      <c r="O101" s="6" t="inlineStr">
        <is>
          <t>Needs an AUTH and a protocol</t>
        </is>
      </c>
      <c r="P101" s="6" t="inlineStr">
        <is>
          <t>No</t>
        </is>
      </c>
      <c r="Q101" s="6" t="inlineStr">
        <is>
          <t>Test</t>
        </is>
      </c>
      <c r="R101" s="6" t="inlineStr">
        <is>
          <t>Check</t>
        </is>
      </c>
      <c r="S101" s="6" t="inlineStr"/>
      <c r="T101" s="6" t="inlineStr">
        <is>
          <t>Smoke execution of the evaluation vehicle that answers C-S16.</t>
        </is>
      </c>
      <c r="U101" s="6" t="inlineStr">
        <is>
          <t>Not run; do it only if the vehicle will be used and differs from any earlier vehicle.</t>
        </is>
      </c>
      <c r="V101" s="6" t="inlineStr">
        <is>
          <t>Same as C-S16.</t>
        </is>
      </c>
      <c r="W101" s="6" t="inlineStr">
        <is>
          <t>C-D08, C-D09</t>
        </is>
      </c>
      <c r="X101" s="6" t="inlineStr"/>
      <c r="Y101" s="6" t="inlineStr"/>
      <c r="Z101" s="6" t="inlineStr"/>
      <c r="AA101" s="6" t="inlineStr"/>
      <c r="AB101" s="6" t="inlineStr">
        <is>
          <t>DATA</t>
        </is>
      </c>
      <c r="AC101" s="6" t="inlineStr">
        <is>
          <t>NO RESULT - OPEN</t>
        </is>
      </c>
      <c r="AD101" s="6" t="inlineStr">
        <is>
          <t>UNCHANGED</t>
        </is>
      </c>
      <c r="AE101" s="6" t="inlineStr">
        <is>
          <t>2026-10-19</t>
        </is>
      </c>
      <c r="AF101" s="6" t="inlineStr">
        <is>
          <t>CAVEATS rows 3-4</t>
        </is>
      </c>
      <c r="AG101" s="6" t="inlineStr"/>
      <c r="AH101" s="6" t="inlineStr">
        <is>
          <t>Yes</t>
        </is>
      </c>
      <c r="AI101" s="6" t="inlineStr"/>
      <c r="AJ101" s="6" t="inlineStr">
        <is>
          <t>SRC-11 canonical</t>
        </is>
      </c>
      <c r="AK101" s="6" t="inlineStr">
        <is>
          <t>smoke run</t>
        </is>
      </c>
      <c r="AL101" s="6" t="inlineStr">
        <is>
          <t>S17</t>
        </is>
      </c>
    </row>
    <row r="102" ht="40.5" customHeight="1">
      <c r="A102" s="5" t="inlineStr">
        <is>
          <t>C-S03/DEFUSAGE</t>
        </is>
      </c>
      <c r="B102" s="6" t="inlineStr">
        <is>
          <t>Do deferred or withdrawn definitions count in provider usage and the bill?</t>
        </is>
      </c>
      <c r="C102" s="6" t="inlineStr">
        <is>
          <t>PARTLY ANSWERED</t>
        </is>
      </c>
      <c r="D102" s="6">
        <f>IFERROR(INDEX(Lists!$B$2:$B$14,MATCH(C102,Lists!$A$2:$A$14,0)),"?")</f>
        <v/>
      </c>
      <c r="E102" s="6">
        <f>IF(COUNTIFS(Links!$B$2:$B$600,A102,Links!$E$2:$E$600,"Yes")&gt;0,"REVISE","")</f>
        <v/>
      </c>
      <c r="F102" s="6">
        <f>COUNTIFS(Links!$B$2:$B$600,A102,Links!$D$2:$D$600,"No",Links!$C$2:$C$600,"&lt;&gt;INFORMS")</f>
        <v/>
      </c>
      <c r="G102" s="17" t="inlineStr">
        <is>
          <t>TEST-PILOT</t>
        </is>
      </c>
      <c r="H102" s="6" t="inlineStr">
        <is>
          <t>K9 Cache &amp; billing</t>
        </is>
      </c>
      <c r="I102" s="6" t="inlineStr">
        <is>
          <t>G3 Before confirmatory study</t>
        </is>
      </c>
      <c r="J102" s="6" t="inlineStr">
        <is>
          <t>Normal</t>
        </is>
      </c>
      <c r="K102" s="6" t="n">
        <v>168</v>
      </c>
      <c r="L102" s="6" t="inlineStr">
        <is>
          <t>W3 Pilots (AUTH)</t>
        </is>
      </c>
      <c r="M102" s="6" t="inlineStr">
        <is>
          <t>S18</t>
        </is>
      </c>
      <c r="N102" s="6" t="inlineStr">
        <is>
          <t>Team / provider</t>
        </is>
      </c>
      <c r="O102" s="6" t="inlineStr">
        <is>
          <t>05 P0 part 2, P5</t>
        </is>
      </c>
      <c r="P102" s="6" t="inlineStr">
        <is>
          <t>Partly</t>
        </is>
      </c>
      <c r="Q102" s="6" t="inlineStr">
        <is>
          <t>Scientific unknown</t>
        </is>
      </c>
      <c r="R102" s="6" t="inlineStr">
        <is>
          <t>Sub-item</t>
        </is>
      </c>
      <c r="S102" s="6" t="inlineStr">
        <is>
          <t>C-S03</t>
        </is>
      </c>
      <c r="T102" s="6" t="inlineStr">
        <is>
          <t>Whether provider-reported usage and billing count deferred or withdrawn definitions is not stated in any stored extract; v2 steward V2 'CANNOT DETERMINE'; EXT-0009 says every definition is still sent in the tools array each request.</t>
        </is>
      </c>
      <c r="U10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OpenAI deferred functions still send name and description; on the university API vendor deferral is not available (open-weight models, 05 P0 part 1), so a client search applies | V5 2026-10-27: on the university route vendor deferral does not exist; a changed tools array and appended definitions are tested by the second probe (C3, C4)</t>
        </is>
      </c>
      <c r="V102" s="6" t="inlineStr">
        <is>
          <t>Usage records of a matched pair (with and without a deferred block) on one provider.</t>
        </is>
      </c>
      <c r="W102" s="6" t="inlineStr">
        <is>
          <t>C-D09, C-D08</t>
        </is>
      </c>
      <c r="X102" s="6" t="inlineStr"/>
      <c r="Y102" s="6" t="inlineStr"/>
      <c r="Z102" s="6" t="inlineStr"/>
      <c r="AA102" s="6" t="inlineStr"/>
      <c r="AB102" s="6" t="inlineStr">
        <is>
          <t>DATA+SOURCE</t>
        </is>
      </c>
      <c r="AC102" s="6" t="inlineStr">
        <is>
          <t>n/a (sub-item)</t>
        </is>
      </c>
      <c r="AD102" s="6" t="inlineStr">
        <is>
          <t>NEW (SRC-11 sub-row)</t>
        </is>
      </c>
      <c r="AE102" s="6" t="inlineStr">
        <is>
          <t>2026-10-27</t>
        </is>
      </c>
      <c r="AF102" s="6" t="inlineStr">
        <is>
          <t>L/v5-openai-tool-search-20261022.md:22; L/v5-scads-llm-state-20261022.json</t>
        </is>
      </c>
      <c r="AG102" s="6" t="inlineStr"/>
      <c r="AH102" s="6" t="inlineStr">
        <is>
          <t>Yes</t>
        </is>
      </c>
      <c r="AI102" s="6" t="inlineStr"/>
      <c r="AJ102" s="6" t="inlineStr">
        <is>
          <t>repo: v4-05 section 1A / v2-05 / v3-04</t>
        </is>
      </c>
      <c r="AK102" s="6" t="inlineStr">
        <is>
          <t>v2-05 row 3, v3-04 section 5</t>
        </is>
      </c>
      <c r="AL102" s="6" t="inlineStr">
        <is>
          <t>S18</t>
        </is>
      </c>
    </row>
    <row r="103" ht="28" customHeight="1">
      <c r="A103" s="5" t="inlineStr">
        <is>
          <t>C-S06</t>
        </is>
      </c>
      <c r="B103" s="6" t="inlineStr">
        <is>
          <t>Output-side vs definition-side savings, harness variance, model/tokenizer drift: no equal-success controlle...</t>
        </is>
      </c>
      <c r="C103" s="6" t="inlineStr">
        <is>
          <t>PARTLY ANSWERED</t>
        </is>
      </c>
      <c r="D103" s="6">
        <f>IFERROR(INDEX(Lists!$B$2:$B$14,MATCH(C103,Lists!$A$2:$A$14,0)),"?")</f>
        <v/>
      </c>
      <c r="E103" s="6">
        <f>IF(COUNTIFS(Links!$B$2:$B$600,A103,Links!$E$2:$E$600,"Yes")&gt;0,"REVISE","")</f>
        <v/>
      </c>
      <c r="F103" s="6">
        <f>COUNTIFS(Links!$B$2:$B$600,A103,Links!$D$2:$D$600,"No",Links!$C$2:$C$600,"&lt;&gt;INFORMS")</f>
        <v/>
      </c>
      <c r="G103" s="17" t="inlineStr">
        <is>
          <t>TEST-PILOT</t>
        </is>
      </c>
      <c r="H103" s="6" t="inlineStr">
        <is>
          <t>K9 Cache &amp; billing</t>
        </is>
      </c>
      <c r="I103" s="6" t="inlineStr">
        <is>
          <t>G4 Before claims</t>
        </is>
      </c>
      <c r="J103" s="6" t="inlineStr">
        <is>
          <t>Normal</t>
        </is>
      </c>
      <c r="K103" s="6" t="n">
        <v>171</v>
      </c>
      <c r="L103" s="6" t="inlineStr">
        <is>
          <t>W3 Pilots (AUTH)</t>
        </is>
      </c>
      <c r="M103" s="6" t="inlineStr">
        <is>
          <t>S18</t>
        </is>
      </c>
      <c r="N103" s="6" t="inlineStr">
        <is>
          <t>Team</t>
        </is>
      </c>
      <c r="O103" s="6" t="inlineStr">
        <is>
          <t>Test only the remainder, in the proof-of-concept loop</t>
        </is>
      </c>
      <c r="P103" s="6" t="inlineStr">
        <is>
          <t>No</t>
        </is>
      </c>
      <c r="Q103" s="6" t="inlineStr">
        <is>
          <t>Scientific unknown</t>
        </is>
      </c>
      <c r="R103" s="6" t="inlineStr">
        <is>
          <t>Item</t>
        </is>
      </c>
      <c r="S103" s="6" t="inlineStr"/>
      <c r="T103" s="6" t="inlineStr">
        <is>
          <t>Output-side vs definition-side savings, harness variance, model/tokenizer drift: no equal-success controlled comparison.</t>
        </is>
      </c>
      <c r="U103"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3" s="6" t="inlineStr">
        <is>
          <t>Versions fixed; trajectories compared; sensitivity reported (or deferred with trigger).</t>
        </is>
      </c>
      <c r="W103" s="6" t="inlineStr">
        <is>
          <t>C-D09, N-4</t>
        </is>
      </c>
      <c r="X103" s="6" t="inlineStr"/>
      <c r="Y103" s="6" t="inlineStr"/>
      <c r="Z103" s="6" t="inlineStr">
        <is>
          <t>TIME-RECHECK</t>
        </is>
      </c>
      <c r="AA103" s="6" t="inlineStr">
        <is>
          <t>K10 Token composition</t>
        </is>
      </c>
      <c r="AB103" s="6" t="inlineStr">
        <is>
          <t>DATA+TIME</t>
        </is>
      </c>
      <c r="AC103" s="6" t="inlineStr">
        <is>
          <t>OPEN</t>
        </is>
      </c>
      <c r="AD103" s="6" t="inlineStr">
        <is>
          <t>UNCHANGED</t>
        </is>
      </c>
      <c r="AE103" s="6" t="inlineStr">
        <is>
          <t>2026-10-21</t>
        </is>
      </c>
      <c r="AF103" s="6" t="inlineStr">
        <is>
          <t>FND-0037 (findings/SUM-0039)</t>
        </is>
      </c>
      <c r="AG103" s="6" t="inlineStr">
        <is>
          <t>When a provider/model is chosen</t>
        </is>
      </c>
      <c r="AH103" s="6" t="inlineStr">
        <is>
          <t>Yes</t>
        </is>
      </c>
      <c r="AI103" s="6" t="inlineStr"/>
      <c r="AJ103" s="6" t="inlineStr">
        <is>
          <t>SRC-11 canonical</t>
        </is>
      </c>
      <c r="AK103" s="6" t="inlineStr">
        <is>
          <t>SRC-06 S10, SRC-06 S11, SRC-06 S12</t>
        </is>
      </c>
      <c r="AL103" s="6" t="inlineStr">
        <is>
          <t>S18</t>
        </is>
      </c>
    </row>
    <row r="104" ht="290.5" customHeight="1">
      <c r="A104" s="5" t="inlineStr">
        <is>
          <t>N-21</t>
        </is>
      </c>
      <c r="B104" s="6" t="inlineStr">
        <is>
          <t>E1 scope: can E1 end only the token-saving line? (retained disagreement)</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K10 Token composition</t>
        </is>
      </c>
      <c r="I104" s="6" t="inlineStr">
        <is>
          <t>G3 Before confirmatory study</t>
        </is>
      </c>
      <c r="J104" s="6" t="inlineStr">
        <is>
          <t>Normal</t>
        </is>
      </c>
      <c r="K104" s="6" t="n">
        <v>172</v>
      </c>
      <c r="L104" s="6" t="inlineStr">
        <is>
          <t>W3 Pilots (AUTH)</t>
        </is>
      </c>
      <c r="M104" s="6" t="inlineStr">
        <is>
          <t>S18</t>
        </is>
      </c>
      <c r="N104" s="6" t="inlineStr">
        <is>
          <t>Team + Joaa</t>
        </is>
      </c>
      <c r="O104" s="6" t="inlineStr">
        <is>
          <t>Fold into the first measurement design</t>
        </is>
      </c>
      <c r="P104" s="6" t="inlineStr">
        <is>
          <t>No</t>
        </is>
      </c>
      <c r="Q104" s="6" t="inlineStr">
        <is>
          <t>Disagreement</t>
        </is>
      </c>
      <c r="R104" s="6" t="inlineStr">
        <is>
          <t>Sub-item</t>
        </is>
      </c>
      <c r="S104" s="6" t="inlineStr">
        <is>
          <t>C-S01</t>
        </is>
      </c>
      <c r="T104" s="6" t="inlineStr">
        <is>
          <t>Lead and challenger disagree in part: E1 can end the token-saving question for negligible-share configurations but not the feasibility question; both positions are kept in v4-02 section 8 and v4-03 section 5.</t>
        </is>
      </c>
      <c r="U104"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4" s="6" t="inlineStr">
        <is>
          <t>E1 run; consequence agreed.</t>
        </is>
      </c>
      <c r="W104" s="6" t="inlineStr">
        <is>
          <t>C-D09</t>
        </is>
      </c>
      <c r="X104" s="6" t="inlineStr"/>
      <c r="Y104" s="6" t="inlineStr"/>
      <c r="Z104" s="6" t="inlineStr"/>
      <c r="AA104" s="6" t="inlineStr"/>
      <c r="AB104" s="6" t="inlineStr">
        <is>
          <t>DATA</t>
        </is>
      </c>
      <c r="AC104" s="6" t="inlineStr">
        <is>
          <t>n/a (new)</t>
        </is>
      </c>
      <c r="AD104" s="6" t="inlineStr">
        <is>
          <t>NEW (repo sweep)</t>
        </is>
      </c>
      <c r="AE104" s="6" t="inlineStr">
        <is>
          <t>2026-10-21</t>
        </is>
      </c>
      <c r="AF104" s="6" t="inlineStr">
        <is>
          <t>FND-0037 (findings/SUM-0039); INT-T-005</t>
        </is>
      </c>
      <c r="AG104" s="6" t="inlineStr"/>
      <c r="AH104" s="6" t="inlineStr">
        <is>
          <t>Yes</t>
        </is>
      </c>
      <c r="AI104" s="6" t="inlineStr"/>
      <c r="AJ104" s="6" t="inlineStr">
        <is>
          <t>repo: v4-02 section 8; thread T-20261019-96</t>
        </is>
      </c>
      <c r="AK104" s="6" t="inlineStr"/>
      <c r="AL104" s="6" t="inlineStr">
        <is>
          <t>S18</t>
        </is>
      </c>
    </row>
    <row r="105" ht="128" customHeight="1">
      <c r="A105" s="5" t="inlineStr">
        <is>
          <t>C-S01</t>
        </is>
      </c>
      <c r="B105" s="6" t="inlineStr">
        <is>
          <t>What share of tokens in real trajectories is tool definitions vs system prompt, history, tool outputs, by o...</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K10 Token composition</t>
        </is>
      </c>
      <c r="I105" s="6" t="inlineStr">
        <is>
          <t>G3 Before confirmatory study</t>
        </is>
      </c>
      <c r="J105" s="6" t="inlineStr">
        <is>
          <t>Normal</t>
        </is>
      </c>
      <c r="K105" s="6" t="n">
        <v>173</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What share of tokens in real trajectories is tool definitions vs system prompt, history, tool outputs, by outcome?</t>
        </is>
      </c>
      <c r="U105"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Per-call provider usage split by category, size and outcome (E1); can end the token-saving line, not the feasibility line.</t>
        </is>
      </c>
      <c r="W105" s="6" t="inlineStr">
        <is>
          <t>C-D09, C-D08, C-S16</t>
        </is>
      </c>
      <c r="X105" s="6" t="inlineStr">
        <is>
          <t>C-D11, C-D02</t>
        </is>
      </c>
      <c r="Y105" s="6" t="inlineStr">
        <is>
          <t>Q-U03</t>
        </is>
      </c>
      <c r="Z105" s="6" t="inlineStr">
        <is>
          <t>DESK-ANALYSIS</t>
        </is>
      </c>
      <c r="AA105" s="6" t="inlineStr">
        <is>
          <t>K9 Cache &amp; billing</t>
        </is>
      </c>
      <c r="AB105" s="6" t="inlineStr">
        <is>
          <t>DATA</t>
        </is>
      </c>
      <c r="AC105" s="6" t="inlineStr">
        <is>
          <t>OPEN</t>
        </is>
      </c>
      <c r="AD105" s="6" t="inlineStr">
        <is>
          <t>UNCHANGED</t>
        </is>
      </c>
      <c r="AE105" s="6" t="inlineStr">
        <is>
          <t>2026-10-21</t>
        </is>
      </c>
      <c r="AF105" s="6" t="inlineStr">
        <is>
          <t>FND-0037 (findings/SUM-0039)</t>
        </is>
      </c>
      <c r="AG105" s="6" t="inlineStr"/>
      <c r="AH105" s="6" t="inlineStr">
        <is>
          <t>Yes</t>
        </is>
      </c>
      <c r="AI105" s="6" t="inlineStr"/>
      <c r="AJ105" s="6" t="inlineStr">
        <is>
          <t>SRC-11 canonical</t>
        </is>
      </c>
      <c r="AK105" s="6" t="inlineStr">
        <is>
          <t>SRC-06 S02, SRC-06 S39, SRC-07 12, v3-04 E1</t>
        </is>
      </c>
      <c r="AL105" s="6" t="inlineStr">
        <is>
          <t>S18</t>
        </is>
      </c>
    </row>
    <row r="106" ht="115.5" customHeight="1">
      <c r="A106" s="5" t="inlineStr">
        <is>
          <t>C-S03</t>
        </is>
      </c>
      <c r="B106" s="6" t="inlineStr">
        <is>
          <t>Cache and billing behaviour of deferred or appended tool definitions: hit rate, effective multiplier, clien...</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K9 Cache &amp; billing</t>
        </is>
      </c>
      <c r="I106" s="6" t="inlineStr">
        <is>
          <t>G3 Before confirmatory study</t>
        </is>
      </c>
      <c r="J106" s="6" t="inlineStr">
        <is>
          <t>Normal</t>
        </is>
      </c>
      <c r="K106" s="6" t="n">
        <v>174</v>
      </c>
      <c r="L106" s="6" t="inlineStr">
        <is>
          <t>W3 Pilots (AUTH)</t>
        </is>
      </c>
      <c r="M106" s="6" t="inlineStr">
        <is>
          <t>S18</t>
        </is>
      </c>
      <c r="N106" s="6" t="inlineStr">
        <is>
          <t>Team / provider</t>
        </is>
      </c>
      <c r="O106" s="6" t="inlineStr">
        <is>
          <t>Test only the remainder, in the proof-of-concept loop</t>
        </is>
      </c>
      <c r="P106" s="6" t="inlineStr">
        <is>
          <t>Partly</t>
        </is>
      </c>
      <c r="Q106" s="6" t="inlineStr">
        <is>
          <t>Scientific unknown</t>
        </is>
      </c>
      <c r="R106" s="6" t="inlineStr">
        <is>
          <t>Item</t>
        </is>
      </c>
      <c r="S106" s="6" t="inlineStr"/>
      <c r="T106"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6"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6" s="6" t="inlineStr">
        <is>
          <t>Matched trajectories on one named provider, model, TTL and layout with full usage records; scope of the claim stated.</t>
        </is>
      </c>
      <c r="W106" s="6" t="inlineStr">
        <is>
          <t>C-D09, C-D08, C-E05, C-S16</t>
        </is>
      </c>
      <c r="X106" s="6" t="inlineStr">
        <is>
          <t>C-D11</t>
        </is>
      </c>
      <c r="Y106" s="6" t="inlineStr">
        <is>
          <t>Q-J26</t>
        </is>
      </c>
      <c r="Z106" s="6" t="inlineStr">
        <is>
          <t>SOURCE-REREAD, TIME-RECHECK</t>
        </is>
      </c>
      <c r="AA106" s="6" t="inlineStr">
        <is>
          <t>K15 Expiring provider facts</t>
        </is>
      </c>
      <c r="AB106" s="6" t="inlineStr">
        <is>
          <t>DATA+TIME</t>
        </is>
      </c>
      <c r="AC106" s="6" t="inlineStr">
        <is>
          <t>OPEN</t>
        </is>
      </c>
      <c r="AD106" s="6" t="inlineStr">
        <is>
          <t>NARROWED</t>
        </is>
      </c>
      <c r="AE106" s="6" t="inlineStr">
        <is>
          <t>2026-10-21</t>
        </is>
      </c>
      <c r="AF106" s="6" t="inlineStr">
        <is>
          <t>FND-0037 (findings/SUM-0039)</t>
        </is>
      </c>
      <c r="AG106" s="6" t="inlineStr"/>
      <c r="AH106" s="6" t="inlineStr">
        <is>
          <t>Yes</t>
        </is>
      </c>
      <c r="AI106" s="6" t="inlineStr"/>
      <c r="AJ106" s="6" t="inlineStr">
        <is>
          <t>SRC-11 canonical</t>
        </is>
      </c>
      <c r="AK106" s="6" t="inlineStr">
        <is>
          <t>SRC-06 S03, SRC-06 S04, SRC-06 S08, HYP-0007, HYP-0009, RA12, CH-0065, CH-0066, Joaa 19 Oct 12:25 (explored information kept in cache)</t>
        </is>
      </c>
      <c r="AL106" s="6" t="inlineStr">
        <is>
          <t>S18</t>
        </is>
      </c>
    </row>
    <row r="107" ht="190.5" customHeight="1">
      <c r="A107" s="5" t="inlineStr">
        <is>
          <t>C-X01</t>
        </is>
      </c>
      <c r="B107" s="6" t="inlineStr">
        <is>
          <t>E1: the token-composition test that answers C-S01.</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175</v>
      </c>
      <c r="L107" s="6" t="inlineStr">
        <is>
          <t>W3 Pilots (AUTH)</t>
        </is>
      </c>
      <c r="M107" s="6" t="inlineStr">
        <is>
          <t>S18</t>
        </is>
      </c>
      <c r="N107" s="6" t="inlineStr">
        <is>
          <t>Team</t>
        </is>
      </c>
      <c r="O107" s="6" t="inlineStr">
        <is>
          <t>Test only the remainder, in the proof-of-concept loop</t>
        </is>
      </c>
      <c r="P107" s="6" t="inlineStr">
        <is>
          <t>No</t>
        </is>
      </c>
      <c r="Q107" s="6" t="inlineStr">
        <is>
          <t>Test</t>
        </is>
      </c>
      <c r="R107" s="6" t="inlineStr">
        <is>
          <t>Check</t>
        </is>
      </c>
      <c r="S107" s="6" t="inlineStr"/>
      <c r="T107" s="6" t="inlineStr">
        <is>
          <t>E1: the token-composition test that answers C-S01.</t>
        </is>
      </c>
      <c r="U107"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Same as C-S01.</t>
        </is>
      </c>
      <c r="W107" s="6" t="inlineStr">
        <is>
          <t>C-D09, C-D08, C-S16</t>
        </is>
      </c>
      <c r="X107" s="6" t="inlineStr">
        <is>
          <t>C-D11</t>
        </is>
      </c>
      <c r="Y107" s="6" t="inlineStr"/>
      <c r="Z107" s="6" t="inlineStr"/>
      <c r="AA107" s="6" t="inlineStr">
        <is>
          <t>K9 Cache &amp; billing</t>
        </is>
      </c>
      <c r="AB107" s="6" t="inlineStr">
        <is>
          <t>DATA</t>
        </is>
      </c>
      <c r="AC107" s="6" t="inlineStr">
        <is>
          <t>NO RESULT - 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E1</t>
        </is>
      </c>
      <c r="AL107" s="6" t="inlineStr">
        <is>
          <t>S18</t>
        </is>
      </c>
    </row>
    <row r="108" ht="300" customHeight="1">
      <c r="A108" s="5" t="inlineStr">
        <is>
          <t>C-X07</t>
        </is>
      </c>
      <c r="B108" s="6" t="inlineStr">
        <is>
          <t>E7: billed-cost and cache probe that answers C-S03 (and feeds C-S02/S04).</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176</v>
      </c>
      <c r="L108" s="6" t="inlineStr">
        <is>
          <t>W3 Pilots (AUTH)</t>
        </is>
      </c>
      <c r="M108" s="6" t="inlineStr">
        <is>
          <t>S18</t>
        </is>
      </c>
      <c r="N108" s="6" t="inlineStr">
        <is>
          <t>Team</t>
        </is>
      </c>
      <c r="O108" s="6" t="inlineStr">
        <is>
          <t>05 P0 part 2, P5</t>
        </is>
      </c>
      <c r="P108" s="6" t="inlineStr">
        <is>
          <t>No</t>
        </is>
      </c>
      <c r="Q108" s="6" t="inlineStr">
        <is>
          <t>Test</t>
        </is>
      </c>
      <c r="R108" s="6" t="inlineStr">
        <is>
          <t>Check</t>
        </is>
      </c>
      <c r="S108" s="6" t="inlineStr"/>
      <c r="T108" s="6" t="inlineStr">
        <is>
          <t>E7: billed-cost and cache probe that answers C-S03 (and feeds C-S02/S04).</t>
        </is>
      </c>
      <c r="U108"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split into P0 (API fields; part 1 done from the status page) and P5 (regime reading) | V5 2026-10-27: cache fields exist on the university API (first round of N-31); the billed price is not reported, so the bill is computed from counts and a named price table (DPR-0006 s1)</t>
        </is>
      </c>
      <c r="V108" s="6" t="inlineStr">
        <is>
          <t>Same as C-S03.</t>
        </is>
      </c>
      <c r="W108" s="6" t="inlineStr">
        <is>
          <t>C-D09, C-D08, C-E05, C-S16</t>
        </is>
      </c>
      <c r="X108" s="6" t="inlineStr">
        <is>
          <t>C-D11</t>
        </is>
      </c>
      <c r="Y108" s="6" t="inlineStr"/>
      <c r="Z108" s="6" t="inlineStr"/>
      <c r="AA108" s="6" t="inlineStr"/>
      <c r="AB108" s="6" t="inlineStr">
        <is>
          <t>DATA</t>
        </is>
      </c>
      <c r="AC108" s="6" t="inlineStr">
        <is>
          <t>NO RESULT - OPEN</t>
        </is>
      </c>
      <c r="AD108" s="6" t="inlineStr">
        <is>
          <t>UNCHANGED</t>
        </is>
      </c>
      <c r="AE108" s="6" t="inlineStr">
        <is>
          <t>2026-10-27</t>
        </is>
      </c>
      <c r="AF108" s="6" t="inlineStr">
        <is>
          <t>design/package-v5/05 s2</t>
        </is>
      </c>
      <c r="AG108" s="6" t="inlineStr"/>
      <c r="AH108" s="6" t="inlineStr">
        <is>
          <t>Yes</t>
        </is>
      </c>
      <c r="AI108" s="6" t="inlineStr"/>
      <c r="AJ108" s="6" t="inlineStr">
        <is>
          <t>SRC-11 canonical</t>
        </is>
      </c>
      <c r="AK108" s="6" t="inlineStr">
        <is>
          <t>E7</t>
        </is>
      </c>
      <c r="AL108" s="6" t="inlineStr">
        <is>
          <t>S18</t>
        </is>
      </c>
    </row>
    <row r="109" ht="103" customHeight="1">
      <c r="A109" s="5" t="inlineStr">
        <is>
          <t>C-S04</t>
        </is>
      </c>
      <c r="B109" s="6" t="inlineStr">
        <is>
          <t>The warm-hit arithmetic (the '11-16%' figure) omits TTL, concurrency and growing suffix; session gaps unacc...</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K9 Cache &amp; billing</t>
        </is>
      </c>
      <c r="I109" s="6" t="inlineStr">
        <is>
          <t>G4 Before claims</t>
        </is>
      </c>
      <c r="J109" s="6" t="inlineStr">
        <is>
          <t>Normal</t>
        </is>
      </c>
      <c r="K109" s="6" t="n">
        <v>177</v>
      </c>
      <c r="L109" s="6" t="inlineStr">
        <is>
          <t>W3 Pilots (AUTH)</t>
        </is>
      </c>
      <c r="M109" s="6" t="inlineStr">
        <is>
          <t>S18</t>
        </is>
      </c>
      <c r="N109" s="6" t="inlineStr">
        <is>
          <t>Team</t>
        </is>
      </c>
      <c r="O109" s="6" t="inlineStr">
        <is>
          <t>Our gap distribution (05 P1)</t>
        </is>
      </c>
      <c r="P109" s="6" t="inlineStr">
        <is>
          <t>Partly</t>
        </is>
      </c>
      <c r="Q109" s="6" t="inlineStr">
        <is>
          <t>Scientific unknown</t>
        </is>
      </c>
      <c r="R109" s="6" t="inlineStr">
        <is>
          <t>Item</t>
        </is>
      </c>
      <c r="S109" s="6" t="inlineStr"/>
      <c r="T109" s="6" t="inlineStr">
        <is>
          <t>The warm-hit arithmetic (the '11-16%' figure) omits TTL, concurrency and growing suffix; session gaps unaccounted.</t>
        </is>
      </c>
      <c r="U109"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2026-10-22: TTL and gap cost now in D-01 and D-02 revision 3</t>
        </is>
      </c>
      <c r="V109" s="6" t="inlineStr">
        <is>
          <t>Recalculate with measured hit rates and varied session patterns.</t>
        </is>
      </c>
      <c r="W109" s="6" t="inlineStr">
        <is>
          <t>C-S03</t>
        </is>
      </c>
      <c r="X109" s="6" t="inlineStr"/>
      <c r="Y109" s="6" t="inlineStr">
        <is>
          <t>Q-J04</t>
        </is>
      </c>
      <c r="Z109" s="6" t="inlineStr">
        <is>
          <t>DESK-ANALYSIS</t>
        </is>
      </c>
      <c r="AA109" s="6" t="inlineStr">
        <is>
          <t>K4 Memory &amp; sessions</t>
        </is>
      </c>
      <c r="AB109" s="6" t="inlineStr">
        <is>
          <t>DATA+BOUND</t>
        </is>
      </c>
      <c r="AC109" s="6" t="inlineStr">
        <is>
          <t>OPEN</t>
        </is>
      </c>
      <c r="AD109" s="6" t="inlineStr">
        <is>
          <t>RE-CHARACTERISED</t>
        </is>
      </c>
      <c r="AE109" s="6" t="inlineStr">
        <is>
          <t>2026-10-22</t>
        </is>
      </c>
      <c r="AF109" s="6" t="inlineStr">
        <is>
          <t>design/package-v5/calc/</t>
        </is>
      </c>
      <c r="AG109" s="6" t="inlineStr"/>
      <c r="AH109" s="6" t="inlineStr">
        <is>
          <t>Yes (measured rates)</t>
        </is>
      </c>
      <c r="AI109" s="6" t="inlineStr"/>
      <c r="AJ109" s="6" t="inlineStr">
        <is>
          <t>SRC-11 canonical</t>
        </is>
      </c>
      <c r="AK109" s="6" t="inlineStr">
        <is>
          <t>SRC-06 S07</t>
        </is>
      </c>
      <c r="AL109" s="6" t="inlineStr">
        <is>
          <t>S18</t>
        </is>
      </c>
    </row>
    <row r="110" ht="103" customHeight="1">
      <c r="A110" s="5" t="inlineStr">
        <is>
          <t>C-S08/EVENTS</t>
        </is>
      </c>
      <c r="B110" s="6" t="inlineStr">
        <is>
          <t>Counted events and 'absent' constructs for the search pilot</t>
        </is>
      </c>
      <c r="C110" s="6" t="inlineStr">
        <is>
          <t>OPEN</t>
        </is>
      </c>
      <c r="D110" s="6">
        <f>IFERROR(INDEX(Lists!$B$2:$B$14,MATCH(C110,Lists!$A$2:$A$14,0)),"?")</f>
        <v/>
      </c>
      <c r="E110" s="6">
        <f>IF(COUNTIFS(Links!$B$2:$B$600,A110,Links!$E$2:$E$600,"Yes")&gt;0,"REVISE","")</f>
        <v/>
      </c>
      <c r="F110" s="6">
        <f>COUNTIFS(Links!$B$2:$B$600,A110,Links!$D$2:$D$600,"No",Links!$C$2:$C$600,"&lt;&gt;INFORMS")</f>
        <v/>
      </c>
      <c r="G110" s="13" t="inlineStr">
        <is>
          <t>DESK-ANALYSIS</t>
        </is>
      </c>
      <c r="H110" s="6" t="inlineStr">
        <is>
          <t>K8 Search initiation &amp; recovery</t>
        </is>
      </c>
      <c r="I110" s="6" t="inlineStr">
        <is>
          <t>G3 Before confirmatory study</t>
        </is>
      </c>
      <c r="J110" s="6" t="inlineStr">
        <is>
          <t>Normal</t>
        </is>
      </c>
      <c r="K110" s="6" t="n">
        <v>178</v>
      </c>
      <c r="L110" s="6" t="inlineStr">
        <is>
          <t>W3 Pilots (AUTH)</t>
        </is>
      </c>
      <c r="M110" s="6" t="inlineStr">
        <is>
          <t>S19</t>
        </is>
      </c>
      <c r="N110" s="6" t="inlineStr">
        <is>
          <t>Team</t>
        </is>
      </c>
      <c r="O110" s="6" t="inlineStr">
        <is>
          <t>Lead computes or writes it (no model runs)</t>
        </is>
      </c>
      <c r="P110" s="6" t="inlineStr">
        <is>
          <t>Partly</t>
        </is>
      </c>
      <c r="Q110" s="6" t="inlineStr">
        <is>
          <t>Scientific unknown</t>
        </is>
      </c>
      <c r="R110" s="6" t="inlineStr">
        <is>
          <t>Sub-item</t>
        </is>
      </c>
      <c r="S110" s="6" t="inlineStr">
        <is>
          <t>C-S08</t>
        </is>
      </c>
      <c r="T110" s="6" t="inlineStr">
        <is>
          <t>The pilot must count (i) search calls, (ii) domain-tool calls, (iii) direct answers, and separate three 'absent' constructs (hidden-but-present, nonexistent, visible-but-uncalled); a 'spurious call' means the opposite of correct behaviour in our setting.</t>
        </is>
      </c>
      <c r="U110" s="6" t="inlineStr">
        <is>
          <t>Recorded as open in its source; not examined further in this review.</t>
        </is>
      </c>
      <c r="V110" s="6" t="inlineStr">
        <is>
          <t>Definitions written into the pilot protocol.</t>
        </is>
      </c>
      <c r="W110" s="6" t="inlineStr">
        <is>
          <t>C-D09, C-D08</t>
        </is>
      </c>
      <c r="X110" s="6" t="inlineStr"/>
      <c r="Y110" s="6" t="inlineStr"/>
      <c r="Z110" s="6" t="inlineStr"/>
      <c r="AA110" s="6" t="inlineStr"/>
      <c r="AB110" s="6" t="inlineStr">
        <is>
          <t>DATA</t>
        </is>
      </c>
      <c r="AC110" s="6" t="inlineStr">
        <is>
          <t>n/a (sub-item)</t>
        </is>
      </c>
      <c r="AD110" s="6" t="inlineStr">
        <is>
          <t>NEW (SRC-11 sub-row)</t>
        </is>
      </c>
      <c r="AE110" s="6" t="inlineStr">
        <is>
          <t>2026-10-19</t>
        </is>
      </c>
      <c r="AF110" s="6" t="inlineStr">
        <is>
          <t>v4-05 section 1B</t>
        </is>
      </c>
      <c r="AG110" s="6" t="inlineStr"/>
      <c r="AH110" s="6" t="inlineStr">
        <is>
          <t>Yes</t>
        </is>
      </c>
      <c r="AI110" s="6" t="inlineStr"/>
      <c r="AJ110" s="6" t="inlineStr">
        <is>
          <t>repo: v4-05 sections 1B, 3, 4; reviews RV-0006/0007</t>
        </is>
      </c>
      <c r="AK110" s="6" t="inlineStr">
        <is>
          <t>CH-0061, CH-0072</t>
        </is>
      </c>
      <c r="AL110" s="6" t="inlineStr">
        <is>
          <t>S13</t>
        </is>
      </c>
    </row>
    <row r="111" ht="128" customHeight="1">
      <c r="A111" s="5" t="inlineStr">
        <is>
          <t>C-S08/FPCOST</t>
        </is>
      </c>
      <c r="B111" s="6" t="inlineStr">
        <is>
          <t>False-positive / wasted-call cost is priced by no source</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K8 Search initiation &amp; recovery</t>
        </is>
      </c>
      <c r="I111" s="6" t="inlineStr">
        <is>
          <t>G3 Before confirmatory study</t>
        </is>
      </c>
      <c r="J111" s="6" t="inlineStr">
        <is>
          <t>Normal</t>
        </is>
      </c>
      <c r="K111" s="6" t="n">
        <v>179</v>
      </c>
      <c r="L111" s="6" t="inlineStr">
        <is>
          <t>W3 Pilots (AUTH)</t>
        </is>
      </c>
      <c r="M111" s="6" t="inlineStr">
        <is>
          <t>S19</t>
        </is>
      </c>
      <c r="N111" s="6" t="inlineStr">
        <is>
          <t>Team</t>
        </is>
      </c>
      <c r="O111" s="6" t="inlineStr">
        <is>
          <t>Needs an AUTH and a protocol (pilot B) if the cost of spurious calls is to be priced</t>
        </is>
      </c>
      <c r="P111" s="6" t="inlineStr">
        <is>
          <t>Partly</t>
        </is>
      </c>
      <c r="Q111" s="6" t="inlineStr">
        <is>
          <t>Scientific unknown</t>
        </is>
      </c>
      <c r="R111" s="6" t="inlineStr">
        <is>
          <t>Sub-item</t>
        </is>
      </c>
      <c r="S111" s="6" t="inlineStr">
        <is>
          <t>C-S08</t>
        </is>
      </c>
      <c r="T111" s="6" t="inlineStr">
        <is>
          <t>Rates of hallucinated or spurious tool calls exist under different, non-interchangeable definitions (1-96%, 15-57%, BFCL irrelevance ~13-26% leading models); none prices the wasted rounds; scoring must be rule-based, not by an LLM judge that is also a candidate.</t>
        </is>
      </c>
      <c r="U111"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1" s="6" t="inlineStr">
        <is>
          <t>Cost accounting of false-positive calls in pilot B.</t>
        </is>
      </c>
      <c r="W111" s="6" t="inlineStr">
        <is>
          <t>C-D09, C-D08</t>
        </is>
      </c>
      <c r="X111" s="6" t="inlineStr"/>
      <c r="Y111" s="6" t="inlineStr"/>
      <c r="Z111" s="6" t="inlineStr"/>
      <c r="AA111" s="6" t="inlineStr"/>
      <c r="AB111" s="6" t="inlineStr">
        <is>
          <t>DATA</t>
        </is>
      </c>
      <c r="AC111" s="6" t="inlineStr">
        <is>
          <t>n/a (sub-item)</t>
        </is>
      </c>
      <c r="AD111" s="6" t="inlineStr">
        <is>
          <t>NEW (SRC-11 sub-row)</t>
        </is>
      </c>
      <c r="AE111" s="6" t="inlineStr">
        <is>
          <t>2026-10-19</t>
        </is>
      </c>
      <c r="AF111" s="6" t="inlineStr">
        <is>
          <t>FND-0016 (findings/SUM-0018); stored texts evidence/literature-20261019/lit-when2tool-2605.09252.txt, lit-tulip-2407.21778.txt, lit-closedworld-2609.19425.txt</t>
        </is>
      </c>
      <c r="AG111" s="6" t="inlineStr"/>
      <c r="AH111" s="6" t="inlineStr">
        <is>
          <t>Yes</t>
        </is>
      </c>
      <c r="AI111" s="6" t="inlineStr"/>
      <c r="AJ111" s="6" t="inlineStr">
        <is>
          <t>repo: v4-05 sections 1B, 3, 4; reviews RV-0006/0007</t>
        </is>
      </c>
      <c r="AK111" s="6" t="inlineStr">
        <is>
          <t>CH-0069, CH-0070</t>
        </is>
      </c>
      <c r="AL111" s="6" t="inlineStr">
        <is>
          <t>S13</t>
        </is>
      </c>
    </row>
    <row r="112" ht="65.5" customHeight="1">
      <c r="A112" s="5" t="inlineStr">
        <is>
          <t>C-S08/RA6</t>
        </is>
      </c>
      <c r="B112" s="6" t="inlineStr">
        <is>
          <t>RA6: scope statement must tell the model enough to search without leaking gold information</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180</v>
      </c>
      <c r="L112" s="6" t="inlineStr">
        <is>
          <t>W3 Pilots (AUTH)</t>
        </is>
      </c>
      <c r="M112" s="6" t="inlineStr">
        <is>
          <t>S19</t>
        </is>
      </c>
      <c r="N112" s="6" t="inlineStr">
        <is>
          <t>Team</t>
        </is>
      </c>
      <c r="O112" s="6" t="inlineStr">
        <is>
          <t>Lead computes or writes it (no model runs)</t>
        </is>
      </c>
      <c r="P112" s="6" t="inlineStr">
        <is>
          <t>Partly</t>
        </is>
      </c>
      <c r="Q112" s="6" t="inlineStr">
        <is>
          <t>Assumption</t>
        </is>
      </c>
      <c r="R112" s="6" t="inlineStr">
        <is>
          <t>Sub-item</t>
        </is>
      </c>
      <c r="S112" s="6" t="inlineStr">
        <is>
          <t>C-S08</t>
        </is>
      </c>
      <c r="T112" s="6" t="inlineStr">
        <is>
          <t>Recovery assumption RA6 (v3-02): the scope statement must be informative without leaking gold information.</t>
        </is>
      </c>
      <c r="U112" s="6" t="inlineStr">
        <is>
          <t>Recorded as open in its source; not examined further in this review.</t>
        </is>
      </c>
      <c r="V112" s="6" t="inlineStr">
        <is>
          <t>Statement ladder specified and its tokens charged (C-D08/SCOPESTMT).</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v3-02 section 4 RA1-RA13</t>
        </is>
      </c>
      <c r="AG112" s="6" t="inlineStr"/>
      <c r="AH112" s="6" t="inlineStr">
        <is>
          <t>Yes</t>
        </is>
      </c>
      <c r="AI112" s="6" t="inlineStr"/>
      <c r="AJ112" s="6" t="inlineStr">
        <is>
          <t>repo: v3-02 section 4</t>
        </is>
      </c>
      <c r="AK112" s="6" t="inlineStr">
        <is>
          <t>RA6</t>
        </is>
      </c>
      <c r="AL112" s="6" t="inlineStr">
        <is>
          <t>S13</t>
        </is>
      </c>
    </row>
    <row r="113" ht="103" customHeight="1">
      <c r="A113" s="5" t="inlineStr">
        <is>
          <t>C-S08/UNINSTR</t>
        </is>
      </c>
      <c r="B113" s="6" t="inlineStr">
        <is>
          <t>Uninstructed search initiation: no per-task rate found</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181</v>
      </c>
      <c r="L113" s="6" t="inlineStr">
        <is>
          <t>W3 Pilots (AUTH)</t>
        </is>
      </c>
      <c r="M113" s="6" t="inlineStr">
        <is>
          <t>S19</t>
        </is>
      </c>
      <c r="N113" s="6" t="inlineStr">
        <is>
          <t>Team</t>
        </is>
      </c>
      <c r="O113" s="6" t="inlineStr">
        <is>
          <t>05 P3</t>
        </is>
      </c>
      <c r="P113" s="6" t="inlineStr">
        <is>
          <t>Partly</t>
        </is>
      </c>
      <c r="Q113" s="6" t="inlineStr">
        <is>
          <t>Scientific unknown</t>
        </is>
      </c>
      <c r="R113" s="6" t="inlineStr">
        <is>
          <t>Sub-item</t>
        </is>
      </c>
      <c r="S113" s="6" t="inlineStr">
        <is>
          <t>C-S08</t>
        </is>
      </c>
      <c r="T113" s="6" t="inlineStr">
        <is>
          <t>No source reports the share of tasks with zero search calls when a search channel exists but is not instructed and no visible tool fits.</t>
        </is>
      </c>
      <c r="U113"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 | V5 2026-10-22: now HYP-0019 with a test design</t>
        </is>
      </c>
      <c r="V113" s="6" t="inlineStr">
        <is>
          <t>Pilot B primary cell: tool-description only.</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2026-10-22</t>
        </is>
      </c>
      <c r="AF113" s="6" t="inlineStr">
        <is>
          <t>design/package-v5/05 P3</t>
        </is>
      </c>
      <c r="AG113" s="6" t="inlineStr"/>
      <c r="AH113" s="6" t="inlineStr">
        <is>
          <t>Yes</t>
        </is>
      </c>
      <c r="AI113" s="6" t="inlineStr"/>
      <c r="AJ113" s="6" t="inlineStr">
        <is>
          <t>repo: v4-05 sections 1B, 3, 4; reviews RV-0006/0007</t>
        </is>
      </c>
      <c r="AK113" s="6" t="inlineStr">
        <is>
          <t>CH-0062, RA1b</t>
        </is>
      </c>
      <c r="AL113" s="6" t="inlineStr">
        <is>
          <t>S13</t>
        </is>
      </c>
    </row>
    <row r="114" ht="28" customHeight="1">
      <c r="A114" s="5" t="inlineStr">
        <is>
          <t>C-S08</t>
        </is>
      </c>
      <c r="B114" s="6" t="inlineStr">
        <is>
          <t>Do models start a search when a needed tool is not visible (uninstructed), does recovery restore success, a...</t>
        </is>
      </c>
      <c r="C114" s="6" t="inlineStr">
        <is>
          <t>PARTLY ANSWERED</t>
        </is>
      </c>
      <c r="D114" s="6">
        <f>IFERROR(INDEX(Lists!$B$2:$B$14,MATCH(C114,Lists!$A$2:$A$14,0)),"?")</f>
        <v/>
      </c>
      <c r="E114" s="6">
        <f>IF(COUNTIFS(Links!$B$2:$B$600,A114,Links!$E$2:$E$600,"Yes")&gt;0,"REVISE","")</f>
        <v/>
      </c>
      <c r="F114" s="6">
        <f>COUNTIFS(Links!$B$2:$B$600,A114,Links!$D$2:$D$600,"No",Links!$C$2:$C$600,"&lt;&gt;INFORMS")</f>
        <v/>
      </c>
      <c r="G114" s="17" t="inlineStr">
        <is>
          <t>TEST-PILOT</t>
        </is>
      </c>
      <c r="H114" s="6" t="inlineStr">
        <is>
          <t>K8 Search initiation &amp; recovery</t>
        </is>
      </c>
      <c r="I114" s="6" t="inlineStr">
        <is>
          <t>G3 Before confirmatory study</t>
        </is>
      </c>
      <c r="J114" s="6" t="inlineStr">
        <is>
          <t>Normal</t>
        </is>
      </c>
      <c r="K114" s="6" t="n">
        <v>182</v>
      </c>
      <c r="L114" s="6" t="inlineStr">
        <is>
          <t>W3 Pilots (AUTH)</t>
        </is>
      </c>
      <c r="M114" s="6" t="inlineStr">
        <is>
          <t>S19</t>
        </is>
      </c>
      <c r="N114" s="6" t="inlineStr">
        <is>
          <t>Team</t>
        </is>
      </c>
      <c r="O114" s="6" t="inlineStr">
        <is>
          <t>Test only the remainder, in the proof-of-concept loop</t>
        </is>
      </c>
      <c r="P114" s="6" t="inlineStr">
        <is>
          <t>Partly</t>
        </is>
      </c>
      <c r="Q114" s="6" t="inlineStr">
        <is>
          <t>Scientific unknown</t>
        </is>
      </c>
      <c r="R114" s="6" t="inlineStr">
        <is>
          <t>Item</t>
        </is>
      </c>
      <c r="S114" s="6" t="inlineStr"/>
      <c r="T114" s="6" t="inlineStr">
        <is>
          <t>Do models start a search when a needed tool is not visible (uninstructed), does recovery restore success, and what is the no-miss overhead?</t>
        </is>
      </c>
      <c r="U114"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 | V5 2026-10-27: one absent-tool request per model through the university API: 2 of 3 models declined, GLM-5.3 made a wrong-tool call (single runs; design/package-v5/10 s7)</t>
        </is>
      </c>
      <c r="V114" s="6" t="inlineStr">
        <is>
          <t>Pilot B: tool-description-only cell, statement ladder, hidden-but-present / nonexistent / wrong-tool-visible arms, per-task share with zero searches.</t>
        </is>
      </c>
      <c r="W114" s="6" t="inlineStr">
        <is>
          <t>C-D09, C-D08, C-S16</t>
        </is>
      </c>
      <c r="X114" s="6" t="inlineStr">
        <is>
          <t>C-D03, C-D11</t>
        </is>
      </c>
      <c r="Y114" s="6" t="inlineStr">
        <is>
          <t>Q-U03</t>
        </is>
      </c>
      <c r="Z114" s="6" t="inlineStr">
        <is>
          <t>LITERATURE-DIRECTED</t>
        </is>
      </c>
      <c r="AA114" s="6" t="inlineStr">
        <is>
          <t>K11 End-to-end comparison</t>
        </is>
      </c>
      <c r="AB114" s="6" t="inlineStr">
        <is>
          <t>DATA</t>
        </is>
      </c>
      <c r="AC114" s="6" t="inlineStr">
        <is>
          <t>OPEN</t>
        </is>
      </c>
      <c r="AD114" s="6" t="inlineStr">
        <is>
          <t>NARROWED</t>
        </is>
      </c>
      <c r="AE114" s="6" t="inlineStr">
        <is>
          <t>2026-10-27</t>
        </is>
      </c>
      <c r="AF114" s="6" t="inlineStr">
        <is>
          <t>FND-0037 (findings/SUM-0039)</t>
        </is>
      </c>
      <c r="AG114" s="6" t="inlineStr"/>
      <c r="AH114" s="6" t="inlineStr">
        <is>
          <t>Yes</t>
        </is>
      </c>
      <c r="AI114" s="6" t="inlineStr"/>
      <c r="AJ114" s="6" t="inlineStr">
        <is>
          <t>SRC-11 canonical</t>
        </is>
      </c>
      <c r="AK114" s="6" t="inlineStr">
        <is>
          <t>SRC-06 S21, SRC-07 14, RA1, HYP-0003, HYP-0004, HYP-0010, HYP-0011, CAVEATS 16, CH-0059, CH-0060</t>
        </is>
      </c>
      <c r="AL114" s="6" t="inlineStr">
        <is>
          <t>S13</t>
        </is>
      </c>
    </row>
    <row r="115" ht="115.5" customHeight="1">
      <c r="A115" s="5" t="inlineStr">
        <is>
          <t>C-S09/RA10</t>
        </is>
      </c>
      <c r="B115" s="6" t="inlineStr">
        <is>
          <t>RA10: names and arguments found by search are valid at call time</t>
        </is>
      </c>
      <c r="C115" s="6" t="inlineStr">
        <is>
          <t>DEFERRED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183</v>
      </c>
      <c r="L115" s="6" t="inlineStr">
        <is>
          <t>W3 Pilots (AUTH)</t>
        </is>
      </c>
      <c r="M115" s="6" t="inlineStr">
        <is>
          <t>S19</t>
        </is>
      </c>
      <c r="N115" s="6" t="inlineStr">
        <is>
          <t>Team</t>
        </is>
      </c>
      <c r="O115" s="6" t="inlineStr">
        <is>
          <t>none until the trigger fires</t>
        </is>
      </c>
      <c r="P115" s="6" t="inlineStr">
        <is>
          <t>No</t>
        </is>
      </c>
      <c r="Q115" s="6" t="inlineStr">
        <is>
          <t>Assumption</t>
        </is>
      </c>
      <c r="R115" s="6" t="inlineStr">
        <is>
          <t>Sub-item</t>
        </is>
      </c>
      <c r="S115" s="6" t="inlineStr">
        <is>
          <t>C-S09</t>
        </is>
      </c>
      <c r="T115" s="6" t="inlineStr">
        <is>
          <t>Recovery assumption RA10.</t>
        </is>
      </c>
      <c r="U115" s="6" t="inlineStr">
        <is>
          <t>Assumption. 2026-10-21 (AUTH-019): belongs to the end-to-end phase (FND-0037 (findings/SUM-0039); the human's process, INT-T-005 line 7).</t>
        </is>
      </c>
      <c r="V115" s="6" t="inlineStr">
        <is>
          <t>Tested end-to-end.</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2026-10-21</t>
        </is>
      </c>
      <c r="AF115" s="6" t="inlineStr">
        <is>
          <t>FND-0037 (findings/SUM-0039); FND-0038 (findings/SUM-0040)</t>
        </is>
      </c>
      <c r="AG115" s="6" t="inlineStr">
        <is>
          <t>The end-to-end study is designed</t>
        </is>
      </c>
      <c r="AH115" s="6" t="inlineStr">
        <is>
          <t>Yes</t>
        </is>
      </c>
      <c r="AI115" s="6" t="inlineStr"/>
      <c r="AJ115" s="6" t="inlineStr">
        <is>
          <t>repo: v3-02 section 4</t>
        </is>
      </c>
      <c r="AK115" s="6" t="inlineStr">
        <is>
          <t>RA10</t>
        </is>
      </c>
      <c r="AL115" s="6" t="inlineStr">
        <is>
          <t>S19</t>
        </is>
      </c>
    </row>
    <row r="116" ht="140.5" customHeight="1">
      <c r="A116" s="5" t="inlineStr">
        <is>
          <t>C-S09/RA7</t>
        </is>
      </c>
      <c r="B116" s="6" t="inlineStr">
        <is>
          <t>RA7: the model understands the interface schema</t>
        </is>
      </c>
      <c r="C116" s="6" t="inlineStr">
        <is>
          <t>DEFERRED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184</v>
      </c>
      <c r="L116" s="6" t="inlineStr">
        <is>
          <t>W3 Pilots (AUTH)</t>
        </is>
      </c>
      <c r="M116" s="6" t="inlineStr">
        <is>
          <t>S19</t>
        </is>
      </c>
      <c r="N116" s="6" t="inlineStr">
        <is>
          <t>Team</t>
        </is>
      </c>
      <c r="O116" s="6" t="inlineStr">
        <is>
          <t>none until the trigger fires</t>
        </is>
      </c>
      <c r="P116" s="6" t="inlineStr">
        <is>
          <t>No</t>
        </is>
      </c>
      <c r="Q116" s="6" t="inlineStr">
        <is>
          <t>Assumption</t>
        </is>
      </c>
      <c r="R116" s="6" t="inlineStr">
        <is>
          <t>Sub-item</t>
        </is>
      </c>
      <c r="S116" s="6" t="inlineStr">
        <is>
          <t>C-S09</t>
        </is>
      </c>
      <c r="T116" s="6" t="inlineStr">
        <is>
          <t>Recovery assumption RA7.</t>
        </is>
      </c>
      <c r="U116" s="6" t="inlineStr">
        <is>
          <t>Assumption. 2026-10-21 (AUTH-019): belongs to the end-to-end phase (FND-0037 (findings/SUM-0039); the human's process, INT-T-005 line 7).</t>
        </is>
      </c>
      <c r="V116" s="6" t="inlineStr">
        <is>
          <t>Tested end-to-end.</t>
        </is>
      </c>
      <c r="W116" s="6" t="inlineStr">
        <is>
          <t>C-D09, C-D08</t>
        </is>
      </c>
      <c r="X116" s="6" t="inlineStr"/>
      <c r="Y116" s="6" t="inlineStr"/>
      <c r="Z116" s="6" t="inlineStr"/>
      <c r="AA116" s="6" t="inlineStr"/>
      <c r="AB116" s="6" t="inlineStr">
        <is>
          <t>DATA</t>
        </is>
      </c>
      <c r="AC116" s="6" t="inlineStr">
        <is>
          <t>n/a (sub-item)</t>
        </is>
      </c>
      <c r="AD116" s="6" t="inlineStr">
        <is>
          <t>NEW (SRC-11 sub-row)</t>
        </is>
      </c>
      <c r="AE116" s="6" t="inlineStr">
        <is>
          <t>2026-10-21</t>
        </is>
      </c>
      <c r="AF116" s="6" t="inlineStr">
        <is>
          <t>FND-0037 (findings/SUM-0039); FND-0038 (findings/SUM-0040)</t>
        </is>
      </c>
      <c r="AG116" s="6" t="inlineStr">
        <is>
          <t>The end-to-end study is designed</t>
        </is>
      </c>
      <c r="AH116" s="6" t="inlineStr">
        <is>
          <t>Yes</t>
        </is>
      </c>
      <c r="AI116" s="6" t="inlineStr"/>
      <c r="AJ116" s="6" t="inlineStr">
        <is>
          <t>repo: v3-02 section 4</t>
        </is>
      </c>
      <c r="AK116" s="6" t="inlineStr">
        <is>
          <t>RA7</t>
        </is>
      </c>
      <c r="AL116" s="6" t="inlineStr">
        <is>
          <t>S19</t>
        </is>
      </c>
    </row>
    <row r="117" ht="40.5" customHeight="1">
      <c r="A117" s="5" t="inlineStr">
        <is>
          <t>C-S09</t>
        </is>
      </c>
      <c r="B117" s="6" t="inlineStr">
        <is>
          <t>Deferred-schema argument errors vs zero-call/under-invocation, measured as a pair.</t>
        </is>
      </c>
      <c r="C117" s="6" t="inlineStr">
        <is>
          <t>OPEN</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185</v>
      </c>
      <c r="L117" s="6" t="inlineStr">
        <is>
          <t>W3 Pilots (AUTH)</t>
        </is>
      </c>
      <c r="M117" s="6" t="inlineStr">
        <is>
          <t>S19</t>
        </is>
      </c>
      <c r="N117" s="6" t="inlineStr">
        <is>
          <t>Team</t>
        </is>
      </c>
      <c r="O117" s="6" t="inlineStr">
        <is>
          <t>Needs an AUTH and a protocol</t>
        </is>
      </c>
      <c r="P117" s="6" t="inlineStr">
        <is>
          <t>No</t>
        </is>
      </c>
      <c r="Q117" s="6" t="inlineStr">
        <is>
          <t>Scientific unknown</t>
        </is>
      </c>
      <c r="R117" s="6" t="inlineStr">
        <is>
          <t>Item</t>
        </is>
      </c>
      <c r="S117" s="6" t="inlineStr"/>
      <c r="T117" s="6" t="inlineStr">
        <is>
          <t>Deferred-schema argument errors vs zero-call/under-invocation, measured as a pair.</t>
        </is>
      </c>
      <c r="U117" s="6" t="inlineStr">
        <is>
          <t>Related only: under-calling in small-model settings; nothing on deferred schemas.</t>
        </is>
      </c>
      <c r="V117" s="6" t="inlineStr">
        <is>
          <t>Eager vs deferred with parameter errors, no-call and success as separate outcomes.</t>
        </is>
      </c>
      <c r="W117" s="6" t="inlineStr">
        <is>
          <t>C-D09, C-D08, C-S16</t>
        </is>
      </c>
      <c r="X117" s="6" t="inlineStr">
        <is>
          <t>C-S08</t>
        </is>
      </c>
      <c r="Y117" s="6" t="inlineStr"/>
      <c r="Z117" s="6" t="inlineStr"/>
      <c r="AA117" s="6" t="inlineStr"/>
      <c r="AB117" s="6" t="inlineStr">
        <is>
          <t>DATA</t>
        </is>
      </c>
      <c r="AC117" s="6" t="inlineStr">
        <is>
          <t>OPEN</t>
        </is>
      </c>
      <c r="AD117" s="6" t="inlineStr">
        <is>
          <t>UNCHANGED</t>
        </is>
      </c>
      <c r="AE117" s="6" t="inlineStr">
        <is>
          <t>2026-10-19</t>
        </is>
      </c>
      <c r="AF117" s="6" t="inlineStr">
        <is>
          <t>v4-05 Round 5</t>
        </is>
      </c>
      <c r="AG117" s="6" t="inlineStr"/>
      <c r="AH117" s="6" t="inlineStr">
        <is>
          <t>Yes</t>
        </is>
      </c>
      <c r="AI117" s="6" t="inlineStr"/>
      <c r="AJ117" s="6" t="inlineStr">
        <is>
          <t>SRC-11 canonical</t>
        </is>
      </c>
      <c r="AK117" s="6" t="inlineStr">
        <is>
          <t>SRC-06 S22, SRC-06 S23, SRC-07 20</t>
        </is>
      </c>
      <c r="AL117" s="6" t="inlineStr">
        <is>
          <t>S19</t>
        </is>
      </c>
    </row>
    <row r="118" ht="40.5" customHeight="1">
      <c r="A118" s="5" t="inlineStr">
        <is>
          <t>C-X02</t>
        </is>
      </c>
      <c r="B118" s="6" t="inlineStr">
        <is>
          <t>E2: the omission/search test that answers C-S08.</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186</v>
      </c>
      <c r="L118" s="6" t="inlineStr">
        <is>
          <t>W3 Pilots (AUTH)</t>
        </is>
      </c>
      <c r="M118" s="6" t="inlineStr">
        <is>
          <t>S19</t>
        </is>
      </c>
      <c r="N118" s="6" t="inlineStr">
        <is>
          <t>Team</t>
        </is>
      </c>
      <c r="O118" s="6" t="inlineStr">
        <is>
          <t>Test only the remainder, in the proof-of-concept loop</t>
        </is>
      </c>
      <c r="P118" s="6" t="inlineStr">
        <is>
          <t>No</t>
        </is>
      </c>
      <c r="Q118" s="6" t="inlineStr">
        <is>
          <t>Test</t>
        </is>
      </c>
      <c r="R118" s="6" t="inlineStr">
        <is>
          <t>Check</t>
        </is>
      </c>
      <c r="S118" s="6" t="inlineStr"/>
      <c r="T118" s="6" t="inlineStr">
        <is>
          <t>E2: the omission/search test that answers C-S08.</t>
        </is>
      </c>
      <c r="U118"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8" s="6" t="inlineStr">
        <is>
          <t>Same as C-S08.</t>
        </is>
      </c>
      <c r="W118" s="6" t="inlineStr">
        <is>
          <t>C-D09, C-D08, C-S16</t>
        </is>
      </c>
      <c r="X118" s="6" t="inlineStr">
        <is>
          <t>C-D03, C-D11</t>
        </is>
      </c>
      <c r="Y118" s="6" t="inlineStr"/>
      <c r="Z118" s="6" t="inlineStr"/>
      <c r="AA118" s="6" t="inlineStr"/>
      <c r="AB118" s="6" t="inlineStr">
        <is>
          <t>DATA</t>
        </is>
      </c>
      <c r="AC118" s="6" t="inlineStr">
        <is>
          <t>NO RESULT - OPEN</t>
        </is>
      </c>
      <c r="AD118" s="6" t="inlineStr">
        <is>
          <t>UNCHANGED</t>
        </is>
      </c>
      <c r="AE118" s="6" t="inlineStr">
        <is>
          <t>2026-10-21</t>
        </is>
      </c>
      <c r="AF118" s="6" t="inlineStr">
        <is>
          <t>FND-0037 (findings/SUM-0039)</t>
        </is>
      </c>
      <c r="AG118" s="6" t="inlineStr"/>
      <c r="AH118" s="6" t="inlineStr">
        <is>
          <t>Yes</t>
        </is>
      </c>
      <c r="AI118" s="6" t="inlineStr"/>
      <c r="AJ118" s="6" t="inlineStr">
        <is>
          <t>SRC-11 canonical</t>
        </is>
      </c>
      <c r="AK118" s="6" t="inlineStr">
        <is>
          <t>E2</t>
        </is>
      </c>
      <c r="AL118" s="6" t="inlineStr">
        <is>
          <t>S19</t>
        </is>
      </c>
    </row>
    <row r="119" ht="40.5" customHeight="1">
      <c r="A119" s="5" t="inlineStr">
        <is>
          <t>C-S13/CALIB</t>
        </is>
      </c>
      <c r="B119" s="6" t="inlineStr">
        <is>
          <t>Calibration tolerance and 'roughly constant' for extrapolation above n_fit are undefined</t>
        </is>
      </c>
      <c r="C119" s="6" t="inlineStr">
        <is>
          <t>OPEN</t>
        </is>
      </c>
      <c r="D119" s="6">
        <f>IFERROR(INDEX(Lists!$B$2:$B$14,MATCH(C119,Lists!$A$2:$A$14,0)),"?")</f>
        <v/>
      </c>
      <c r="E119" s="6">
        <f>IF(COUNTIFS(Links!$B$2:$B$600,A119,Links!$E$2:$E$600,"Yes")&gt;0,"REVISE","")</f>
        <v/>
      </c>
      <c r="F119" s="6">
        <f>COUNTIFS(Links!$B$2:$B$600,A119,Links!$D$2:$D$600,"No",Links!$C$2:$C$600,"&lt;&gt;INFORMS")</f>
        <v/>
      </c>
      <c r="G119" s="10" t="inlineStr">
        <is>
          <t>JOAA-DECISION</t>
        </is>
      </c>
      <c r="H119" s="6" t="inlineStr">
        <is>
          <t>K7 Large-catalogue reference</t>
        </is>
      </c>
      <c r="I119" s="6" t="inlineStr">
        <is>
          <t>G3 Before confirmatory study</t>
        </is>
      </c>
      <c r="J119" s="6" t="inlineStr">
        <is>
          <t>Normal</t>
        </is>
      </c>
      <c r="K119" s="6" t="n">
        <v>187</v>
      </c>
      <c r="L119" s="6" t="inlineStr">
        <is>
          <t>W3 Pilots (AUTH)</t>
        </is>
      </c>
      <c r="M119" s="6" t="inlineStr">
        <is>
          <t>S20</t>
        </is>
      </c>
      <c r="N119" s="6" t="inlineStr">
        <is>
          <t>Team + Joaa</t>
        </is>
      </c>
      <c r="O119" s="6" t="inlineStr">
        <is>
          <t>Report calibration when it is run</t>
        </is>
      </c>
      <c r="P119" s="6" t="inlineStr">
        <is>
          <t>No</t>
        </is>
      </c>
      <c r="Q119" s="6" t="inlineStr">
        <is>
          <t>Scientific unknown</t>
        </is>
      </c>
      <c r="R119" s="6" t="inlineStr">
        <is>
          <t>Sub-item</t>
        </is>
      </c>
      <c r="S119" s="6" t="inlineStr">
        <is>
          <t>C-S13</t>
        </is>
      </c>
      <c r="T119" s="6" t="inlineStr">
        <is>
          <t>R-pool calibration has no acceptance criterion; 'roughly constant' gap and the extrapolation above n_fit are assumptions; the claim above n_fit is only a trend.</t>
        </is>
      </c>
      <c r="U119" s="6" t="inlineStr">
        <is>
          <t>Documented as unresolved. 2026-10-21 (AUTH-019, the human's decisions): no hard thresholds (line 16): a calibration result is reported, not judged against a pre-set tolerance.</t>
        </is>
      </c>
      <c r="V119" s="6" t="inlineStr">
        <is>
          <t>A human-set tolerance and regression definition recorded.</t>
        </is>
      </c>
      <c r="W119" s="6" t="inlineStr"/>
      <c r="X119" s="6" t="inlineStr"/>
      <c r="Y119" s="6" t="inlineStr">
        <is>
          <t>Q-J13</t>
        </is>
      </c>
      <c r="Z119" s="6" t="inlineStr">
        <is>
          <t>DESK-ANALYSIS</t>
        </is>
      </c>
      <c r="AA119" s="6" t="inlineStr"/>
      <c r="AB119" s="6" t="inlineStr">
        <is>
          <t>DEC</t>
        </is>
      </c>
      <c r="AC119" s="6" t="inlineStr">
        <is>
          <t>n/a (sub-item)</t>
        </is>
      </c>
      <c r="AD119" s="6" t="inlineStr">
        <is>
          <t>NEW (SRC-11 sub-row)</t>
        </is>
      </c>
      <c r="AE119" s="6" t="inlineStr">
        <is>
          <t>2026-10-21</t>
        </is>
      </c>
      <c r="AF119" s="6" t="inlineStr">
        <is>
          <t>INT-T-005 (requirements/intake/2026-10-21-user-decisions-after-meetings.md)</t>
        </is>
      </c>
      <c r="AG119" s="6" t="inlineStr"/>
      <c r="AH119" s="6" t="inlineStr">
        <is>
          <t>Yes</t>
        </is>
      </c>
      <c r="AI119" s="6" t="inlineStr"/>
      <c r="AJ119" s="6" t="inlineStr">
        <is>
          <t>repo: v4-02 section 4 / v4-03 section 5</t>
        </is>
      </c>
      <c r="AK119" s="6" t="inlineStr">
        <is>
          <t>RV-0005 R5, RV-0005 R6</t>
        </is>
      </c>
      <c r="AL119" s="6" t="inlineStr">
        <is>
          <t>S09</t>
        </is>
      </c>
    </row>
    <row r="120" ht="103" customHeight="1">
      <c r="A120" s="5" t="inlineStr">
        <is>
          <t>C-S13/POOLDIR</t>
        </is>
      </c>
      <c r="B120" s="6" t="inlineStr">
        <is>
          <t>R-pool vs expose-all: is it a harder or an easier success bar? (retained disagreement)</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K7 Large-catalogue reference</t>
        </is>
      </c>
      <c r="I120" s="6" t="inlineStr">
        <is>
          <t>G3 Before confirmatory study</t>
        </is>
      </c>
      <c r="J120" s="6" t="inlineStr">
        <is>
          <t>Normal</t>
        </is>
      </c>
      <c r="K120" s="6" t="n">
        <v>188</v>
      </c>
      <c r="L120" s="6" t="inlineStr">
        <is>
          <t>W3 Pilots (AUTH)</t>
        </is>
      </c>
      <c r="M120" s="6" t="inlineStr">
        <is>
          <t>S20</t>
        </is>
      </c>
      <c r="N120" s="6" t="inlineStr">
        <is>
          <t>Team + Joaa</t>
        </is>
      </c>
      <c r="O120" s="6" t="inlineStr">
        <is>
          <t>Needs an AUTH and a protocol</t>
        </is>
      </c>
      <c r="P120" s="6" t="inlineStr">
        <is>
          <t>No</t>
        </is>
      </c>
      <c r="Q120" s="6" t="inlineStr">
        <is>
          <t>Disagreement</t>
        </is>
      </c>
      <c r="R120" s="6" t="inlineStr">
        <is>
          <t>Sub-item</t>
        </is>
      </c>
      <c r="S120" s="6" t="inlineStr">
        <is>
          <t>C-S13</t>
        </is>
      </c>
      <c r="T120" s="6" t="inlineStr">
        <is>
          <t>Two readings are kept: R-pool has full reachability and little distraction (harder bar if its success &gt;= expose-all's), or a gold-derived pool is weaker and favours restriction. Neither is derived; the only evidence is one cell (44.0 vs 36.0, +/-8).</t>
        </is>
      </c>
      <c r="U120" s="6" t="inlineStr">
        <is>
          <t>Documented as unresolved.</t>
        </is>
      </c>
      <c r="V120" s="6" t="inlineStr">
        <is>
          <t>Calibration of R-pool against R-full where both exist.</t>
        </is>
      </c>
      <c r="W120" s="6" t="inlineStr"/>
      <c r="X120" s="6" t="inlineStr"/>
      <c r="Y120" s="6" t="inlineStr">
        <is>
          <t>Q-J13</t>
        </is>
      </c>
      <c r="Z120" s="6" t="inlineStr"/>
      <c r="AA120" s="6" t="inlineStr"/>
      <c r="AB120" s="6" t="inlineStr">
        <is>
          <t>DATA+BOUND</t>
        </is>
      </c>
      <c r="AC120" s="6" t="inlineStr">
        <is>
          <t>n/a (sub-item)</t>
        </is>
      </c>
      <c r="AD120" s="6" t="inlineStr">
        <is>
          <t>NEW (SRC-11 sub-row)</t>
        </is>
      </c>
      <c r="AE120" s="6" t="inlineStr">
        <is>
          <t>2026-10-19</t>
        </is>
      </c>
      <c r="AF120" s="6" t="inlineStr">
        <is>
          <t>v4-02 section 4</t>
        </is>
      </c>
      <c r="AG120" s="6" t="inlineStr"/>
      <c r="AH120" s="6" t="inlineStr">
        <is>
          <t>Yes</t>
        </is>
      </c>
      <c r="AI120" s="6" t="inlineStr"/>
      <c r="AJ120" s="6" t="inlineStr">
        <is>
          <t>repo: v4-02 section 4 / v4-03 section 5</t>
        </is>
      </c>
      <c r="AK120" s="6" t="inlineStr">
        <is>
          <t>CH-0051, RV-0005 R5</t>
        </is>
      </c>
      <c r="AL120" s="6" t="inlineStr">
        <is>
          <t>S09</t>
        </is>
      </c>
    </row>
    <row r="121" ht="53" customHeight="1">
      <c r="A121" s="5" t="inlineStr">
        <is>
          <t>C-S13/POOLPARAMS</t>
        </is>
      </c>
      <c r="B121" s="6" t="inlineStr">
        <is>
          <t>R-pool distractor rule, seed and size m unset</t>
        </is>
      </c>
      <c r="C121" s="6" t="inlineStr">
        <is>
          <t>OPEN</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K7 Large-catalogue reference</t>
        </is>
      </c>
      <c r="I121" s="6" t="inlineStr">
        <is>
          <t>G3 Before confirmatory study</t>
        </is>
      </c>
      <c r="J121" s="6" t="inlineStr">
        <is>
          <t>Normal</t>
        </is>
      </c>
      <c r="K121" s="6" t="n">
        <v>189</v>
      </c>
      <c r="L121" s="6" t="inlineStr">
        <is>
          <t>W3 Pilots (AUTH)</t>
        </is>
      </c>
      <c r="M121" s="6" t="inlineStr">
        <is>
          <t>S20</t>
        </is>
      </c>
      <c r="N121" s="6" t="inlineStr">
        <is>
          <t>Team + Joaa</t>
        </is>
      </c>
      <c r="O121" s="6" t="inlineStr">
        <is>
          <t>Lead computes or writes it (no model runs)</t>
        </is>
      </c>
      <c r="P121" s="6" t="inlineStr">
        <is>
          <t>No</t>
        </is>
      </c>
      <c r="Q121" s="6" t="inlineStr">
        <is>
          <t>Scientific unknown</t>
        </is>
      </c>
      <c r="R121" s="6" t="inlineStr">
        <is>
          <t>Sub-item</t>
        </is>
      </c>
      <c r="S121" s="6" t="inlineStr">
        <is>
          <t>C-S13</t>
        </is>
      </c>
      <c r="T121" s="6" t="inlineStr">
        <is>
          <t>The distractor distribution, seed and m (R-pool size) are design choices that are unset; random and near-miss distractors give different difficulty.</t>
        </is>
      </c>
      <c r="U121" s="6" t="inlineStr">
        <is>
          <t>Documented as unresolved.</t>
        </is>
      </c>
      <c r="V121" s="6" t="inlineStr">
        <is>
          <t>Rule, seed and m fixed in the contract.</t>
        </is>
      </c>
      <c r="W121" s="6" t="inlineStr"/>
      <c r="X121" s="6" t="inlineStr"/>
      <c r="Y121" s="6" t="inlineStr"/>
      <c r="Z121" s="6" t="inlineStr"/>
      <c r="AA121" s="6" t="inlineStr"/>
      <c r="AB121" s="6" t="inlineStr">
        <is>
          <t>DEC</t>
        </is>
      </c>
      <c r="AC121" s="6" t="inlineStr">
        <is>
          <t>n/a (sub-item)</t>
        </is>
      </c>
      <c r="AD121" s="6" t="inlineStr">
        <is>
          <t>NEW (SRC-11 sub-row)</t>
        </is>
      </c>
      <c r="AE121" s="6" t="inlineStr">
        <is>
          <t>2026-10-19</t>
        </is>
      </c>
      <c r="AF121" s="6" t="inlineStr">
        <is>
          <t>v4-02 section 4</t>
        </is>
      </c>
      <c r="AG121" s="6" t="inlineStr"/>
      <c r="AH121" s="6" t="inlineStr">
        <is>
          <t>Yes</t>
        </is>
      </c>
      <c r="AI121" s="6" t="inlineStr"/>
      <c r="AJ121" s="6" t="inlineStr">
        <is>
          <t>repo: v4-02 section 4 / v4-03 section 5</t>
        </is>
      </c>
      <c r="AK121" s="6" t="inlineStr"/>
      <c r="AL121" s="6" t="inlineStr">
        <is>
          <t>S09</t>
        </is>
      </c>
    </row>
    <row r="122" ht="53" customHeight="1">
      <c r="A122" s="5" t="inlineStr">
        <is>
          <t>C-S13</t>
        </is>
      </c>
      <c r="B122" s="6" t="inlineStr">
        <is>
          <t>Is the substitute reference valid, and how does it relate to true full exposure?</t>
        </is>
      </c>
      <c r="C122" s="6" t="inlineStr">
        <is>
          <t>PARTLY ANSWERED</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190</v>
      </c>
      <c r="L122" s="6" t="inlineStr">
        <is>
          <t>W3 Pilots (AUTH)</t>
        </is>
      </c>
      <c r="M122" s="6" t="inlineStr">
        <is>
          <t>S20</t>
        </is>
      </c>
      <c r="N122" s="6" t="inlineStr">
        <is>
          <t>Team (+Joaa on margin)</t>
        </is>
      </c>
      <c r="O122" s="6" t="inlineStr">
        <is>
          <t>Needs an AUTH and a protocol</t>
        </is>
      </c>
      <c r="P122" s="6" t="inlineStr">
        <is>
          <t>Partly</t>
        </is>
      </c>
      <c r="Q122" s="6" t="inlineStr">
        <is>
          <t>Scientific unknown</t>
        </is>
      </c>
      <c r="R122" s="6" t="inlineStr">
        <is>
          <t>Item</t>
        </is>
      </c>
      <c r="S122" s="6" t="inlineStr"/>
      <c r="T122" s="6" t="inlineStr">
        <is>
          <t>Is the substitute reference valid, and how does it relate to true full exposure?</t>
        </is>
      </c>
      <c r="U122" s="6" t="inlineStr">
        <is>
          <t>v3's substitute rule was found undefined for catalogues and replaced by a reference ladder (R-full, R-pool, frontier); R-pool's direction is unresolved.</t>
        </is>
      </c>
      <c r="V122" s="6" t="inlineStr">
        <is>
          <t>R-pool calibrated against R-full where both exist; above n_fit only substitute-relative claims.</t>
        </is>
      </c>
      <c r="W122" s="6" t="inlineStr">
        <is>
          <t>C-D09, C-D08, C-E06</t>
        </is>
      </c>
      <c r="X122" s="6" t="inlineStr">
        <is>
          <t>C-S12</t>
        </is>
      </c>
      <c r="Y122" s="6" t="inlineStr">
        <is>
          <t>Q-J13, Q-U03</t>
        </is>
      </c>
      <c r="Z122" s="6" t="inlineStr">
        <is>
          <t>ACCEPT-LIMITATION, JOAA-DECISION</t>
        </is>
      </c>
      <c r="AA122" s="6" t="inlineStr">
        <is>
          <t>K5 Evaluation contract</t>
        </is>
      </c>
      <c r="AB122" s="6" t="inlineStr">
        <is>
          <t>DATA+BOUND</t>
        </is>
      </c>
      <c r="AC122" s="6" t="inlineStr">
        <is>
          <t>PARTLY ANSWERED - OPEN</t>
        </is>
      </c>
      <c r="AD122" s="6" t="inlineStr">
        <is>
          <t>RE-CHARACTERISED</t>
        </is>
      </c>
      <c r="AE122" s="6" t="inlineStr">
        <is>
          <t>2026-10-19</t>
        </is>
      </c>
      <c r="AF122" s="6" t="inlineStr">
        <is>
          <t>v4-02 section 4; v4-03 section 1 row 5</t>
        </is>
      </c>
      <c r="AG122" s="6" t="inlineStr"/>
      <c r="AH122" s="6" t="inlineStr">
        <is>
          <t>Yes</t>
        </is>
      </c>
      <c r="AI122" s="6" t="inlineStr"/>
      <c r="AJ122" s="6" t="inlineStr">
        <is>
          <t>SRC-11 canonical</t>
        </is>
      </c>
      <c r="AK122" s="6" t="inlineStr">
        <is>
          <t>SRC-06 S31, SRC-07 18, SRC-07 32, v3-04 objection 5, CH-0038</t>
        </is>
      </c>
      <c r="AL122" s="6" t="inlineStr">
        <is>
          <t>S09</t>
        </is>
      </c>
    </row>
    <row r="123" ht="40.5" customHeight="1">
      <c r="A123" s="5" t="inlineStr">
        <is>
          <t>AS-12</t>
        </is>
      </c>
      <c r="B123" s="6" t="inlineStr">
        <is>
          <t>Supervisor assertion A12: LLM behaviour does not transfer across models</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K5 Evaluation contract</t>
        </is>
      </c>
      <c r="I123" s="6" t="inlineStr">
        <is>
          <t>G4 Before claims</t>
        </is>
      </c>
      <c r="J123" s="6" t="inlineStr">
        <is>
          <t>Normal</t>
        </is>
      </c>
      <c r="K123" s="6" t="n">
        <v>191</v>
      </c>
      <c r="L123" s="6" t="inlineStr">
        <is>
          <t>W3 Pilots (AUTH)</t>
        </is>
      </c>
      <c r="M123" s="6" t="inlineStr">
        <is>
          <t>S20</t>
        </is>
      </c>
      <c r="N123" s="6" t="inlineStr">
        <is>
          <t>Lead / team</t>
        </is>
      </c>
      <c r="O123" s="6" t="inlineStr">
        <is>
          <t>Test only the remainder, in the proof-of-concept loop</t>
        </is>
      </c>
      <c r="P123" s="6" t="inlineStr">
        <is>
          <t>No</t>
        </is>
      </c>
      <c r="Q123" s="6" t="inlineStr">
        <is>
          <t>Claim to test</t>
        </is>
      </c>
      <c r="R123" s="6" t="inlineStr">
        <is>
          <t>Item</t>
        </is>
      </c>
      <c r="S123" s="6" t="inlineStr"/>
      <c r="T123" s="6" t="inlineStr">
        <is>
          <t>REQ-A1 A12: LLM behaviour does not transfer across models. Empirical claim; affects how many evaluation models are needed (U12).</t>
        </is>
      </c>
      <c r="U123"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3" s="6" t="inlineStr">
        <is>
          <t>Empirical claim; affects how many evaluation models are needed (U12).</t>
        </is>
      </c>
      <c r="W123" s="6" t="inlineStr"/>
      <c r="X123" s="6" t="inlineStr"/>
      <c r="Y123" s="6" t="inlineStr">
        <is>
          <t>Q-J21, Q-J29</t>
        </is>
      </c>
      <c r="Z123" s="6" t="inlineStr"/>
      <c r="AA123" s="6" t="inlineStr"/>
      <c r="AB123" s="6" t="inlineStr">
        <is>
          <t>DATA</t>
        </is>
      </c>
      <c r="AC123" s="6" t="inlineStr">
        <is>
          <t>n/a (REGISTER E)</t>
        </is>
      </c>
      <c r="AD123" s="6" t="inlineStr">
        <is>
          <t>NEW (repo sweep)</t>
        </is>
      </c>
      <c r="AE123" s="6" t="inlineStr">
        <is>
          <t>2026-10-21</t>
        </is>
      </c>
      <c r="AF123" s="6" t="inlineStr">
        <is>
          <t>FND-0038 (findings/SUM-0040)</t>
        </is>
      </c>
      <c r="AG123" s="6" t="inlineStr"/>
      <c r="AH123" s="6" t="inlineStr">
        <is>
          <t>Yes</t>
        </is>
      </c>
      <c r="AI123" s="6" t="inlineStr"/>
      <c r="AJ123" s="6" t="inlineStr">
        <is>
          <t>repo: REGISTER section E / EXT-0004</t>
        </is>
      </c>
      <c r="AK123" s="6" t="inlineStr">
        <is>
          <t>REQ-A1 A12</t>
        </is>
      </c>
      <c r="AL123" s="6" t="inlineStr">
        <is>
          <t>S11</t>
        </is>
      </c>
    </row>
    <row r="124" ht="53" customHeight="1">
      <c r="A124" s="5" t="inlineStr">
        <is>
          <t>AS-15</t>
        </is>
      </c>
      <c r="B124" s="6" t="inlineStr">
        <is>
          <t>Supervisor assertion A15: information added to an explicit cache can stay for the whole conversation at negligible cost</t>
        </is>
      </c>
      <c r="C124" s="6" t="inlineStr">
        <is>
          <t>PARTLY ANSWERED</t>
        </is>
      </c>
      <c r="D124" s="6">
        <f>IFERROR(INDEX(Lists!$B$2:$B$14,MATCH(C124,Lists!$A$2:$A$14,0)),"?")</f>
        <v/>
      </c>
      <c r="E124" s="6">
        <f>IF(COUNTIFS(Links!$B$2:$B$600,A124,Links!$E$2:$E$600,"Yes")&gt;0,"REVISE","")</f>
        <v/>
      </c>
      <c r="F124" s="6">
        <f>COUNTIFS(Links!$B$2:$B$600,A124,Links!$D$2:$D$600,"No",Links!$C$2:$C$600,"&lt;&gt;INFORMS")</f>
        <v/>
      </c>
      <c r="G124" s="13" t="inlineStr">
        <is>
          <t>DESK-ANALYSIS</t>
        </is>
      </c>
      <c r="H124" s="6" t="inlineStr">
        <is>
          <t>K12 Selector &amp; need estimation</t>
        </is>
      </c>
      <c r="I124" s="6" t="inlineStr">
        <is>
          <t>G4 Before claims</t>
        </is>
      </c>
      <c r="J124" s="6" t="inlineStr">
        <is>
          <t>Normal</t>
        </is>
      </c>
      <c r="K124" s="6" t="n">
        <v>193</v>
      </c>
      <c r="L124" s="6" t="inlineStr">
        <is>
          <t>W3 Pilots (AUTH)</t>
        </is>
      </c>
      <c r="M124" s="6" t="inlineStr">
        <is>
          <t>S20</t>
        </is>
      </c>
      <c r="N124" s="6" t="inlineStr">
        <is>
          <t>Lead + steward</t>
        </is>
      </c>
      <c r="O124" s="6" t="inlineStr">
        <is>
          <t>Billing reading 05 P0 part 2</t>
        </is>
      </c>
      <c r="P124" s="6" t="inlineStr">
        <is>
          <t>No</t>
        </is>
      </c>
      <c r="Q124" s="6" t="inlineStr">
        <is>
          <t>Claim to test</t>
        </is>
      </c>
      <c r="R124" s="6" t="inlineStr">
        <is>
          <t>Item</t>
        </is>
      </c>
      <c r="S124" s="6" t="inlineStr"/>
      <c r="T124" s="6" t="inlineStr">
        <is>
          <t>Said on 21 October in the part he calls 'all in theory' (INT-T-002 L207-L209, L221).</t>
        </is>
      </c>
      <c r="U124"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 | V5 2026-10-22: desk arithmetic done (D-02 part 2): consistent within one conversation against re-sending; grows with every request against not adding; his words INT-T-002 L209, L211, L219, L221 (design/package-v5/02 (b))</t>
        </is>
      </c>
      <c r="V124" s="6" t="inlineStr">
        <is>
          <t>A cost calculation for named providers and turn rates, or a billing probe (E7).</t>
        </is>
      </c>
      <c r="W124" s="6" t="inlineStr"/>
      <c r="X124" s="6" t="inlineStr"/>
      <c r="Y124" s="6" t="inlineStr"/>
      <c r="Z124" s="6" t="inlineStr"/>
      <c r="AA124" s="6" t="inlineStr"/>
      <c r="AB124" s="6" t="inlineStr">
        <is>
          <t>SOURCE+DATA</t>
        </is>
      </c>
      <c r="AC124" s="6" t="inlineStr">
        <is>
          <t>n/a (new, 21 Oct meeting)</t>
        </is>
      </c>
      <c r="AD124" s="6" t="inlineStr">
        <is>
          <t>NEW (supervisor meeting 2026-10-21)</t>
        </is>
      </c>
      <c r="AE124" s="6" t="inlineStr">
        <is>
          <t>2026-10-22</t>
        </is>
      </c>
      <c r="AF124" s="6" t="inlineStr">
        <is>
          <t>design/package-v5/calc/memory_seed.stdout.txt; design/package-v5/02</t>
        </is>
      </c>
      <c r="AG124" s="6" t="inlineStr"/>
      <c r="AH124" s="6" t="inlineStr">
        <is>
          <t>No</t>
        </is>
      </c>
      <c r="AI124" s="6" t="inlineStr"/>
      <c r="AJ124" s="6" t="inlineStr">
        <is>
          <t>Supervisor meetings intake (AUTH-018)</t>
        </is>
      </c>
      <c r="AK124" s="6" t="inlineStr"/>
      <c r="AL124" s="6" t="inlineStr">
        <is>
          <t>S11</t>
        </is>
      </c>
    </row>
    <row r="125" ht="300" customHeight="1">
      <c r="A125" s="5" t="inlineStr">
        <is>
          <t>AS-06</t>
        </is>
      </c>
      <c r="B125" s="6" t="inlineStr">
        <is>
          <t>Supervisor assertion A6: ~50% token reduction is 'low-hanging fruit' with no accuracy loss; 50% to 10% is the hard part</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K12 Selector &amp; need estimation</t>
        </is>
      </c>
      <c r="I125" s="6" t="inlineStr">
        <is>
          <t>G4 Before claims</t>
        </is>
      </c>
      <c r="J125" s="6" t="inlineStr">
        <is>
          <t>Normal</t>
        </is>
      </c>
      <c r="K125" s="6" t="n">
        <v>194</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A6: ~50% token reduction is 'low-hanging fruit' with no accuracy loss; 50% to 10% is the hard part. Quantitative claim; needs sources or measurement (the same premise as C-S15).</t>
        </is>
      </c>
      <c r="U125"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5" s="6" t="inlineStr">
        <is>
          <t>Quantitative claim; needs sources or measurement (the same premise as C-S15).</t>
        </is>
      </c>
      <c r="W125" s="6" t="inlineStr">
        <is>
          <t>C-D09, C-D08</t>
        </is>
      </c>
      <c r="X125" s="6" t="inlineStr"/>
      <c r="Y125" s="6" t="inlineStr">
        <is>
          <t>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A6</t>
        </is>
      </c>
      <c r="AL125" s="6" t="inlineStr">
        <is>
          <t>S11</t>
        </is>
      </c>
    </row>
    <row r="126" ht="165.5" customHeight="1">
      <c r="A126" s="5" t="inlineStr">
        <is>
          <t>AS-13</t>
        </is>
      </c>
      <c r="B126" s="6" t="inlineStr">
        <is>
          <t>Supervisor assertion A13: Filtering 100 to 60 is a safe 'big win'; names only for the lowest tier keep accuracy</t>
        </is>
      </c>
      <c r="C126" s="6" t="inlineStr">
        <is>
          <t>PARTLY ANSWERED</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K12 Selector &amp; need estimation</t>
        </is>
      </c>
      <c r="I126" s="6" t="inlineStr">
        <is>
          <t>G4 Before claims</t>
        </is>
      </c>
      <c r="J126" s="6" t="inlineStr">
        <is>
          <t>Normal</t>
        </is>
      </c>
      <c r="K126" s="6" t="n">
        <v>195</v>
      </c>
      <c r="L126" s="6" t="inlineStr">
        <is>
          <t>W3 Pilots (AUTH)</t>
        </is>
      </c>
      <c r="M126" s="6" t="inlineStr">
        <is>
          <t>S20</t>
        </is>
      </c>
      <c r="N126" s="6" t="inlineStr">
        <is>
          <t>Lead / team</t>
        </is>
      </c>
      <c r="O126" s="6" t="inlineStr">
        <is>
          <t>Graded-exposure arm only if the loop needs it</t>
        </is>
      </c>
      <c r="P126" s="6" t="inlineStr">
        <is>
          <t>No</t>
        </is>
      </c>
      <c r="Q126" s="6" t="inlineStr">
        <is>
          <t>Claim to test</t>
        </is>
      </c>
      <c r="R126" s="6" t="inlineStr">
        <is>
          <t>Item</t>
        </is>
      </c>
      <c r="S126" s="6" t="inlineStr"/>
      <c r="T126" s="6" t="inlineStr">
        <is>
          <t>REQ-A1 A13: Filtering 100 to 60 is a safe 'big win'; names only for the lowest tier keep accuracy. Untested design claim.</t>
        </is>
      </c>
      <c r="U126"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 | V5 2026-10-22: the tier form exists in vendor products; its accuracy effect is not reported; REQ-J22-02: count reduction was an example, the goal is the bill</t>
        </is>
      </c>
      <c r="V126" s="6" t="inlineStr">
        <is>
          <t>Untested design claim.</t>
        </is>
      </c>
      <c r="W126" s="6" t="inlineStr">
        <is>
          <t>C-D09, C-D08</t>
        </is>
      </c>
      <c r="X126" s="6" t="inlineStr"/>
      <c r="Y126" s="6" t="inlineStr">
        <is>
          <t>Q-J29</t>
        </is>
      </c>
      <c r="Z126" s="6" t="inlineStr"/>
      <c r="AA126" s="6" t="inlineStr"/>
      <c r="AB126" s="6" t="inlineStr">
        <is>
          <t>DATA</t>
        </is>
      </c>
      <c r="AC126" s="6" t="inlineStr">
        <is>
          <t>n/a (REGISTER E)</t>
        </is>
      </c>
      <c r="AD126" s="6" t="inlineStr">
        <is>
          <t>NEW (repo sweep)</t>
        </is>
      </c>
      <c r="AE126" s="6" t="inlineStr">
        <is>
          <t>2026-10-22</t>
        </is>
      </c>
      <c r="AF126" s="6" t="inlineStr">
        <is>
          <t>L/v5-openai-tool-search-20261022.md:22; INT-T-006 line 25</t>
        </is>
      </c>
      <c r="AG126" s="6" t="inlineStr"/>
      <c r="AH126" s="6" t="inlineStr">
        <is>
          <t>Yes</t>
        </is>
      </c>
      <c r="AI126" s="6" t="inlineStr"/>
      <c r="AJ126" s="6" t="inlineStr">
        <is>
          <t>repo: REGISTER section E / EXT-0004</t>
        </is>
      </c>
      <c r="AK126" s="6" t="inlineStr">
        <is>
          <t>REQ-A1 A13</t>
        </is>
      </c>
      <c r="AL126" s="6" t="inlineStr">
        <is>
          <t>S11</t>
        </is>
      </c>
    </row>
    <row r="127" ht="300" customHeight="1">
      <c r="A127" s="5" t="inlineStr">
        <is>
          <t>C-S12</t>
        </is>
      </c>
      <c r="B127" s="6" t="inlineStr">
        <is>
          <t>Need labels and selector recall at large catalogue size have no valid estimator when the full reference can...</t>
        </is>
      </c>
      <c r="C127" s="6" t="inlineStr">
        <is>
          <t>OPEN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G3 Before confirmatory study</t>
        </is>
      </c>
      <c r="J127" s="6" t="inlineStr">
        <is>
          <t>Normal</t>
        </is>
      </c>
      <c r="K127" s="6" t="n">
        <v>196</v>
      </c>
      <c r="L127" s="6" t="inlineStr">
        <is>
          <t>W3 Pilots (AUTH)</t>
        </is>
      </c>
      <c r="M127" s="6" t="inlineStr">
        <is>
          <t>S20</t>
        </is>
      </c>
      <c r="N127" s="6" t="inlineStr">
        <is>
          <t>Team</t>
        </is>
      </c>
      <c r="O127" s="6" t="inlineStr">
        <is>
          <t>Needs an AUTH and a protocol</t>
        </is>
      </c>
      <c r="P127" s="6" t="inlineStr">
        <is>
          <t>No</t>
        </is>
      </c>
      <c r="Q127" s="6" t="inlineStr">
        <is>
          <t>Scientific unknown</t>
        </is>
      </c>
      <c r="R127" s="6" t="inlineStr">
        <is>
          <t>Item</t>
        </is>
      </c>
      <c r="S127" s="6" t="inlineStr"/>
      <c r="T127" s="6" t="inlineStr">
        <is>
          <t>Need labels and selector recall at large catalogue size have no valid estimator when the full reference cannot run.</t>
        </is>
      </c>
      <c r="U127" s="6" t="inlineStr">
        <is>
          <t>v4 brief: no legitimate labelled data for request-level narrowing recall.</t>
        </is>
      </c>
      <c r="V127" s="6" t="inlineStr">
        <is>
          <t>Estimator tested where the reference fits; transfer limit stated.</t>
        </is>
      </c>
      <c r="W127" s="6" t="inlineStr">
        <is>
          <t>C-D09, C-D08</t>
        </is>
      </c>
      <c r="X127" s="6" t="inlineStr">
        <is>
          <t>C-D11</t>
        </is>
      </c>
      <c r="Y127" s="6" t="inlineStr">
        <is>
          <t>Q-U03</t>
        </is>
      </c>
      <c r="Z127" s="6" t="inlineStr">
        <is>
          <t>LITERATURE-DIRECTED, ACCEPT-LIMITATION</t>
        </is>
      </c>
      <c r="AA127" s="6" t="inlineStr">
        <is>
          <t>K7 Large-catalogue reference</t>
        </is>
      </c>
      <c r="AB127" s="6" t="inlineStr">
        <is>
          <t>DATA+BOUND</t>
        </is>
      </c>
      <c r="AC127" s="6" t="inlineStr">
        <is>
          <t>OPEN</t>
        </is>
      </c>
      <c r="AD127" s="6" t="inlineStr">
        <is>
          <t>UNCHANGED</t>
        </is>
      </c>
      <c r="AE127" s="6" t="inlineStr">
        <is>
          <t>2026-10-19</t>
        </is>
      </c>
      <c r="AF127" s="6" t="inlineStr">
        <is>
          <t>v4-01 section 6 item 5</t>
        </is>
      </c>
      <c r="AG127" s="6" t="inlineStr"/>
      <c r="AH127" s="6" t="inlineStr">
        <is>
          <t>Yes</t>
        </is>
      </c>
      <c r="AI127" s="6" t="inlineStr"/>
      <c r="AJ127" s="6" t="inlineStr">
        <is>
          <t>SRC-11 canonical</t>
        </is>
      </c>
      <c r="AK127" s="6" t="inlineStr">
        <is>
          <t>SRC-06 S30, SRC-07 15, RA2, v3-04 objection 4</t>
        </is>
      </c>
      <c r="AL127" s="6" t="inlineStr">
        <is>
          <t>S13</t>
        </is>
      </c>
    </row>
    <row r="128" ht="278" customHeight="1">
      <c r="A128" s="5" t="inlineStr">
        <is>
          <t>C-S12/RA13</t>
        </is>
      </c>
      <c r="B128" s="6" t="inlineStr">
        <is>
          <t>RA13: model query vocabulary matches tool descriptions well enough</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G3 Before confirmatory study</t>
        </is>
      </c>
      <c r="J128" s="6" t="inlineStr">
        <is>
          <t>Normal</t>
        </is>
      </c>
      <c r="K128" s="6" t="n">
        <v>197</v>
      </c>
      <c r="L128" s="6" t="inlineStr">
        <is>
          <t>W3 Pilots (AUTH)</t>
        </is>
      </c>
      <c r="M128" s="6" t="inlineStr">
        <is>
          <t>S20</t>
        </is>
      </c>
      <c r="N128" s="6" t="inlineStr">
        <is>
          <t>Team</t>
        </is>
      </c>
      <c r="O128" s="6" t="inlineStr">
        <is>
          <t>Test only the remainder, in the proof-of-concept loop</t>
        </is>
      </c>
      <c r="P128" s="6" t="inlineStr">
        <is>
          <t>No</t>
        </is>
      </c>
      <c r="Q128" s="6" t="inlineStr">
        <is>
          <t>Assumption</t>
        </is>
      </c>
      <c r="R128" s="6" t="inlineStr">
        <is>
          <t>Sub-item</t>
        </is>
      </c>
      <c r="S128" s="6" t="inlineStr">
        <is>
          <t>C-S12</t>
        </is>
      </c>
      <c r="T128" s="6" t="inlineStr">
        <is>
          <t>Recovery assumption RA13: a vocabulary mismatch is a recall failure counted in q.</t>
        </is>
      </c>
      <c r="U128"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8" s="6" t="inlineStr">
        <is>
          <t>Recall measured per query style.</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2026-10-21</t>
        </is>
      </c>
      <c r="AF128" s="6" t="inlineStr">
        <is>
          <t>FND-0038 (findings/SUM-0040)</t>
        </is>
      </c>
      <c r="AG128" s="6" t="inlineStr"/>
      <c r="AH128" s="6" t="inlineStr">
        <is>
          <t>Yes</t>
        </is>
      </c>
      <c r="AI128" s="6" t="inlineStr"/>
      <c r="AJ128" s="6" t="inlineStr">
        <is>
          <t>repo: v3-02 section 4</t>
        </is>
      </c>
      <c r="AK128" s="6" t="inlineStr">
        <is>
          <t>RA13</t>
        </is>
      </c>
      <c r="AL128" s="6" t="inlineStr">
        <is>
          <t>S13</t>
        </is>
      </c>
    </row>
    <row r="129" ht="40.5" customHeight="1">
      <c r="A129" s="5" t="inlineStr">
        <is>
          <t>C-S15</t>
        </is>
      </c>
      <c r="B129" s="6" t="inlineStr">
        <is>
          <t>Does a concentrated usage core exist and transfer to held-out tasks; do model-count effects hold at matched...</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198</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Does a concentrated usage core exist and transfer to held-out tasks; do model-count effects hold at matched tokens?</t>
        </is>
      </c>
      <c r="U129" s="6" t="inlineStr">
        <is>
          <t>No held-out evidence (HYP-0014 proposed); C-A already demoted to a component.</t>
        </is>
      </c>
      <c r="V129" s="6" t="inlineStr">
        <is>
          <t>Held-out core test plus matched-token contrasts.</t>
        </is>
      </c>
      <c r="W129" s="6" t="inlineStr">
        <is>
          <t>C-D09, C-D08</t>
        </is>
      </c>
      <c r="X129" s="6" t="inlineStr">
        <is>
          <t>C-D11, C-S01</t>
        </is>
      </c>
      <c r="Y129" s="6" t="inlineStr">
        <is>
          <t>Q-J27, Q-U03</t>
        </is>
      </c>
      <c r="Z129" s="6" t="inlineStr"/>
      <c r="AA129" s="6" t="inlineStr">
        <is>
          <t>K10 Token composition</t>
        </is>
      </c>
      <c r="AB129" s="6" t="inlineStr">
        <is>
          <t>DATA</t>
        </is>
      </c>
      <c r="AC129" s="6" t="inlineStr">
        <is>
          <t>OPEN</t>
        </is>
      </c>
      <c r="AD129" s="6" t="inlineStr">
        <is>
          <t>UNCHANGED</t>
        </is>
      </c>
      <c r="AE129" s="6" t="inlineStr">
        <is>
          <t>2026-10-19</t>
        </is>
      </c>
      <c r="AF129" s="6" t="inlineStr">
        <is>
          <t>HYP-0014; v4-01 section 5</t>
        </is>
      </c>
      <c r="AG129" s="6" t="inlineStr"/>
      <c r="AH129" s="6" t="inlineStr">
        <is>
          <t>Yes</t>
        </is>
      </c>
      <c r="AI129" s="6" t="inlineStr"/>
      <c r="AJ129" s="6" t="inlineStr">
        <is>
          <t>SRC-11 canonical</t>
        </is>
      </c>
      <c r="AK129" s="6" t="inlineStr">
        <is>
          <t>SRC-06 S33, SRC-06 S39, HYP-0014</t>
        </is>
      </c>
      <c r="AL129" s="6" t="inlineStr">
        <is>
          <t>S20</t>
        </is>
      </c>
    </row>
    <row r="130" ht="90.5" customHeight="1">
      <c r="A130" s="5" t="inlineStr">
        <is>
          <t>C-X03</t>
        </is>
      </c>
      <c r="B130" s="6" t="inlineStr">
        <is>
          <t>E3/E8: selector recall plus need-estimator check that answers C-S12.</t>
        </is>
      </c>
      <c r="C130" s="6" t="inlineStr">
        <is>
          <t>UNRUN</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199</v>
      </c>
      <c r="L130" s="6" t="inlineStr">
        <is>
          <t>W3 Pilots (AUTH)</t>
        </is>
      </c>
      <c r="M130" s="6" t="inlineStr">
        <is>
          <t>S20</t>
        </is>
      </c>
      <c r="N130" s="6" t="inlineStr">
        <is>
          <t>Team</t>
        </is>
      </c>
      <c r="O130" s="6" t="inlineStr">
        <is>
          <t>Needs an AUTH and a protocol</t>
        </is>
      </c>
      <c r="P130" s="6" t="inlineStr">
        <is>
          <t>No</t>
        </is>
      </c>
      <c r="Q130" s="6" t="inlineStr">
        <is>
          <t>Test</t>
        </is>
      </c>
      <c r="R130" s="6" t="inlineStr">
        <is>
          <t>Check</t>
        </is>
      </c>
      <c r="S130" s="6" t="inlineStr"/>
      <c r="T130" s="6" t="inlineStr">
        <is>
          <t>E3/E8: selector recall plus need-estimator check that answers C-S12.</t>
        </is>
      </c>
      <c r="U130" s="6" t="inlineStr">
        <is>
          <t>Not run.</t>
        </is>
      </c>
      <c r="V130" s="6" t="inlineStr">
        <is>
          <t>Same as C-S12.</t>
        </is>
      </c>
      <c r="W130" s="6" t="inlineStr">
        <is>
          <t>C-D09, C-D08</t>
        </is>
      </c>
      <c r="X130" s="6" t="inlineStr">
        <is>
          <t>C-D11</t>
        </is>
      </c>
      <c r="Y130" s="6" t="inlineStr"/>
      <c r="Z130" s="6" t="inlineStr"/>
      <c r="AA130" s="6" t="inlineStr"/>
      <c r="AB130" s="6" t="inlineStr">
        <is>
          <t>DATA</t>
        </is>
      </c>
      <c r="AC130" s="6" t="inlineStr">
        <is>
          <t>NO RESULT - OPEN</t>
        </is>
      </c>
      <c r="AD130" s="6" t="inlineStr">
        <is>
          <t>UNCHANGED</t>
        </is>
      </c>
      <c r="AE130" s="6" t="inlineStr">
        <is>
          <t>2026-10-19</t>
        </is>
      </c>
      <c r="AF130" s="6" t="inlineStr">
        <is>
          <t>v3-04 section 4</t>
        </is>
      </c>
      <c r="AG130" s="6" t="inlineStr"/>
      <c r="AH130" s="6" t="inlineStr">
        <is>
          <t>Yes</t>
        </is>
      </c>
      <c r="AI130" s="6" t="inlineStr"/>
      <c r="AJ130" s="6" t="inlineStr">
        <is>
          <t>SRC-11 canonical</t>
        </is>
      </c>
      <c r="AK130" s="6" t="inlineStr">
        <is>
          <t>E3, E8</t>
        </is>
      </c>
      <c r="AL130" s="6" t="inlineStr">
        <is>
          <t>S20</t>
        </is>
      </c>
    </row>
    <row r="131" ht="40.5" customHeight="1">
      <c r="A131" s="5" t="inlineStr">
        <is>
          <t>C-X04</t>
        </is>
      </c>
      <c r="B131" s="6" t="inlineStr">
        <is>
          <t>E4: substitute-reference validity check that answers C-S13.</t>
        </is>
      </c>
      <c r="C131" s="6" t="inlineStr">
        <is>
          <t>DEFERRED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K7 Large-catalogue reference</t>
        </is>
      </c>
      <c r="I131" s="6" t="inlineStr">
        <is>
          <t>G3 Before confirmatory study</t>
        </is>
      </c>
      <c r="J131" s="6" t="inlineStr">
        <is>
          <t>Normal</t>
        </is>
      </c>
      <c r="K131" s="6" t="n">
        <v>200</v>
      </c>
      <c r="L131" s="6" t="inlineStr">
        <is>
          <t>W3 Pilots (AUTH)</t>
        </is>
      </c>
      <c r="M131" s="6" t="inlineStr">
        <is>
          <t>S20</t>
        </is>
      </c>
      <c r="N131" s="6" t="inlineStr">
        <is>
          <t>Team</t>
        </is>
      </c>
      <c r="O131" s="6" t="inlineStr">
        <is>
          <t>none until the trigger fires</t>
        </is>
      </c>
      <c r="P131" s="6" t="inlineStr">
        <is>
          <t>No</t>
        </is>
      </c>
      <c r="Q131" s="6" t="inlineStr">
        <is>
          <t>Test</t>
        </is>
      </c>
      <c r="R131" s="6" t="inlineStr">
        <is>
          <t>Check</t>
        </is>
      </c>
      <c r="S131" s="6" t="inlineStr"/>
      <c r="T131" s="6" t="inlineStr">
        <is>
          <t>E4: substitute-reference validity check that answers C-S13.</t>
        </is>
      </c>
      <c r="U131" s="6" t="inlineStr">
        <is>
          <t>Not run; cannot prove equivalence at an infeasible size. 2026-10-21 (AUTH-019): belongs to the end-to-end phase (FND-0038 (findings/SUM-0040); the human's process, INT-T-005 line 7).</t>
        </is>
      </c>
      <c r="V131" s="6" t="inlineStr">
        <is>
          <t>Same as C-S13.</t>
        </is>
      </c>
      <c r="W131" s="6" t="inlineStr">
        <is>
          <t>C-D09, C-D08, C-E06</t>
        </is>
      </c>
      <c r="X131" s="6" t="inlineStr"/>
      <c r="Y131" s="6" t="inlineStr"/>
      <c r="Z131" s="6" t="inlineStr"/>
      <c r="AA131" s="6" t="inlineStr"/>
      <c r="AB131" s="6" t="inlineStr">
        <is>
          <t>DATA</t>
        </is>
      </c>
      <c r="AC131" s="6" t="inlineStr">
        <is>
          <t>NO RESULT - OPEN</t>
        </is>
      </c>
      <c r="AD131" s="6" t="inlineStr">
        <is>
          <t>UNCHANGED</t>
        </is>
      </c>
      <c r="AE131" s="6" t="inlineStr">
        <is>
          <t>2026-10-21</t>
        </is>
      </c>
      <c r="AF131" s="6" t="inlineStr">
        <is>
          <t>FND-0037 (findings/SUM-0039); FND-0038 (findings/SUM-0040)</t>
        </is>
      </c>
      <c r="AG131" s="6" t="inlineStr">
        <is>
          <t>The end-to-end study is designed</t>
        </is>
      </c>
      <c r="AH131" s="6" t="inlineStr">
        <is>
          <t>Yes</t>
        </is>
      </c>
      <c r="AI131" s="6" t="inlineStr"/>
      <c r="AJ131" s="6" t="inlineStr">
        <is>
          <t>SRC-11 canonical</t>
        </is>
      </c>
      <c r="AK131" s="6" t="inlineStr">
        <is>
          <t>E4</t>
        </is>
      </c>
      <c r="AL131" s="6" t="inlineStr">
        <is>
          <t>S20</t>
        </is>
      </c>
    </row>
    <row r="132" ht="28" customHeight="1">
      <c r="A132" s="5" t="inlineStr">
        <is>
          <t>C-S20</t>
        </is>
      </c>
      <c r="B132" s="6" t="inlineStr">
        <is>
          <t>Cross-reference to the offline-cost convention, the definition share and the 40-50% premise.</t>
        </is>
      </c>
      <c r="C132" s="6" t="inlineStr">
        <is>
          <t>OPEN</t>
        </is>
      </c>
      <c r="D132" s="6">
        <f>IFERROR(INDEX(Lists!$B$2:$B$14,MATCH(C132,Lists!$A$2:$A$14,0)),"?")</f>
        <v/>
      </c>
      <c r="E132" s="6">
        <f>IF(COUNTIFS(Links!$B$2:$B$600,A132,Links!$E$2:$E$600,"Yes")&gt;0,"REVISE","")</f>
        <v/>
      </c>
      <c r="F132" s="6">
        <f>COUNTIFS(Links!$B$2:$B$600,A132,Links!$D$2:$D$600,"No",Links!$C$2:$C$600,"&lt;&gt;INFORMS")</f>
        <v/>
      </c>
      <c r="G132" s="18" t="inlineStr">
        <is>
          <t>CROSS-REFERENCE</t>
        </is>
      </c>
      <c r="H132" s="6" t="inlineStr">
        <is>
          <t>K2 Objective &amp; accounting</t>
        </is>
      </c>
      <c r="I132" s="6" t="inlineStr">
        <is>
          <t>G3 Before confirmatory study</t>
        </is>
      </c>
      <c r="J132" s="6" t="inlineStr">
        <is>
          <t>Normal</t>
        </is>
      </c>
      <c r="K132" s="6" t="n">
        <v>201</v>
      </c>
      <c r="L132" s="6" t="inlineStr">
        <is>
          <t>W3 Pilots (AUTH)</t>
        </is>
      </c>
      <c r="M132" s="6" t="inlineStr">
        <is>
          <t>S20</t>
        </is>
      </c>
      <c r="N132" s="6" t="inlineStr">
        <is>
          <t>n/a</t>
        </is>
      </c>
      <c r="O132" s="6" t="inlineStr">
        <is>
          <t>None; closes when its parents close</t>
        </is>
      </c>
      <c r="P132" s="6" t="inlineStr">
        <is>
          <t>No</t>
        </is>
      </c>
      <c r="Q132" s="6" t="inlineStr">
        <is>
          <t>Scientific unknown</t>
        </is>
      </c>
      <c r="R132" s="6" t="inlineStr">
        <is>
          <t>Item</t>
        </is>
      </c>
      <c r="S132" s="6" t="inlineStr"/>
      <c r="T132" s="6" t="inlineStr">
        <is>
          <t>Cross-reference to the offline-cost convention, the definition share and the 40-50% premise.</t>
        </is>
      </c>
      <c r="U132" s="6" t="inlineStr">
        <is>
          <t>Closes when C-S17, C-S01, C-S15 close; count their measurements once.</t>
        </is>
      </c>
      <c r="V132" s="6" t="inlineStr">
        <is>
          <t>All three pointed-to items closed.</t>
        </is>
      </c>
      <c r="W132" s="6" t="inlineStr">
        <is>
          <t>C-S17, C-S01, C-S15</t>
        </is>
      </c>
      <c r="X132" s="6" t="inlineStr"/>
      <c r="Y132" s="6" t="inlineStr">
        <is>
          <t>Q-J03, Q-J19</t>
        </is>
      </c>
      <c r="Z132" s="6" t="inlineStr"/>
      <c r="AA132" s="6" t="inlineStr">
        <is>
          <t>K10 Token composition, K12 Selector &amp; need estimation</t>
        </is>
      </c>
      <c r="AB132" s="6" t="inlineStr">
        <is>
          <t>DEC+DATA</t>
        </is>
      </c>
      <c r="AC132" s="6" t="inlineStr">
        <is>
          <t>OPEN</t>
        </is>
      </c>
      <c r="AD132" s="6" t="inlineStr">
        <is>
          <t>UNCHANGED</t>
        </is>
      </c>
      <c r="AE132" s="6" t="inlineStr">
        <is>
          <t>2026-10-19</t>
        </is>
      </c>
      <c r="AF132" s="6" t="inlineStr">
        <is>
          <t>SRC-11 C-S20</t>
        </is>
      </c>
      <c r="AG132" s="6" t="inlineStr"/>
      <c r="AH132" s="6" t="inlineStr">
        <is>
          <t>n/a</t>
        </is>
      </c>
      <c r="AI132" s="6" t="inlineStr"/>
      <c r="AJ132" s="6" t="inlineStr">
        <is>
          <t>SRC-11 canonical</t>
        </is>
      </c>
      <c r="AK132" s="6" t="inlineStr">
        <is>
          <t>SRC-06 S35, SRC-06 S39</t>
        </is>
      </c>
      <c r="AL132" s="6" t="inlineStr">
        <is>
          <t>S20</t>
        </is>
      </c>
    </row>
    <row r="133" ht="53" customHeight="1">
      <c r="A133" s="5" t="inlineStr">
        <is>
          <t>N-6</t>
        </is>
      </c>
      <c r="B133" s="6" t="inlineStr">
        <is>
          <t>Memory of which tools exist or were discovered, in a catalogue too large to expose, measured across sessions.</t>
        </is>
      </c>
      <c r="C133" s="6" t="inlineStr">
        <is>
          <t>PARTLY ANSWERED</t>
        </is>
      </c>
      <c r="D133" s="6">
        <f>IFERROR(INDEX(Lists!$B$2:$B$14,MATCH(C133,Lists!$A$2:$A$14,0)),"?")</f>
        <v/>
      </c>
      <c r="E133" s="6">
        <f>IF(COUNTIFS(Links!$B$2:$B$600,A133,Links!$E$2:$E$600,"Yes")&gt;0,"REVISE","")</f>
        <v/>
      </c>
      <c r="F133" s="6">
        <f>COUNTIFS(Links!$B$2:$B$600,A133,Links!$D$2:$D$600,"No",Links!$C$2:$C$600,"&lt;&gt;INFORMS")</f>
        <v/>
      </c>
      <c r="G133" s="11" t="inlineStr">
        <is>
          <t>LITERATURE-DIRECTED</t>
        </is>
      </c>
      <c r="H133" s="6" t="inlineStr">
        <is>
          <t>K4 Memory &amp; sessions</t>
        </is>
      </c>
      <c r="I133" s="6" t="inlineStr">
        <is>
          <t>G3 Before confirmatory study</t>
        </is>
      </c>
      <c r="J133" s="6" t="inlineStr">
        <is>
          <t>Normal</t>
        </is>
      </c>
      <c r="K133" s="6" t="n">
        <v>202</v>
      </c>
      <c r="L133" s="6" t="inlineStr">
        <is>
          <t>W3 Pilots (AUTH)</t>
        </is>
      </c>
      <c r="M133" s="6" t="inlineStr">
        <is>
          <t>S21</t>
        </is>
      </c>
      <c r="N133" s="6" t="inlineStr">
        <is>
          <t>Lead (search); team (pilot D)</t>
        </is>
      </c>
      <c r="O133" s="6" t="inlineStr">
        <is>
          <t>05 P1 (needs AUTH)</t>
        </is>
      </c>
      <c r="P133" s="6" t="inlineStr">
        <is>
          <t>No</t>
        </is>
      </c>
      <c r="Q133" s="6" t="inlineStr">
        <is>
          <t>Scientific unknown</t>
        </is>
      </c>
      <c r="R133" s="6" t="inlineStr">
        <is>
          <t>Item</t>
        </is>
      </c>
      <c r="S133" s="6" t="inlineStr"/>
      <c r="T133" s="6" t="inlineStr">
        <is>
          <t>Memory of which tools exist or were discovered, in a catalogue too large to expose, measured across sessions.</t>
        </is>
      </c>
      <c r="U133"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 | V5 2026-10-22: personalized tool memory exists over small tool sets (PRTA, memory-conditioned tool calling; design/package-v5/03 s5); per-user seeding of tool definitions from a large catalogue with the bill measured not found in a limited search (inputs/search-log-20261022.md s2); now HYP-0017, in the tested policy per REQ-J22-01</t>
        </is>
      </c>
      <c r="V133" s="6" t="inlineStr">
        <is>
          <t>Directed search for procedural/skill memory done; if still absent, a session pilot or a stated deferral.</t>
        </is>
      </c>
      <c r="W133" s="6" t="inlineStr">
        <is>
          <t>N-2</t>
        </is>
      </c>
      <c r="X133" s="6" t="inlineStr"/>
      <c r="Y133" s="6" t="inlineStr">
        <is>
          <t>Q-J05, Q-U21, Q-J30</t>
        </is>
      </c>
      <c r="Z133" s="6" t="inlineStr">
        <is>
          <t>TEST-PILOT, ACCEPT-LIMITATION</t>
        </is>
      </c>
      <c r="AA133" s="6" t="inlineStr">
        <is>
          <t>K8 Search initiation &amp; recovery</t>
        </is>
      </c>
      <c r="AB133" s="6" t="inlineStr"/>
      <c r="AC133" s="6" t="inlineStr">
        <is>
          <t>n/a (new)</t>
        </is>
      </c>
      <c r="AD133" s="6" t="inlineStr">
        <is>
          <t>NEW</t>
        </is>
      </c>
      <c r="AE133" s="6" t="inlineStr">
        <is>
          <t>2026-10-22</t>
        </is>
      </c>
      <c r="AF133" s="6" t="inlineStr">
        <is>
          <t>design/package-v5/03 s5; search log s2; INT-T-006 line 23</t>
        </is>
      </c>
      <c r="AG133" s="6" t="inlineStr"/>
      <c r="AH133" s="6" t="inlineStr">
        <is>
          <t>Pilot: yes</t>
        </is>
      </c>
      <c r="AI133" s="6" t="inlineStr"/>
      <c r="AJ133" s="6" t="inlineStr">
        <is>
          <t>Review 19 Oct (section 5)</t>
        </is>
      </c>
      <c r="AK133" s="6" t="inlineStr"/>
      <c r="AL133" s="6" t="inlineStr">
        <is>
          <t>S13</t>
        </is>
      </c>
    </row>
    <row r="134" ht="40.5" customHeight="1">
      <c r="A134" s="5" t="inlineStr">
        <is>
          <t>N-7</t>
        </is>
      </c>
      <c r="B134" s="6" t="inlineStr">
        <is>
          <t>Prefix layout and cache sharing across users: memory-seeded tools could fragment a shared prefix.</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K4 Memory &amp; sessions</t>
        </is>
      </c>
      <c r="I134" s="6" t="inlineStr">
        <is>
          <t>G3 Before confirmatory study</t>
        </is>
      </c>
      <c r="J134" s="6" t="inlineStr">
        <is>
          <t>Normal</t>
        </is>
      </c>
      <c r="K134" s="6" t="n">
        <v>203</v>
      </c>
      <c r="L134" s="6" t="inlineStr">
        <is>
          <t>W3 Pilots (AUTH)</t>
        </is>
      </c>
      <c r="M134" s="6" t="inlineStr">
        <is>
          <t>S21</t>
        </is>
      </c>
      <c r="N134" s="6" t="inlineStr">
        <is>
          <t>Team / provider</t>
        </is>
      </c>
      <c r="O134" s="6" t="inlineStr">
        <is>
          <t>05 P0 part 2</t>
        </is>
      </c>
      <c r="P134" s="6" t="inlineStr">
        <is>
          <t>No</t>
        </is>
      </c>
      <c r="Q134" s="6" t="inlineStr">
        <is>
          <t>Test</t>
        </is>
      </c>
      <c r="R134" s="6" t="inlineStr">
        <is>
          <t>Item</t>
        </is>
      </c>
      <c r="S134" s="6" t="inlineStr"/>
      <c r="T134" s="6" t="inlineStr">
        <is>
          <t>Prefix layout and cache sharing across users: memory-seeded tools could fragment a shared prefix.</t>
        </is>
      </c>
      <c r="U134" s="6" t="inlineStr">
        <is>
          <t>Hypothesis; provider sharing behaviour is 'not established here'. | V5 2026-10-22: resolved in design: per-user seeds placed after a shared, task-independent prefix (04 V5-R06); provider sharing scope still unstated; prefix caching on the university API unknown (05 P0 part 2)</t>
        </is>
      </c>
      <c r="V134" s="6" t="inlineStr">
        <is>
          <t>Provider-specific probe of cross-user prefix sharing and layout.</t>
        </is>
      </c>
      <c r="W134" s="6" t="inlineStr">
        <is>
          <t>N-2</t>
        </is>
      </c>
      <c r="X134" s="6" t="inlineStr">
        <is>
          <t>N-6</t>
        </is>
      </c>
      <c r="Y134" s="6" t="inlineStr">
        <is>
          <t>Q-J05</t>
        </is>
      </c>
      <c r="Z134" s="6" t="inlineStr">
        <is>
          <t>SOURCE-REREAD</t>
        </is>
      </c>
      <c r="AA134" s="6" t="inlineStr">
        <is>
          <t>K9 Cache &amp; billing</t>
        </is>
      </c>
      <c r="AB134" s="6" t="inlineStr"/>
      <c r="AC134" s="6" t="inlineStr">
        <is>
          <t>n/a (new)</t>
        </is>
      </c>
      <c r="AD134" s="6" t="inlineStr">
        <is>
          <t>NEW</t>
        </is>
      </c>
      <c r="AE134" s="6" t="inlineStr">
        <is>
          <t>2026-10-22</t>
        </is>
      </c>
      <c r="AF134" s="6" t="inlineStr">
        <is>
          <t>design/package-v5/04 V5-R06</t>
        </is>
      </c>
      <c r="AG134" s="6" t="inlineStr"/>
      <c r="AH134" s="6" t="inlineStr">
        <is>
          <t>Yes</t>
        </is>
      </c>
      <c r="AI134" s="6" t="inlineStr"/>
      <c r="AJ134" s="6" t="inlineStr">
        <is>
          <t>Review 19 Oct (section 5)</t>
        </is>
      </c>
      <c r="AK134" s="6" t="inlineStr"/>
      <c r="AL134" s="6" t="inlineStr">
        <is>
          <t>S21</t>
        </is>
      </c>
    </row>
    <row r="135" ht="300" customHeight="1">
      <c r="A135" s="5" t="inlineStr">
        <is>
          <t>C-S10</t>
        </is>
      </c>
      <c r="B135" s="6" t="inlineStr">
        <is>
          <t>Why does retrieval hurt (query, embedder, server granularity, judge)?</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K11 End-to-end comparison</t>
        </is>
      </c>
      <c r="I135" s="6" t="inlineStr">
        <is>
          <t>G4 Before claims</t>
        </is>
      </c>
      <c r="J135" s="6" t="inlineStr">
        <is>
          <t>Normal</t>
        </is>
      </c>
      <c r="K135" s="6" t="n">
        <v>204</v>
      </c>
      <c r="L135" s="6" t="inlineStr">
        <is>
          <t>W4 End-to-end</t>
        </is>
      </c>
      <c r="M135" s="6" t="inlineStr">
        <is>
          <t>S22</t>
        </is>
      </c>
      <c r="N135" s="6" t="inlineStr">
        <is>
          <t>Team</t>
        </is>
      </c>
      <c r="O135" s="6" t="inlineStr">
        <is>
          <t>Test only the remainder, in the proof-of-concept loop</t>
        </is>
      </c>
      <c r="P135" s="6" t="inlineStr">
        <is>
          <t>No</t>
        </is>
      </c>
      <c r="Q135" s="6" t="inlineStr">
        <is>
          <t>Scientific unknown</t>
        </is>
      </c>
      <c r="R135" s="6" t="inlineStr">
        <is>
          <t>Item</t>
        </is>
      </c>
      <c r="S135" s="6" t="inlineStr"/>
      <c r="T135" s="6" t="inlineStr">
        <is>
          <t>Why does retrieval hurt (query, embedder, server granularity, judge)? Generality is not isolated.</t>
        </is>
      </c>
      <c r="U135"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5" s="6" t="inlineStr">
        <is>
          <t>Strong-retriever full-catalogue comparison with fixed judge and query variants.</t>
        </is>
      </c>
      <c r="W135" s="6" t="inlineStr">
        <is>
          <t>C-D09, C-D08</t>
        </is>
      </c>
      <c r="X135" s="6" t="inlineStr">
        <is>
          <t>C-S11</t>
        </is>
      </c>
      <c r="Y135" s="6" t="inlineStr"/>
      <c r="Z135" s="6" t="inlineStr">
        <is>
          <t>LITERATURE-DIRECTED, SOURCE-REREAD</t>
        </is>
      </c>
      <c r="AA135" s="6" t="inlineStr">
        <is>
          <t>K12 Selector &amp; need estimation</t>
        </is>
      </c>
      <c r="AB135" s="6" t="inlineStr">
        <is>
          <t>DATA+SOURCE</t>
        </is>
      </c>
      <c r="AC135" s="6" t="inlineStr">
        <is>
          <t>OPEN</t>
        </is>
      </c>
      <c r="AD135" s="6" t="inlineStr">
        <is>
          <t>UNCHANGED</t>
        </is>
      </c>
      <c r="AE135" s="6" t="inlineStr">
        <is>
          <t>2026-10-21</t>
        </is>
      </c>
      <c r="AF135" s="6" t="inlineStr">
        <is>
          <t>FND-0038 (findings/SUM-0040)</t>
        </is>
      </c>
      <c r="AG135" s="6" t="inlineStr"/>
      <c r="AH135" s="6" t="inlineStr">
        <is>
          <t>Yes</t>
        </is>
      </c>
      <c r="AI135" s="6" t="inlineStr"/>
      <c r="AJ135" s="6" t="inlineStr">
        <is>
          <t>SRC-11 canonical</t>
        </is>
      </c>
      <c r="AK135" s="6" t="inlineStr">
        <is>
          <t>SRC-06 S24</t>
        </is>
      </c>
      <c r="AL135" s="6" t="inlineStr">
        <is>
          <t>S13</t>
        </is>
      </c>
    </row>
    <row r="136" ht="40.5" customHeight="1">
      <c r="A136" s="5" t="inlineStr">
        <is>
          <t>C-S10/RA3</t>
        </is>
      </c>
      <c r="B136" s="6" t="inlineStr">
        <is>
          <t>RA3: appended results do not degrade later steps</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K11 End-to-end comparison</t>
        </is>
      </c>
      <c r="I136" s="6" t="inlineStr">
        <is>
          <t>G4 Before claims</t>
        </is>
      </c>
      <c r="J136" s="6" t="inlineStr">
        <is>
          <t>Normal</t>
        </is>
      </c>
      <c r="K136" s="6" t="n">
        <v>205</v>
      </c>
      <c r="L136" s="6" t="inlineStr">
        <is>
          <t>W4 End-to-end</t>
        </is>
      </c>
      <c r="M136" s="6" t="inlineStr">
        <is>
          <t>S22</t>
        </is>
      </c>
      <c r="N136" s="6" t="inlineStr">
        <is>
          <t>Team</t>
        </is>
      </c>
      <c r="O136" s="6" t="inlineStr">
        <is>
          <t>Needs an AUTH and a protocol</t>
        </is>
      </c>
      <c r="P136" s="6" t="inlineStr">
        <is>
          <t>No</t>
        </is>
      </c>
      <c r="Q136" s="6" t="inlineStr">
        <is>
          <t>Assumption</t>
        </is>
      </c>
      <c r="R136" s="6" t="inlineStr">
        <is>
          <t>Sub-item</t>
        </is>
      </c>
      <c r="S136" s="6" t="inlineStr">
        <is>
          <t>C-S10</t>
        </is>
      </c>
      <c r="T136" s="6" t="inlineStr">
        <is>
          <t>Recovery assumption RA3: appended search results do not degrade later steps.</t>
        </is>
      </c>
      <c r="U136" s="6" t="inlineStr">
        <is>
          <t>Assumption, not assumed true.</t>
        </is>
      </c>
      <c r="V136" s="6" t="inlineStr">
        <is>
          <t>Tested end-to-end (failure of RA1-RA4 is a lost task).</t>
        </is>
      </c>
      <c r="W136" s="6" t="inlineStr">
        <is>
          <t>C-D09, C-D08</t>
        </is>
      </c>
      <c r="X136" s="6" t="inlineStr"/>
      <c r="Y136" s="6" t="inlineStr"/>
      <c r="Z136" s="6" t="inlineStr"/>
      <c r="AA136" s="6" t="inlineStr"/>
      <c r="AB136" s="6" t="inlineStr">
        <is>
          <t>DATA</t>
        </is>
      </c>
      <c r="AC136" s="6" t="inlineStr">
        <is>
          <t>n/a (sub-item)</t>
        </is>
      </c>
      <c r="AD136" s="6" t="inlineStr">
        <is>
          <t>NEW (SRC-11 sub-row)</t>
        </is>
      </c>
      <c r="AE136" s="6" t="inlineStr">
        <is>
          <t>2026-10-19</t>
        </is>
      </c>
      <c r="AF136" s="6" t="inlineStr">
        <is>
          <t>v3-02 section 4 RA1-RA13</t>
        </is>
      </c>
      <c r="AG136" s="6" t="inlineStr"/>
      <c r="AH136" s="6" t="inlineStr">
        <is>
          <t>Yes</t>
        </is>
      </c>
      <c r="AI136" s="6" t="inlineStr"/>
      <c r="AJ136" s="6" t="inlineStr">
        <is>
          <t>repo: v3-02 section 4</t>
        </is>
      </c>
      <c r="AK136" s="6" t="inlineStr">
        <is>
          <t>RA3</t>
        </is>
      </c>
      <c r="AL136" s="6" t="inlineStr">
        <is>
          <t>S13</t>
        </is>
      </c>
    </row>
    <row r="137" ht="115.5" customHeight="1">
      <c r="A137" s="5" t="inlineStr">
        <is>
          <t>C-S10/RA9</t>
        </is>
      </c>
      <c r="B137" s="6" t="inlineStr">
        <is>
          <t>RA9: appended definitions remain visible for the rest of the trajectory</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206</v>
      </c>
      <c r="L137" s="6" t="inlineStr">
        <is>
          <t>W4 End-to-end</t>
        </is>
      </c>
      <c r="M137" s="6" t="inlineStr">
        <is>
          <t>S22</t>
        </is>
      </c>
      <c r="N137" s="6" t="inlineStr">
        <is>
          <t>Team</t>
        </is>
      </c>
      <c r="O137" s="6" t="inlineStr">
        <is>
          <t>Test only the remainder, in the proof-of-concept loop</t>
        </is>
      </c>
      <c r="P137" s="6" t="inlineStr">
        <is>
          <t>No</t>
        </is>
      </c>
      <c r="Q137" s="6" t="inlineStr">
        <is>
          <t>Assumption</t>
        </is>
      </c>
      <c r="R137" s="6" t="inlineStr">
        <is>
          <t>Sub-item</t>
        </is>
      </c>
      <c r="S137" s="6" t="inlineStr">
        <is>
          <t>C-S10</t>
        </is>
      </c>
      <c r="T137" s="6" t="inlineStr">
        <is>
          <t>Recovery assumption RA9 (design property to verify in the vehicle).</t>
        </is>
      </c>
      <c r="U137"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Tested end-to-end (failure of RA1-RA4 is a lost task).</t>
        </is>
      </c>
      <c r="W137" s="6" t="inlineStr">
        <is>
          <t>C-D09, C-D08</t>
        </is>
      </c>
      <c r="X137" s="6" t="inlineStr"/>
      <c r="Y137" s="6" t="inlineStr"/>
      <c r="Z137" s="6" t="inlineStr"/>
      <c r="AA137" s="6" t="inlineStr"/>
      <c r="AB137" s="6" t="inlineStr">
        <is>
          <t>DATA</t>
        </is>
      </c>
      <c r="AC137" s="6" t="inlineStr">
        <is>
          <t>n/a (sub-item)</t>
        </is>
      </c>
      <c r="AD137" s="6" t="inlineStr">
        <is>
          <t>NEW (SRC-11 sub-row)</t>
        </is>
      </c>
      <c r="AE137" s="6" t="inlineStr">
        <is>
          <t>2026-10-21</t>
        </is>
      </c>
      <c r="AF137" s="6" t="inlineStr">
        <is>
          <t>FND-0038 (findings/SUM-0040)</t>
        </is>
      </c>
      <c r="AG137" s="6" t="inlineStr"/>
      <c r="AH137" s="6" t="inlineStr">
        <is>
          <t>Yes</t>
        </is>
      </c>
      <c r="AI137" s="6" t="inlineStr"/>
      <c r="AJ137" s="6" t="inlineStr">
        <is>
          <t>repo: v3-02 section 4</t>
        </is>
      </c>
      <c r="AK137" s="6" t="inlineStr">
        <is>
          <t>RA9</t>
        </is>
      </c>
      <c r="AL137" s="6" t="inlineStr">
        <is>
          <t>S13</t>
        </is>
      </c>
    </row>
    <row r="138" ht="28" customHeight="1">
      <c r="A138" s="5" t="inlineStr">
        <is>
          <t>C-S11</t>
        </is>
      </c>
      <c r="B138" s="6" t="inlineStr">
        <is>
          <t>Does a second filtering stage or a system trigger pay; is dependency-aware discovery useful?</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207</v>
      </c>
      <c r="L138" s="6" t="inlineStr">
        <is>
          <t>W4 End-to-end</t>
        </is>
      </c>
      <c r="M138" s="6" t="inlineStr">
        <is>
          <t>S22</t>
        </is>
      </c>
      <c r="N138" s="6" t="inlineStr">
        <is>
          <t>Team</t>
        </is>
      </c>
      <c r="O138" s="6" t="inlineStr">
        <is>
          <t>Needs an AUTH and a protocol</t>
        </is>
      </c>
      <c r="P138" s="6" t="inlineStr">
        <is>
          <t>No</t>
        </is>
      </c>
      <c r="Q138" s="6" t="inlineStr">
        <is>
          <t>Scientific unknown</t>
        </is>
      </c>
      <c r="R138" s="6" t="inlineStr">
        <is>
          <t>Item</t>
        </is>
      </c>
      <c r="S138" s="6" t="inlineStr"/>
      <c r="T138" s="6" t="inlineStr">
        <is>
          <t>Does a second filtering stage or a system trigger pay; is dependency-aware discovery useful?</t>
        </is>
      </c>
      <c r="U138" s="6" t="inlineStr">
        <is>
          <t>No stored source supports a trigger; the only trigger-like result is a termination trigger.</t>
        </is>
      </c>
      <c r="V138" s="6" t="inlineStr">
        <is>
          <t>Cascade vs best single stage; trigger and no-miss overhead measured.</t>
        </is>
      </c>
      <c r="W138" s="6" t="inlineStr">
        <is>
          <t>C-D03, C-D09, C-D08</t>
        </is>
      </c>
      <c r="X138" s="6" t="inlineStr">
        <is>
          <t>C-S08, C-S12</t>
        </is>
      </c>
      <c r="Y138" s="6" t="inlineStr">
        <is>
          <t>Q-J08, Q-J11</t>
        </is>
      </c>
      <c r="Z138" s="6" t="inlineStr">
        <is>
          <t>LITERATURE-DIRECTED</t>
        </is>
      </c>
      <c r="AA138" s="6" t="inlineStr">
        <is>
          <t>K3 Policy form, K8 Search initiation &amp; recovery</t>
        </is>
      </c>
      <c r="AB138" s="6" t="inlineStr">
        <is>
          <t>DATA</t>
        </is>
      </c>
      <c r="AC138" s="6" t="inlineStr">
        <is>
          <t>OPEN</t>
        </is>
      </c>
      <c r="AD138" s="6" t="inlineStr">
        <is>
          <t>UNCHANGED</t>
        </is>
      </c>
      <c r="AE138" s="6" t="inlineStr">
        <is>
          <t>2026-10-19</t>
        </is>
      </c>
      <c r="AF138" s="6" t="inlineStr">
        <is>
          <t>v4-01 sections 4, 6</t>
        </is>
      </c>
      <c r="AG138" s="6" t="inlineStr"/>
      <c r="AH138" s="6" t="inlineStr">
        <is>
          <t>Yes</t>
        </is>
      </c>
      <c r="AI138" s="6" t="inlineStr"/>
      <c r="AJ138" s="6" t="inlineStr">
        <is>
          <t>SRC-11 canonical</t>
        </is>
      </c>
      <c r="AK138" s="6" t="inlineStr">
        <is>
          <t>SRC-06 S25, SRC-06 S26, SRC-07 21, RA5, HYP-0002, HYP-0006, HYP-0012, v3-04 objection 8</t>
        </is>
      </c>
      <c r="AL138" s="6" t="inlineStr">
        <is>
          <t>S13</t>
        </is>
      </c>
    </row>
    <row r="139" ht="103" customHeight="1">
      <c r="A139" s="5" t="inlineStr">
        <is>
          <t>C-S11/CASCADE</t>
        </is>
      </c>
      <c r="B139" s="6" t="inlineStr">
        <is>
          <t>Does a multi-stage cascade dominate the best single stage?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208</v>
      </c>
      <c r="L139" s="6" t="inlineStr">
        <is>
          <t>W4 End-to-end</t>
        </is>
      </c>
      <c r="M139" s="6" t="inlineStr">
        <is>
          <t>S22</t>
        </is>
      </c>
      <c r="N139" s="6" t="inlineStr">
        <is>
          <t>Team</t>
        </is>
      </c>
      <c r="O139" s="6" t="inlineStr">
        <is>
          <t>Needs an AUTH and a protocol</t>
        </is>
      </c>
      <c r="P139" s="6" t="inlineStr">
        <is>
          <t>No</t>
        </is>
      </c>
      <c r="Q139" s="6" t="inlineStr">
        <is>
          <t>Scientific unknown</t>
        </is>
      </c>
      <c r="R139" s="6" t="inlineStr">
        <is>
          <t>Sub-item</t>
        </is>
      </c>
      <c r="S139" s="6" t="inlineStr">
        <is>
          <t>C-S11</t>
        </is>
      </c>
      <c r="T139" s="6" t="inlineStr">
        <is>
          <t>HYP-0002: in the regimes tested no specified cascade dominates the best single-stage policy.</t>
        </is>
      </c>
      <c r="U139" s="6" t="inlineStr">
        <is>
          <t>Proposed; the DMB two-stage router scored 0.7-4.0 below rag:32 inside the +/-8 interval. | V5 2026-10-22: hierarchical retrieval exists (AnyTool); Copilot ships two levels and states a cache miss per group expansion (EXT-0228); no multi-stage run-time policy measured on the bill found in a limited search</t>
        </is>
      </c>
      <c r="V139" s="6" t="inlineStr">
        <is>
          <t>Cascade vs best single stage on one scorer.</t>
        </is>
      </c>
      <c r="W139" s="6" t="inlineStr">
        <is>
          <t>C-D03, C-D09, C-D08</t>
        </is>
      </c>
      <c r="X139" s="6" t="inlineStr"/>
      <c r="Y139" s="6" t="inlineStr">
        <is>
          <t>Q-J08</t>
        </is>
      </c>
      <c r="Z139" s="6" t="inlineStr"/>
      <c r="AA139" s="6" t="inlineStr"/>
      <c r="AB139" s="6" t="inlineStr">
        <is>
          <t>DATA</t>
        </is>
      </c>
      <c r="AC139" s="6" t="inlineStr">
        <is>
          <t>n/a (sub-item)</t>
        </is>
      </c>
      <c r="AD139" s="6" t="inlineStr">
        <is>
          <t>NEW (SRC-11 sub-row)</t>
        </is>
      </c>
      <c r="AE139" s="6" t="inlineStr">
        <is>
          <t>2026-10-22</t>
        </is>
      </c>
      <c r="AF139" s="6" t="inlineStr">
        <is>
          <t>L/v5-anytool-2402.04253.txt:16-37; EXT-0228</t>
        </is>
      </c>
      <c r="AG139" s="6" t="inlineStr"/>
      <c r="AH139" s="6" t="inlineStr">
        <is>
          <t>Yes</t>
        </is>
      </c>
      <c r="AI139" s="6" t="inlineStr"/>
      <c r="AJ139" s="6" t="inlineStr">
        <is>
          <t>repo: HYP-0002</t>
        </is>
      </c>
      <c r="AK139" s="6" t="inlineStr">
        <is>
          <t>HYP-0002</t>
        </is>
      </c>
      <c r="AL139" s="6" t="inlineStr">
        <is>
          <t>S13</t>
        </is>
      </c>
    </row>
    <row r="140" ht="40.5" customHeight="1">
      <c r="A140" s="5" t="inlineStr">
        <is>
          <t>C-S11/TRIG</t>
        </is>
      </c>
      <c r="B140" s="6" t="inlineStr">
        <is>
          <t>System trigger: can it tell that a tool is missing? No source shows it</t>
        </is>
      </c>
      <c r="C140" s="6" t="inlineStr">
        <is>
          <t>DEFERRED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209</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Sub-item</t>
        </is>
      </c>
      <c r="S140" s="6" t="inlineStr">
        <is>
          <t>C-S11</t>
        </is>
      </c>
      <c r="T140" s="6" t="inlineStr">
        <is>
          <t>HYP-0006/0012 and RA5: a system trigger over runtime-observable signals (model text of inability, termination, repeated failure) is untested; the only trigger-like result is a termination trigger (PlanBench-XL).</t>
        </is>
      </c>
      <c r="U140" s="6" t="inlineStr">
        <is>
          <t>Proposed; no stored source. | V5 2026-10-22: dropped from V5-R's default: no source supports a system trigger (04 V5-R07)</t>
        </is>
      </c>
      <c r="V140" s="6" t="inlineStr">
        <is>
          <t>Trigger arms in the end-to-end pilot.</t>
        </is>
      </c>
      <c r="W140" s="6" t="inlineStr">
        <is>
          <t>C-D03, C-D09, C-D08</t>
        </is>
      </c>
      <c r="X140" s="6" t="inlineStr"/>
      <c r="Y140" s="6" t="inlineStr"/>
      <c r="Z140" s="6" t="inlineStr"/>
      <c r="AA140" s="6" t="inlineStr"/>
      <c r="AB140" s="6" t="inlineStr">
        <is>
          <t>DATA</t>
        </is>
      </c>
      <c r="AC140" s="6" t="inlineStr">
        <is>
          <t>n/a (sub-item)</t>
        </is>
      </c>
      <c r="AD140" s="6" t="inlineStr">
        <is>
          <t>NEW (SRC-11 sub-row)</t>
        </is>
      </c>
      <c r="AE140" s="6" t="inlineStr">
        <is>
          <t>2026-10-22</t>
        </is>
      </c>
      <c r="AF140" s="6" t="inlineStr">
        <is>
          <t>design/package-v5/04 V5-R07</t>
        </is>
      </c>
      <c r="AG140" s="6" t="inlineStr">
        <is>
          <t>05 P3 shows that models rarely search when the needed tool is deferred</t>
        </is>
      </c>
      <c r="AH140" s="6" t="inlineStr">
        <is>
          <t>Yes</t>
        </is>
      </c>
      <c r="AI140" s="6" t="inlineStr"/>
      <c r="AJ140" s="6" t="inlineStr">
        <is>
          <t>repo: v4-01 section 4; HYP-0006/0012</t>
        </is>
      </c>
      <c r="AK140" s="6" t="inlineStr">
        <is>
          <t>HYP-0006, HYP-0012, RA5, CH-0041</t>
        </is>
      </c>
      <c r="AL140" s="6" t="inlineStr">
        <is>
          <t>S13</t>
        </is>
      </c>
    </row>
    <row r="141" ht="28" customHeight="1">
      <c r="A141" s="5" t="inlineStr">
        <is>
          <t>C-S18</t>
        </is>
      </c>
      <c r="B141" s="6" t="inlineStr">
        <is>
          <t>Interaction among needed tools and the residual success-loss term are unbounded; the cited simulation was n...</t>
        </is>
      </c>
      <c r="C141" s="6" t="inlineStr">
        <is>
          <t>PARTLY ANSWERED</t>
        </is>
      </c>
      <c r="D141" s="6">
        <f>IFERROR(INDEX(Lists!$B$2:$B$14,MATCH(C141,Lists!$A$2:$A$14,0)),"?")</f>
        <v/>
      </c>
      <c r="E141" s="6">
        <f>IF(COUNTIFS(Links!$B$2:$B$600,A141,Links!$E$2:$E$600,"Yes")&gt;0,"REVISE","")</f>
        <v/>
      </c>
      <c r="F141" s="6">
        <f>COUNTIFS(Links!$B$2:$B$600,A141,Links!$D$2:$D$600,"No",Links!$C$2:$C$600,"&lt;&gt;INFORMS")</f>
        <v/>
      </c>
      <c r="G141" s="13" t="inlineStr">
        <is>
          <t>DESK-ANALYSIS</t>
        </is>
      </c>
      <c r="H141" s="6" t="inlineStr">
        <is>
          <t>K17 Record repair &amp; procedure error</t>
        </is>
      </c>
      <c r="I141" s="6" t="inlineStr">
        <is>
          <t>G4 Before claims</t>
        </is>
      </c>
      <c r="J141" s="6" t="inlineStr">
        <is>
          <t>Normal</t>
        </is>
      </c>
      <c r="K141" s="6" t="n">
        <v>210</v>
      </c>
      <c r="L141" s="6" t="inlineStr">
        <is>
          <t>W4 End-to-end</t>
        </is>
      </c>
      <c r="M141" s="6" t="inlineStr">
        <is>
          <t>S22</t>
        </is>
      </c>
      <c r="N141" s="6" t="inlineStr">
        <is>
          <t>Lead; team</t>
        </is>
      </c>
      <c r="O141" s="6" t="inlineStr">
        <is>
          <t>Lead computes or writes it (no model runs)</t>
        </is>
      </c>
      <c r="P141" s="6" t="inlineStr">
        <is>
          <t>Partly</t>
        </is>
      </c>
      <c r="Q141" s="6" t="inlineStr">
        <is>
          <t>Scientific unknown</t>
        </is>
      </c>
      <c r="R141" s="6" t="inlineStr">
        <is>
          <t>Item</t>
        </is>
      </c>
      <c r="S141" s="6" t="inlineStr"/>
      <c r="T141" s="6" t="inlineStr">
        <is>
          <t>Interaction among needed tools and the residual success-loss term are unbounded; the cited simulation was not rerun.</t>
        </is>
      </c>
      <c r="U141" s="6" t="inlineStr">
        <is>
          <t>Errata removed the false bound and the greedy-optimality claim; v3 maths not re-derived in v4.</t>
        </is>
      </c>
      <c r="V141" s="6" t="inlineStr">
        <is>
          <t>Simulation rerun; interactions measured on paired trajectories.</t>
        </is>
      </c>
      <c r="W141" s="6" t="inlineStr"/>
      <c r="X141" s="6" t="inlineStr">
        <is>
          <t>C-D08</t>
        </is>
      </c>
      <c r="Y141" s="6" t="inlineStr"/>
      <c r="Z141" s="6" t="inlineStr">
        <is>
          <t>TEST-PILOT</t>
        </is>
      </c>
      <c r="AA141" s="6" t="inlineStr">
        <is>
          <t>K12 Selector &amp; need estimation</t>
        </is>
      </c>
      <c r="AB141" s="6" t="inlineStr">
        <is>
          <t>DATA</t>
        </is>
      </c>
      <c r="AC141" s="6" t="inlineStr">
        <is>
          <t>PARTLY ANSWERED - OPEN</t>
        </is>
      </c>
      <c r="AD141" s="6" t="inlineStr">
        <is>
          <t>UNCHANGED</t>
        </is>
      </c>
      <c r="AE141" s="6" t="inlineStr">
        <is>
          <t>2026-10-19</t>
        </is>
      </c>
      <c r="AF141" s="6" t="inlineStr">
        <is>
          <t>v3-01 sections 2-3; v4-03 section 3</t>
        </is>
      </c>
      <c r="AG141" s="6" t="inlineStr"/>
      <c r="AH141" s="6" t="inlineStr">
        <is>
          <t>Measured part: yes</t>
        </is>
      </c>
      <c r="AI141" s="6" t="inlineStr"/>
      <c r="AJ141" s="6" t="inlineStr">
        <is>
          <t>SRC-11 canonical</t>
        </is>
      </c>
      <c r="AK141" s="6" t="inlineStr">
        <is>
          <t>SRC-06 S36, SRC-06 S37</t>
        </is>
      </c>
      <c r="AL141" s="6" t="inlineStr">
        <is>
          <t>S14</t>
        </is>
      </c>
    </row>
    <row r="142" ht="53" customHeight="1">
      <c r="A142" s="5" t="inlineStr">
        <is>
          <t>C-S07</t>
        </is>
      </c>
      <c r="B142" s="6" t="inlineStr">
        <is>
          <t>Published contrasts confound tool count, total tokens, overlap and position; a full factorial may be imposs...</t>
        </is>
      </c>
      <c r="C142" s="6" t="inlineStr">
        <is>
          <t>DEFERRED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211</v>
      </c>
      <c r="L142" s="6" t="inlineStr">
        <is>
          <t>W4 End-to-end</t>
        </is>
      </c>
      <c r="M142" s="6" t="inlineStr">
        <is>
          <t>S22</t>
        </is>
      </c>
      <c r="N142" s="6" t="inlineStr">
        <is>
          <t>Team</t>
        </is>
      </c>
      <c r="O142" s="6" t="inlineStr">
        <is>
          <t>none until the trigger fires</t>
        </is>
      </c>
      <c r="P142" s="6" t="inlineStr">
        <is>
          <t>No</t>
        </is>
      </c>
      <c r="Q142" s="6" t="inlineStr">
        <is>
          <t>Scientific unknown</t>
        </is>
      </c>
      <c r="R142" s="6" t="inlineStr">
        <is>
          <t>Item</t>
        </is>
      </c>
      <c r="S142" s="6" t="inlineStr"/>
      <c r="T142" s="6" t="inlineStr">
        <is>
          <t>Published contrasts confound tool count, total tokens, overlap and position; a full factorial may be impossible.</t>
        </is>
      </c>
      <c r="U142" s="6" t="inlineStr">
        <is>
          <t>MCP-Universe adds a confounded observation only. 2026-10-21 (AUTH-019): belongs to the end-to-end phase (FND-0038 (findings/SUM-0040); the human's process, INT-T-005 line 7).</t>
        </is>
      </c>
      <c r="V142" s="6" t="inlineStr">
        <is>
          <t>Feasible token-matched contrasts run; what cannot be isolated is stated.</t>
        </is>
      </c>
      <c r="W142" s="6" t="inlineStr">
        <is>
          <t>C-D09, C-D08</t>
        </is>
      </c>
      <c r="X142" s="6" t="inlineStr"/>
      <c r="Y142" s="6" t="inlineStr"/>
      <c r="Z142" s="6" t="inlineStr">
        <is>
          <t>ACCEPT-LIMITATION</t>
        </is>
      </c>
      <c r="AA142" s="6" t="inlineStr"/>
      <c r="AB142" s="6" t="inlineStr">
        <is>
          <t>DATA+BOUND</t>
        </is>
      </c>
      <c r="AC142" s="6" t="inlineStr">
        <is>
          <t>OPEN</t>
        </is>
      </c>
      <c r="AD142" s="6" t="inlineStr">
        <is>
          <t>UNCHANGED</t>
        </is>
      </c>
      <c r="AE142" s="6" t="inlineStr">
        <is>
          <t>2026-10-21</t>
        </is>
      </c>
      <c r="AF142" s="6" t="inlineStr">
        <is>
          <t>FND-0037 (findings/SUM-0039); FND-0038 (findings/SUM-0040)</t>
        </is>
      </c>
      <c r="AG142" s="6" t="inlineStr">
        <is>
          <t>The end-to-end study is designed</t>
        </is>
      </c>
      <c r="AH142" s="6" t="inlineStr">
        <is>
          <t>Yes</t>
        </is>
      </c>
      <c r="AI142" s="6" t="inlineStr"/>
      <c r="AJ142" s="6" t="inlineStr">
        <is>
          <t>SRC-11 canonical</t>
        </is>
      </c>
      <c r="AK142" s="6" t="inlineStr">
        <is>
          <t>SRC-06 S20, SRC-07 19</t>
        </is>
      </c>
      <c r="AL142" s="6" t="inlineStr">
        <is>
          <t>S22</t>
        </is>
      </c>
    </row>
    <row r="143" ht="40.5" customHeight="1">
      <c r="A143" s="5" t="inlineStr">
        <is>
          <t>C-S14/MULT</t>
        </is>
      </c>
      <c r="B143" s="6" t="inlineStr">
        <is>
          <t>Multiplicity enumeration (CH-0040 a, b) remains open</t>
        </is>
      </c>
      <c r="C143" s="6" t="inlineStr">
        <is>
          <t>DEFERRED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K5 Evaluation contract</t>
        </is>
      </c>
      <c r="I143" s="6" t="inlineStr">
        <is>
          <t>G3 Before confirmatory study</t>
        </is>
      </c>
      <c r="J143" s="6" t="inlineStr">
        <is>
          <t>Normal</t>
        </is>
      </c>
      <c r="K143" s="6" t="n">
        <v>212</v>
      </c>
      <c r="L143" s="6" t="inlineStr">
        <is>
          <t>W4 End-to-end</t>
        </is>
      </c>
      <c r="M143" s="6" t="inlineStr">
        <is>
          <t>S23</t>
        </is>
      </c>
      <c r="N143" s="6" t="inlineStr">
        <is>
          <t>Lead; team</t>
        </is>
      </c>
      <c r="O143" s="6" t="inlineStr">
        <is>
          <t>none until the trigger fires</t>
        </is>
      </c>
      <c r="P143" s="6" t="inlineStr">
        <is>
          <t>No</t>
        </is>
      </c>
      <c r="Q143" s="6" t="inlineStr">
        <is>
          <t>Scientific unknown</t>
        </is>
      </c>
      <c r="R143" s="6" t="inlineStr">
        <is>
          <t>Sub-item</t>
        </is>
      </c>
      <c r="S143" s="6" t="inlineStr">
        <is>
          <t>C-S14</t>
        </is>
      </c>
      <c r="T143" s="6" t="inlineStr">
        <is>
          <t>The enumeration of contrasts and the multiplicity rule across the arm table are open.</t>
        </is>
      </c>
      <c r="U143"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3" s="6" t="inlineStr">
        <is>
          <t>Contrast list fixed and correction chosen.</t>
        </is>
      </c>
      <c r="W143" s="6" t="inlineStr"/>
      <c r="X143" s="6" t="inlineStr"/>
      <c r="Y143" s="6" t="inlineStr"/>
      <c r="Z143" s="6" t="inlineStr"/>
      <c r="AA143" s="6" t="inlineStr"/>
      <c r="AB143" s="6" t="inlineStr">
        <is>
          <t>DATA</t>
        </is>
      </c>
      <c r="AC143" s="6" t="inlineStr">
        <is>
          <t>n/a (sub-item)</t>
        </is>
      </c>
      <c r="AD143" s="6" t="inlineStr">
        <is>
          <t>NEW (SRC-11 sub-row)</t>
        </is>
      </c>
      <c r="AE143" s="6" t="inlineStr">
        <is>
          <t>2026-10-21</t>
        </is>
      </c>
      <c r="AF143" s="6" t="inlineStr">
        <is>
          <t>INT-T-005 (requirements/intake/2026-10-21-user-decisions-after-meetings.md)</t>
        </is>
      </c>
      <c r="AG143" s="6" t="inlineStr">
        <is>
          <t>The end-to-end study is designed</t>
        </is>
      </c>
      <c r="AH143" s="6" t="inlineStr">
        <is>
          <t>No for simulation; yes for cross-setting</t>
        </is>
      </c>
      <c r="AI143" s="6" t="inlineStr"/>
      <c r="AJ143" s="6" t="inlineStr">
        <is>
          <t>repo: v4-02 section 6 / v4-03 section 5</t>
        </is>
      </c>
      <c r="AK143" s="6" t="inlineStr">
        <is>
          <t>CH-0040</t>
        </is>
      </c>
      <c r="AL143" s="6" t="inlineStr">
        <is>
          <t>S14</t>
        </is>
      </c>
    </row>
    <row r="144" ht="53" customHeight="1">
      <c r="A144" s="5" t="inlineStr">
        <is>
          <t>C-S14/PATHDEP</t>
        </is>
      </c>
      <c r="B144" s="6" t="inlineStr">
        <is>
          <t>Stage-inclusion reading is path-dependent</t>
        </is>
      </c>
      <c r="C144" s="6" t="inlineStr">
        <is>
          <t>DEFERRED</t>
        </is>
      </c>
      <c r="D144" s="6">
        <f>IFERROR(INDEX(Lists!$B$2:$B$14,MATCH(C144,Lists!$A$2:$A$14,0)),"?")</f>
        <v/>
      </c>
      <c r="E144" s="6">
        <f>IF(COUNTIFS(Links!$B$2:$B$600,A144,Links!$E$2:$E$600,"Yes")&gt;0,"REVISE","")</f>
        <v/>
      </c>
      <c r="F144" s="6">
        <f>COUNTIFS(Links!$B$2:$B$600,A144,Links!$D$2:$D$600,"No",Links!$C$2:$C$600,"&lt;&gt;INFORMS")</f>
        <v/>
      </c>
      <c r="G144" s="13" t="inlineStr">
        <is>
          <t>DESK-ANALYSIS</t>
        </is>
      </c>
      <c r="H144" s="6" t="inlineStr">
        <is>
          <t>K5 Evaluation contract</t>
        </is>
      </c>
      <c r="I144" s="6" t="inlineStr">
        <is>
          <t>G3 Before confirmatory study</t>
        </is>
      </c>
      <c r="J144" s="6" t="inlineStr">
        <is>
          <t>Normal</t>
        </is>
      </c>
      <c r="K144" s="6" t="n">
        <v>213</v>
      </c>
      <c r="L144" s="6" t="inlineStr">
        <is>
          <t>W4 End-to-end</t>
        </is>
      </c>
      <c r="M144" s="6" t="inlineStr">
        <is>
          <t>S23</t>
        </is>
      </c>
      <c r="N144" s="6" t="inlineStr">
        <is>
          <t>Lead; team</t>
        </is>
      </c>
      <c r="O144" s="6" t="inlineStr">
        <is>
          <t>none until the trigger fires</t>
        </is>
      </c>
      <c r="P144" s="6" t="inlineStr">
        <is>
          <t>No</t>
        </is>
      </c>
      <c r="Q144" s="6" t="inlineStr">
        <is>
          <t>Scientific unknown</t>
        </is>
      </c>
      <c r="R144" s="6" t="inlineStr">
        <is>
          <t>Sub-item</t>
        </is>
      </c>
      <c r="S144" s="6" t="inlineStr">
        <is>
          <t>C-S14</t>
        </is>
      </c>
      <c r="T144" s="6" t="inlineStr">
        <is>
          <t>A component that pays only in the presence of another is found only if that pair is in the arm table; table size drives multiplicity.</t>
        </is>
      </c>
      <c r="U144"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4" s="6" t="inlineStr">
        <is>
          <t>Matched pairs listed; table size fixed.</t>
        </is>
      </c>
      <c r="W144" s="6" t="inlineStr"/>
      <c r="X144" s="6" t="inlineStr"/>
      <c r="Y144" s="6" t="inlineStr"/>
      <c r="Z144" s="6" t="inlineStr"/>
      <c r="AA144" s="6" t="inlineStr"/>
      <c r="AB144" s="6" t="inlineStr">
        <is>
          <t>DATA</t>
        </is>
      </c>
      <c r="AC144" s="6" t="inlineStr">
        <is>
          <t>n/a (sub-item)</t>
        </is>
      </c>
      <c r="AD144" s="6" t="inlineStr">
        <is>
          <t>NEW (SRC-11 sub-row)</t>
        </is>
      </c>
      <c r="AE144" s="6" t="inlineStr">
        <is>
          <t>2026-10-21</t>
        </is>
      </c>
      <c r="AF144" s="6" t="inlineStr">
        <is>
          <t>INT-T-005 (requirements/intake/2026-10-21-user-decisions-after-meetings.md)</t>
        </is>
      </c>
      <c r="AG144" s="6" t="inlineStr">
        <is>
          <t>The end-to-end study is designed</t>
        </is>
      </c>
      <c r="AH144" s="6" t="inlineStr">
        <is>
          <t>No for simulation; yes for cross-setting</t>
        </is>
      </c>
      <c r="AI144" s="6" t="inlineStr"/>
      <c r="AJ144" s="6" t="inlineStr">
        <is>
          <t>repo: v4-02 section 6 / v4-03 section 5</t>
        </is>
      </c>
      <c r="AK144" s="6" t="inlineStr">
        <is>
          <t>CH-0049, RV-0005 R2</t>
        </is>
      </c>
      <c r="AL144" s="6" t="inlineStr">
        <is>
          <t>S14</t>
        </is>
      </c>
    </row>
    <row r="145" ht="128" customHeight="1">
      <c r="A145" s="5" t="inlineStr">
        <is>
          <t>C-S14/POSTSEL</t>
        </is>
      </c>
      <c r="B145" s="6" t="inlineStr">
        <is>
          <t>S is a post-selection set with unknown coverage</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214</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F and S are estimated on the same split, so S's coverage is not nominal; its error rate is unknown (E6).</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Simulation of coverage and sensitivity.</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CH-0050</t>
        </is>
      </c>
      <c r="AL145" s="6" t="inlineStr">
        <is>
          <t>S14</t>
        </is>
      </c>
    </row>
    <row r="146" ht="128" customHeight="1">
      <c r="A146" s="5" t="inlineStr">
        <is>
          <t>C-S14</t>
        </is>
      </c>
      <c r="B146" s="6" t="inlineStr">
        <is>
          <t>Error of the arm-selection procedure (multiplicity, strata, tails, power); margins and arm table unset.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215</v>
      </c>
      <c r="L146" s="6" t="inlineStr">
        <is>
          <t>W4 End-to-end</t>
        </is>
      </c>
      <c r="M146" s="6" t="inlineStr">
        <is>
          <t>S23</t>
        </is>
      </c>
      <c r="N146" s="6" t="inlineStr">
        <is>
          <t>Lead (simulation); Joaa/you (parameters)</t>
        </is>
      </c>
      <c r="O146" s="6" t="inlineStr">
        <is>
          <t>none until the trigger fires</t>
        </is>
      </c>
      <c r="P146" s="6" t="inlineStr">
        <is>
          <t>Partly</t>
        </is>
      </c>
      <c r="Q146" s="6" t="inlineStr">
        <is>
          <t>Scientific unknown</t>
        </is>
      </c>
      <c r="R146" s="6" t="inlineStr">
        <is>
          <t>Item</t>
        </is>
      </c>
      <c r="S146" s="6" t="inlineStr"/>
      <c r="T146" s="6" t="inlineStr">
        <is>
          <t>Error of the arm-selection procedure (multiplicity, strata, tails, power); margins and arm table unset.</t>
        </is>
      </c>
      <c r="U146"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Simulation done; cross-setting test run on confirmatory data.</t>
        </is>
      </c>
      <c r="W146" s="6" t="inlineStr">
        <is>
          <t>C-D08, C-D06</t>
        </is>
      </c>
      <c r="X146" s="6" t="inlineStr"/>
      <c r="Y146" s="6" t="inlineStr">
        <is>
          <t>Q-J14, Q-J20, Q-U26</t>
        </is>
      </c>
      <c r="Z146" s="6" t="inlineStr">
        <is>
          <t>JOAA-DECISION, TEST-PILOT</t>
        </is>
      </c>
      <c r="AA146" s="6" t="inlineStr">
        <is>
          <t>K17 Record repair &amp; procedure error</t>
        </is>
      </c>
      <c r="AB146" s="6" t="inlineStr">
        <is>
          <t>DATA+DEC</t>
        </is>
      </c>
      <c r="AC146" s="6" t="inlineStr">
        <is>
          <t>PARTLY ANSWERED - OPEN</t>
        </is>
      </c>
      <c r="AD146" s="6" t="inlineStr">
        <is>
          <t>RE-CHARACTERISED</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SRC-11 canonical</t>
        </is>
      </c>
      <c r="AK146" s="6" t="inlineStr">
        <is>
          <t>SRC-06 S32, SRC-06 S38, SRC-06 C01, SRC-06 C12, SRC-07 09, SRC-07 16, SRC-07 17, CH-0040, v3-04 objection 1</t>
        </is>
      </c>
      <c r="AL146" s="6" t="inlineStr">
        <is>
          <t>S14</t>
        </is>
      </c>
    </row>
    <row r="147" ht="128" customHeight="1">
      <c r="A147" s="5" t="inlineStr">
        <is>
          <t>C-X06</t>
        </is>
      </c>
      <c r="B147" s="6" t="inlineStr">
        <is>
          <t>E6: error rates of the arm-selection procedure (simulation plus cross-setting test).</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216</v>
      </c>
      <c r="L147" s="6" t="inlineStr">
        <is>
          <t>W4 End-to-end</t>
        </is>
      </c>
      <c r="M147" s="6" t="inlineStr">
        <is>
          <t>S23</t>
        </is>
      </c>
      <c r="N147" s="6" t="inlineStr">
        <is>
          <t>Lead / team</t>
        </is>
      </c>
      <c r="O147" s="6" t="inlineStr">
        <is>
          <t>none until the trigger fires</t>
        </is>
      </c>
      <c r="P147" s="6" t="inlineStr">
        <is>
          <t>No</t>
        </is>
      </c>
      <c r="Q147" s="6" t="inlineStr">
        <is>
          <t>Test</t>
        </is>
      </c>
      <c r="R147" s="6" t="inlineStr">
        <is>
          <t>Check</t>
        </is>
      </c>
      <c r="S147" s="6" t="inlineStr"/>
      <c r="T147" s="6" t="inlineStr">
        <is>
          <t>E6: error rates of the arm-selection procedure (simulation plus cross-setting test).</t>
        </is>
      </c>
      <c r="U147"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Same as C-S14.</t>
        </is>
      </c>
      <c r="W147" s="6" t="inlineStr">
        <is>
          <t>C-D08</t>
        </is>
      </c>
      <c r="X147" s="6" t="inlineStr"/>
      <c r="Y147" s="6" t="inlineStr">
        <is>
          <t>Q-U26</t>
        </is>
      </c>
      <c r="Z147" s="6" t="inlineStr">
        <is>
          <t>TEST-PILOT</t>
        </is>
      </c>
      <c r="AA147" s="6" t="inlineStr">
        <is>
          <t>K17 Record repair &amp; procedure error</t>
        </is>
      </c>
      <c r="AB147" s="6" t="inlineStr">
        <is>
          <t>DATA</t>
        </is>
      </c>
      <c r="AC147" s="6" t="inlineStr">
        <is>
          <t>NO RESULT - OPEN</t>
        </is>
      </c>
      <c r="AD147" s="6" t="inlineStr">
        <is>
          <t>UNCHANGED</t>
        </is>
      </c>
      <c r="AE147" s="6" t="inlineStr">
        <is>
          <t>2026-10-21</t>
        </is>
      </c>
      <c r="AF147" s="6" t="inlineStr">
        <is>
          <t>INT-T-005 (requirements/intake/2026-10-21-user-decisions-after-meetings.md)</t>
        </is>
      </c>
      <c r="AG147" s="6" t="inlineStr">
        <is>
          <t>The end-to-end study is designed</t>
        </is>
      </c>
      <c r="AH147" s="6" t="inlineStr">
        <is>
          <t>Cross-setting part: yes</t>
        </is>
      </c>
      <c r="AI147" s="6" t="inlineStr"/>
      <c r="AJ147" s="6" t="inlineStr">
        <is>
          <t>SRC-11 canonical</t>
        </is>
      </c>
      <c r="AK147" s="6" t="inlineStr">
        <is>
          <t>E6</t>
        </is>
      </c>
      <c r="AL147" s="6" t="inlineStr">
        <is>
          <t>S14</t>
        </is>
      </c>
    </row>
    <row r="148" ht="165.5" customHeight="1">
      <c r="A148" s="5" t="inlineStr">
        <is>
          <t>N-12</t>
        </is>
      </c>
      <c r="B148" s="6" t="inlineStr">
        <is>
          <t>Does an early-observable quantity predict whether restriction pays?</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217</v>
      </c>
      <c r="L148" s="6" t="inlineStr">
        <is>
          <t>W4 End-to-end</t>
        </is>
      </c>
      <c r="M148" s="6" t="inlineStr">
        <is>
          <t>S23</t>
        </is>
      </c>
      <c r="N148" s="6" t="inlineStr">
        <is>
          <t>Team</t>
        </is>
      </c>
      <c r="O148" s="6" t="inlineStr">
        <is>
          <t>Needs an AUTH and a protocol</t>
        </is>
      </c>
      <c r="P148" s="6" t="inlineStr">
        <is>
          <t>No</t>
        </is>
      </c>
      <c r="Q148" s="6" t="inlineStr">
        <is>
          <t>Scientific unknown</t>
        </is>
      </c>
      <c r="R148" s="6" t="inlineStr">
        <is>
          <t>Item</t>
        </is>
      </c>
      <c r="S148" s="6" t="inlineStr"/>
      <c r="T148" s="6" t="inlineStr">
        <is>
          <t>HYP-0001: a quantity observable at or shortly after session start (early cache-read share, request repetition) predicts which exposure arm is non-dominated better than pre-session variables.</t>
        </is>
      </c>
      <c r="U148" s="6" t="inlineStr">
        <is>
          <t>Proposed; falsifier stated.</t>
        </is>
      </c>
      <c r="V148" s="6" t="inlineStr">
        <is>
          <t>Regime grid run with early-observable features; falsifier tested.</t>
        </is>
      </c>
      <c r="W148" s="6" t="inlineStr">
        <is>
          <t>C-D09, C-D08</t>
        </is>
      </c>
      <c r="X148" s="6" t="inlineStr">
        <is>
          <t>N-3</t>
        </is>
      </c>
      <c r="Y148" s="6" t="inlineStr">
        <is>
          <t>Q-J04</t>
        </is>
      </c>
      <c r="Z148" s="6" t="inlineStr"/>
      <c r="AA148" s="6" t="inlineStr"/>
      <c r="AB148" s="6" t="inlineStr">
        <is>
          <t>DATA</t>
        </is>
      </c>
      <c r="AC148" s="6" t="inlineStr">
        <is>
          <t>n/a (new)</t>
        </is>
      </c>
      <c r="AD148" s="6" t="inlineStr">
        <is>
          <t>NEW (repo sweep)</t>
        </is>
      </c>
      <c r="AE148" s="6" t="inlineStr">
        <is>
          <t>2026-10-19</t>
        </is>
      </c>
      <c r="AF148" s="6" t="inlineStr">
        <is>
          <t>HYP-0001 (proposed); untestable on the closest vehicle (no sessions, no cache fields)</t>
        </is>
      </c>
      <c r="AG148" s="6" t="inlineStr"/>
      <c r="AH148" s="6" t="inlineStr">
        <is>
          <t>Yes</t>
        </is>
      </c>
      <c r="AI148" s="6" t="inlineStr"/>
      <c r="AJ148" s="6" t="inlineStr">
        <is>
          <t>repo: hypotheses/HYP-0001.md</t>
        </is>
      </c>
      <c r="AK148" s="6" t="inlineStr">
        <is>
          <t>HYP-0001</t>
        </is>
      </c>
      <c r="AL148" s="6" t="inlineStr">
        <is>
          <t>S18</t>
        </is>
      </c>
    </row>
    <row r="149" ht="128" customHeight="1">
      <c r="A149" s="5" t="inlineStr">
        <is>
          <t>C-S02/INVERSION</t>
        </is>
      </c>
      <c r="B149" s="6" t="inlineStr">
        <is>
          <t>Does a regime exist where fewer exposed tokens cost more in billed terms?</t>
        </is>
      </c>
      <c r="C149" s="6" t="inlineStr">
        <is>
          <t>PARTLY ANSWERED</t>
        </is>
      </c>
      <c r="D149" s="6">
        <f>IFERROR(INDEX(Lists!$B$2:$B$14,MATCH(C149,Lists!$A$2:$A$14,0)),"?")</f>
        <v/>
      </c>
      <c r="E149" s="6">
        <f>IF(COUNTIFS(Links!$B$2:$B$600,A149,Links!$E$2:$E$600,"Yes")&gt;0,"REVISE","")</f>
        <v/>
      </c>
      <c r="F149" s="6">
        <f>COUNTIFS(Links!$B$2:$B$600,A149,Links!$D$2:$D$600,"No",Links!$C$2:$C$600,"&lt;&gt;INFORMS")</f>
        <v/>
      </c>
      <c r="G149" s="19" t="inlineStr">
        <is>
          <t>TEST-CONFIRMATORY</t>
        </is>
      </c>
      <c r="H149" s="6" t="inlineStr">
        <is>
          <t>K11 End-to-end comparison</t>
        </is>
      </c>
      <c r="I149" s="6" t="inlineStr">
        <is>
          <t>G4 Before claims</t>
        </is>
      </c>
      <c r="J149" s="6" t="inlineStr">
        <is>
          <t>Normal</t>
        </is>
      </c>
      <c r="K149" s="6" t="n">
        <v>219</v>
      </c>
      <c r="L149" s="6" t="inlineStr">
        <is>
          <t>W4 End-to-end</t>
        </is>
      </c>
      <c r="M149" s="6" t="inlineStr">
        <is>
          <t>S23</t>
        </is>
      </c>
      <c r="N149" s="6" t="inlineStr">
        <is>
          <t>Team</t>
        </is>
      </c>
      <c r="O149" s="6" t="inlineStr">
        <is>
          <t>05 P5</t>
        </is>
      </c>
      <c r="P149" s="6" t="inlineStr">
        <is>
          <t>No</t>
        </is>
      </c>
      <c r="Q149" s="6" t="inlineStr">
        <is>
          <t>Scientific unknown</t>
        </is>
      </c>
      <c r="R149" s="6" t="inlineStr">
        <is>
          <t>Sub-item</t>
        </is>
      </c>
      <c r="S149" s="6" t="inlineStr">
        <is>
          <t>C-S02</t>
        </is>
      </c>
      <c r="T149" s="6" t="inlineStr">
        <is>
          <t>HYP-0005/0008: the exposure-cost relation is not monotone; an inversion arises only via a lower hit rate, longer decision path or higher price of the restricted arm.</t>
        </is>
      </c>
      <c r="U149"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 V5 2026-10-22: D-01 locates the regime: break-even about 10-230 tools, by searches per session, definition length and whether the small core caches</t>
        </is>
      </c>
      <c r="V149" s="6" t="inlineStr">
        <is>
          <t>Sweep over cache regimes and surface policies with intervals.</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2026-10-22</t>
        </is>
      </c>
      <c r="AF149" s="6" t="inlineStr">
        <is>
          <t>design/package-v5/calc/regime_bill.stdout.txt</t>
        </is>
      </c>
      <c r="AG149" s="6" t="inlineStr"/>
      <c r="AH149" s="6" t="inlineStr">
        <is>
          <t>Yes</t>
        </is>
      </c>
      <c r="AI149" s="6" t="inlineStr"/>
      <c r="AJ149" s="6" t="inlineStr">
        <is>
          <t>repo: HYP records / CH-0042</t>
        </is>
      </c>
      <c r="AK149" s="6" t="inlineStr">
        <is>
          <t>HYP-0005, HYP-0008</t>
        </is>
      </c>
      <c r="AL149" s="6" t="inlineStr">
        <is>
          <t>S22</t>
        </is>
      </c>
    </row>
    <row r="150" ht="53" customHeight="1">
      <c r="A150" s="5" t="inlineStr">
        <is>
          <t>C-S02/PERVERSE</t>
        </is>
      </c>
      <c r="B150" s="6" t="inlineStr">
        <is>
          <t>Perverse optima of the token objective (tail dilution, expensive-task shedding, uncounted compute)</t>
        </is>
      </c>
      <c r="C150" s="6" t="inlineStr">
        <is>
          <t>OPEN</t>
        </is>
      </c>
      <c r="D150" s="6">
        <f>IFERROR(INDEX(Lists!$B$2:$B$14,MATCH(C150,Lists!$A$2:$A$14,0)),"?")</f>
        <v/>
      </c>
      <c r="E150" s="6">
        <f>IF(COUNTIFS(Links!$B$2:$B$600,A150,Links!$E$2:$E$600,"Yes")&gt;0,"REVISE","")</f>
        <v/>
      </c>
      <c r="F150" s="6">
        <f>COUNTIFS(Links!$B$2:$B$600,A150,Links!$D$2:$D$600,"No",Links!$C$2:$C$600,"&lt;&gt;INFORMS")</f>
        <v/>
      </c>
      <c r="G150" s="13" t="inlineStr">
        <is>
          <t>DESK-ANALYSIS</t>
        </is>
      </c>
      <c r="H150" s="6" t="inlineStr">
        <is>
          <t>K11 End-to-end comparison</t>
        </is>
      </c>
      <c r="I150" s="6" t="inlineStr">
        <is>
          <t>G4 Before claims</t>
        </is>
      </c>
      <c r="J150" s="6" t="inlineStr">
        <is>
          <t>Normal</t>
        </is>
      </c>
      <c r="K150" s="6" t="n">
        <v>220</v>
      </c>
      <c r="L150" s="6" t="inlineStr">
        <is>
          <t>W4 End-to-end</t>
        </is>
      </c>
      <c r="M150" s="6" t="inlineStr">
        <is>
          <t>S23</t>
        </is>
      </c>
      <c r="N150" s="6" t="inlineStr">
        <is>
          <t>Team</t>
        </is>
      </c>
      <c r="O150" s="6" t="inlineStr">
        <is>
          <t>Lead computes or writes it (no model runs)</t>
        </is>
      </c>
      <c r="P150" s="6" t="inlineStr">
        <is>
          <t>No</t>
        </is>
      </c>
      <c r="Q150" s="6" t="inlineStr">
        <is>
          <t>Scientific unknown</t>
        </is>
      </c>
      <c r="R150" s="6" t="inlineStr">
        <is>
          <t>Sub-item</t>
        </is>
      </c>
      <c r="S150" s="6" t="inlineStr">
        <is>
          <t>C-S02</t>
        </is>
      </c>
      <c r="T150" s="6" t="inlineStr">
        <is>
          <t>CH-0042: an aggregate noninferiority constraint on tokens can have perverse optima; non-token compute is uncounted.</t>
        </is>
      </c>
      <c r="U150" s="6" t="inlineStr">
        <is>
          <t>Stratum guard added; tokens split by outcome belong to E1.</t>
        </is>
      </c>
      <c r="V150" s="6" t="inlineStr">
        <is>
          <t>Success and tokens reported by stratum and outcome; non-token compute listed.</t>
        </is>
      </c>
      <c r="W150" s="6" t="inlineStr">
        <is>
          <t>C-D09, C-D08</t>
        </is>
      </c>
      <c r="X150" s="6" t="inlineStr"/>
      <c r="Y150" s="6" t="inlineStr"/>
      <c r="Z150" s="6" t="inlineStr"/>
      <c r="AA150" s="6" t="inlineStr"/>
      <c r="AB150" s="6" t="inlineStr">
        <is>
          <t>DATA</t>
        </is>
      </c>
      <c r="AC150" s="6" t="inlineStr">
        <is>
          <t>n/a (sub-item)</t>
        </is>
      </c>
      <c r="AD150" s="6" t="inlineStr">
        <is>
          <t>NEW (SRC-11 sub-row)</t>
        </is>
      </c>
      <c r="AE150" s="6" t="inlineStr">
        <is>
          <t>2026-10-19</t>
        </is>
      </c>
      <c r="AF150" s="6" t="inlineStr">
        <is>
          <t>v3-04 section 1 (CH-0042 residual)</t>
        </is>
      </c>
      <c r="AG150" s="6" t="inlineStr"/>
      <c r="AH150" s="6" t="inlineStr">
        <is>
          <t>Yes</t>
        </is>
      </c>
      <c r="AI150" s="6" t="inlineStr"/>
      <c r="AJ150" s="6" t="inlineStr">
        <is>
          <t>repo: HYP records / CH-0042</t>
        </is>
      </c>
      <c r="AK150" s="6" t="inlineStr">
        <is>
          <t>CH-0042</t>
        </is>
      </c>
      <c r="AL150" s="6" t="inlineStr">
        <is>
          <t>S22</t>
        </is>
      </c>
    </row>
    <row r="151" ht="90.5" customHeight="1">
      <c r="A151" s="5" t="inlineStr">
        <is>
          <t>C-S02/PREV</t>
        </is>
      </c>
      <c r="B151" s="6" t="inlineStr">
        <is>
          <t>Is recovery worth its price as a function of prevalence w of tasks needing non-core tools?</t>
        </is>
      </c>
      <c r="C151" s="6" t="inlineStr">
        <is>
          <t>OPEN</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221</v>
      </c>
      <c r="L151" s="6" t="inlineStr">
        <is>
          <t>W4 End-to-end</t>
        </is>
      </c>
      <c r="M151" s="6" t="inlineStr">
        <is>
          <t>S23</t>
        </is>
      </c>
      <c r="N151" s="6" t="inlineStr">
        <is>
          <t>Team</t>
        </is>
      </c>
      <c r="O151" s="6" t="inlineStr">
        <is>
          <t>Only after pilots, decisions and an AUTH</t>
        </is>
      </c>
      <c r="P151" s="6" t="inlineStr">
        <is>
          <t>No</t>
        </is>
      </c>
      <c r="Q151" s="6" t="inlineStr">
        <is>
          <t>Scientific unknown</t>
        </is>
      </c>
      <c r="R151" s="6" t="inlineStr">
        <is>
          <t>Sub-item</t>
        </is>
      </c>
      <c r="S151" s="6" t="inlineStr">
        <is>
          <t>C-S02</t>
        </is>
      </c>
      <c r="T151" s="6" t="inlineStr">
        <is>
          <t>HYP-0011: value accrues only in tasks needing a tool outside the core while price accrues in all tasks.</t>
        </is>
      </c>
      <c r="U151" s="6" t="inlineStr">
        <is>
          <t>Proposed.</t>
        </is>
      </c>
      <c r="V151" s="6" t="inlineStr">
        <is>
          <t>Population net effect w x gain - (1-w) x price estimated; prevalence reported.</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2026-10-19</t>
        </is>
      </c>
      <c r="AF151" s="6" t="inlineStr">
        <is>
          <t>HYP-0011</t>
        </is>
      </c>
      <c r="AG151" s="6" t="inlineStr"/>
      <c r="AH151" s="6" t="inlineStr">
        <is>
          <t>Yes</t>
        </is>
      </c>
      <c r="AI151" s="6" t="inlineStr"/>
      <c r="AJ151" s="6" t="inlineStr">
        <is>
          <t>repo: HYP records / CH-0042</t>
        </is>
      </c>
      <c r="AK151" s="6" t="inlineStr">
        <is>
          <t>HYP-0011</t>
        </is>
      </c>
      <c r="AL151" s="6" t="inlineStr">
        <is>
          <t>S22</t>
        </is>
      </c>
    </row>
    <row r="152" ht="40.5" customHeight="1">
      <c r="A152" s="5" t="inlineStr">
        <is>
          <t>C-S02</t>
        </is>
      </c>
      <c r="B152" s="6" t="inlineStr">
        <is>
          <t>Repeated complete-trajectory success and cache-aware billed cost: deferral/discovery vs cached full exposure.</t>
        </is>
      </c>
      <c r="C152" s="6" t="inlineStr">
        <is>
          <t>PARTLY ANSWERED</t>
        </is>
      </c>
      <c r="D152" s="6">
        <f>IFERROR(INDEX(Lists!$B$2:$B$14,MATCH(C152,Lists!$A$2:$A$14,0)),"?")</f>
        <v/>
      </c>
      <c r="E152" s="6">
        <f>IF(COUNTIFS(Links!$B$2:$B$600,A152,Links!$E$2:$E$600,"Yes")&gt;0,"REVISE","")</f>
        <v/>
      </c>
      <c r="F152" s="6">
        <f>COUNTIFS(Links!$B$2:$B$600,A152,Links!$D$2:$D$600,"No",Links!$C$2:$C$600,"&lt;&gt;INFORMS")</f>
        <v/>
      </c>
      <c r="G152" s="19" t="inlineStr">
        <is>
          <t>TEST-CONFIRMATORY</t>
        </is>
      </c>
      <c r="H152" s="6" t="inlineStr">
        <is>
          <t>K11 End-to-end comparison</t>
        </is>
      </c>
      <c r="I152" s="6" t="inlineStr">
        <is>
          <t>G4 Before claims</t>
        </is>
      </c>
      <c r="J152" s="6" t="inlineStr">
        <is>
          <t>Normal</t>
        </is>
      </c>
      <c r="K152" s="6" t="n">
        <v>222</v>
      </c>
      <c r="L152" s="6" t="inlineStr">
        <is>
          <t>W4 End-to-end</t>
        </is>
      </c>
      <c r="M152" s="6" t="inlineStr">
        <is>
          <t>S23</t>
        </is>
      </c>
      <c r="N152" s="6" t="inlineStr">
        <is>
          <t>Team</t>
        </is>
      </c>
      <c r="O152" s="6" t="inlineStr">
        <is>
          <t>Test only the remainder, in the proof-of-concept loop</t>
        </is>
      </c>
      <c r="P152" s="6" t="inlineStr">
        <is>
          <t>No</t>
        </is>
      </c>
      <c r="Q152" s="6" t="inlineStr">
        <is>
          <t>Scientific unknown</t>
        </is>
      </c>
      <c r="R152" s="6" t="inlineStr">
        <is>
          <t>Item</t>
        </is>
      </c>
      <c r="S152" s="6" t="inlineStr"/>
      <c r="T152" s="6" t="inlineStr">
        <is>
          <t>Repeated complete-trajectory success and cache-aware billed cost: deferral/discovery vs cached full exposure.</t>
        </is>
      </c>
      <c r="U152"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2" s="6" t="inlineStr">
        <is>
          <t>Feasibility pilot, then an appropriately powered paired comparison with provider usage and invoice reconciliation.</t>
        </is>
      </c>
      <c r="W152" s="6" t="inlineStr">
        <is>
          <t>C-D09, C-D08, C-D02, C-D06, C-E06, C-S01, C-S03, C-S08, C-S14</t>
        </is>
      </c>
      <c r="X152" s="6" t="inlineStr">
        <is>
          <t>C-S12, C-S13, C-S15, C-D11</t>
        </is>
      </c>
      <c r="Y152" s="6" t="inlineStr">
        <is>
          <t>Q-U03</t>
        </is>
      </c>
      <c r="Z152" s="6" t="inlineStr">
        <is>
          <t>TEST-PILOT</t>
        </is>
      </c>
      <c r="AA152" s="6" t="inlineStr">
        <is>
          <t>K9 Cache &amp; billing</t>
        </is>
      </c>
      <c r="AB152" s="6" t="inlineStr">
        <is>
          <t>DATA</t>
        </is>
      </c>
      <c r="AC152" s="6" t="inlineStr">
        <is>
          <t>OPEN</t>
        </is>
      </c>
      <c r="AD152" s="6" t="inlineStr">
        <is>
          <t>UNCHANGED</t>
        </is>
      </c>
      <c r="AE152" s="6" t="inlineStr">
        <is>
          <t>2026-10-21</t>
        </is>
      </c>
      <c r="AF152" s="6" t="inlineStr">
        <is>
          <t>FND-0038 (findings/SUM-0040)</t>
        </is>
      </c>
      <c r="AG152" s="6" t="inlineStr"/>
      <c r="AH152" s="6" t="inlineStr">
        <is>
          <t>Yes</t>
        </is>
      </c>
      <c r="AI152" s="6" t="inlineStr"/>
      <c r="AJ152" s="6" t="inlineStr">
        <is>
          <t>SRC-11 canonical</t>
        </is>
      </c>
      <c r="AK152" s="6" t="inlineStr">
        <is>
          <t>SRC-06 S01, SRC-06 S03, SRC-07 13, SRC-07 22, v3-04 E5, v3-04 E7, HYP-0005, HYP-0008, RA11</t>
        </is>
      </c>
      <c r="AL152" s="6" t="inlineStr">
        <is>
          <t>S22</t>
        </is>
      </c>
    </row>
    <row r="153" ht="40.5" customHeight="1">
      <c r="A153" s="5" t="inlineStr">
        <is>
          <t>C-X05</t>
        </is>
      </c>
      <c r="B153" s="6" t="inlineStr">
        <is>
          <t>E5: repeated end-to-end success/cost sweep that answers C-S02.</t>
        </is>
      </c>
      <c r="C153" s="6" t="inlineStr">
        <is>
          <t>DEFERRED</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223</v>
      </c>
      <c r="L153" s="6" t="inlineStr">
        <is>
          <t>W4 End-to-end</t>
        </is>
      </c>
      <c r="M153" s="6" t="inlineStr">
        <is>
          <t>S23</t>
        </is>
      </c>
      <c r="N153" s="6" t="inlineStr">
        <is>
          <t>Team</t>
        </is>
      </c>
      <c r="O153" s="6" t="inlineStr">
        <is>
          <t>none until the trigger fires</t>
        </is>
      </c>
      <c r="P153" s="6" t="inlineStr">
        <is>
          <t>No</t>
        </is>
      </c>
      <c r="Q153" s="6" t="inlineStr">
        <is>
          <t>Test</t>
        </is>
      </c>
      <c r="R153" s="6" t="inlineStr">
        <is>
          <t>Check</t>
        </is>
      </c>
      <c r="S153" s="6" t="inlineStr"/>
      <c r="T153" s="6" t="inlineStr">
        <is>
          <t>E5: repeated end-to-end success/cost sweep that answers C-S02.</t>
        </is>
      </c>
      <c r="U153" s="6" t="inlineStr">
        <is>
          <t>Power arithmetic only: about 495 pairs for a single five-point contrast; 800-2,300 for several contrasts or strata. 2026-10-21 (AUTH-019): belongs to the end-to-end phase (FND-0038 (findings/SUM-0040); the human's process, INT-T-005 line 7).</t>
        </is>
      </c>
      <c r="V153" s="6" t="inlineStr">
        <is>
          <t>Same as C-S02.</t>
        </is>
      </c>
      <c r="W153" s="6" t="inlineStr">
        <is>
          <t>C-D09, C-D08, C-D02, C-D06, C-E06, C-S01, C-S03, C-S08</t>
        </is>
      </c>
      <c r="X153" s="6" t="inlineStr">
        <is>
          <t>C-D11</t>
        </is>
      </c>
      <c r="Y153" s="6" t="inlineStr"/>
      <c r="Z153" s="6" t="inlineStr">
        <is>
          <t>TEST-PILOT</t>
        </is>
      </c>
      <c r="AA153" s="6" t="inlineStr"/>
      <c r="AB153" s="6" t="inlineStr">
        <is>
          <t>DATA</t>
        </is>
      </c>
      <c r="AC153" s="6" t="inlineStr">
        <is>
          <t>NO RESULT - OPEN</t>
        </is>
      </c>
      <c r="AD153" s="6" t="inlineStr">
        <is>
          <t>UNCHANGED</t>
        </is>
      </c>
      <c r="AE153" s="6" t="inlineStr">
        <is>
          <t>2026-10-21</t>
        </is>
      </c>
      <c r="AF153" s="6" t="inlineStr">
        <is>
          <t>FND-0037 (findings/SUM-0039); FND-0038 (findings/SUM-0040)</t>
        </is>
      </c>
      <c r="AG153" s="6" t="inlineStr">
        <is>
          <t>The end-to-end study is designed</t>
        </is>
      </c>
      <c r="AH153" s="6" t="inlineStr">
        <is>
          <t>Yes</t>
        </is>
      </c>
      <c r="AI153" s="6" t="inlineStr"/>
      <c r="AJ153" s="6" t="inlineStr">
        <is>
          <t>SRC-11 canonical</t>
        </is>
      </c>
      <c r="AK153" s="6" t="inlineStr">
        <is>
          <t>E5</t>
        </is>
      </c>
      <c r="AL153" s="6" t="inlineStr">
        <is>
          <t>S22</t>
        </is>
      </c>
    </row>
    <row r="154" ht="300" customHeight="1">
      <c r="A154" s="5" t="inlineStr">
        <is>
          <t>C-E03</t>
        </is>
      </c>
      <c r="B154" s="6" t="inlineStr">
        <is>
          <t>Version drift, vendor arithmetic and evaluator error need version labels and primary checks.</t>
        </is>
      </c>
      <c r="C154" s="6" t="inlineStr">
        <is>
          <t>PARTLY ANSWERED</t>
        </is>
      </c>
      <c r="D154" s="6">
        <f>IFERROR(INDEX(Lists!$B$2:$B$14,MATCH(C154,Lists!$A$2:$A$14,0)),"?")</f>
        <v/>
      </c>
      <c r="E154" s="6">
        <f>IF(COUNTIFS(Links!$B$2:$B$600,A154,Links!$E$2:$E$600,"Yes")&gt;0,"REVISE","")</f>
        <v/>
      </c>
      <c r="F154" s="6">
        <f>COUNTIFS(Links!$B$2:$B$600,A154,Links!$D$2:$D$600,"No",Links!$C$2:$C$600,"&lt;&gt;INFORMS")</f>
        <v/>
      </c>
      <c r="G154" s="14" t="inlineStr">
        <is>
          <t>SOURCE-REREAD</t>
        </is>
      </c>
      <c r="H154" s="6" t="inlineStr">
        <is>
          <t>K14 Source &amp; vendor verification</t>
        </is>
      </c>
      <c r="I154" s="6" t="inlineStr">
        <is>
          <t>G4 Before claims</t>
        </is>
      </c>
      <c r="J154" s="6" t="inlineStr">
        <is>
          <t>Normal</t>
        </is>
      </c>
      <c r="K154" s="6" t="n">
        <v>224</v>
      </c>
      <c r="L154" s="6" t="inlineStr">
        <is>
          <t>W5 Claim-time</t>
        </is>
      </c>
      <c r="M154" s="6" t="inlineStr">
        <is>
          <t>S24</t>
        </is>
      </c>
      <c r="N154" s="6" t="inlineStr">
        <is>
          <t>Lead</t>
        </is>
      </c>
      <c r="O154" s="6" t="inlineStr">
        <is>
          <t>You approve the pointer sentence (06 row 3.29); then this row can close</t>
        </is>
      </c>
      <c r="P154" s="6" t="inlineStr">
        <is>
          <t>Yes - stored text, unread</t>
        </is>
      </c>
      <c r="Q154" s="6" t="inlineStr">
        <is>
          <t>Source check</t>
        </is>
      </c>
      <c r="R154" s="6" t="inlineStr">
        <is>
          <t>Item</t>
        </is>
      </c>
      <c r="S154" s="6" t="inlineStr"/>
      <c r="T154" s="6" t="inlineStr">
        <is>
          <t>Version drift, vendor arithmetic and evaluator error need version labels and primary checks.</t>
        </is>
      </c>
      <c r="U154"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4" s="6" t="inlineStr">
        <is>
          <t>Every quoted number carries its version and date.</t>
        </is>
      </c>
      <c r="W154" s="6" t="inlineStr"/>
      <c r="X154" s="6" t="inlineStr">
        <is>
          <t>C-D01</t>
        </is>
      </c>
      <c r="Y154" s="6" t="inlineStr"/>
      <c r="Z154" s="6" t="inlineStr">
        <is>
          <t>TIME-RECHECK</t>
        </is>
      </c>
      <c r="AA154" s="6" t="inlineStr">
        <is>
          <t>K15 Expiring provider facts</t>
        </is>
      </c>
      <c r="AB154" s="6" t="inlineStr">
        <is>
          <t>SOURCE+TIME+DATA</t>
        </is>
      </c>
      <c r="AC154" s="6" t="inlineStr">
        <is>
          <t>OPEN</t>
        </is>
      </c>
      <c r="AD154" s="6" t="inlineStr">
        <is>
          <t>UNCHANGED</t>
        </is>
      </c>
      <c r="AE154" s="6" t="inlineStr">
        <is>
          <t>2026-10-20</t>
        </is>
      </c>
      <c r="AF154" s="6" t="inlineStr">
        <is>
          <t>FND-0033 (findings/SUM-0035); FND-0034 (findings/SUM-0036); EXT-0177, EXT-0220..0223</t>
        </is>
      </c>
      <c r="AG154" s="6" t="inlineStr">
        <is>
          <t>When a claim is used in the thesis</t>
        </is>
      </c>
      <c r="AH154" s="6" t="inlineStr">
        <is>
          <t>No</t>
        </is>
      </c>
      <c r="AI154" s="6" t="inlineStr"/>
      <c r="AJ154" s="6" t="inlineStr">
        <is>
          <t>SRC-11 canonical</t>
        </is>
      </c>
      <c r="AK154" s="6" t="inlineStr">
        <is>
          <t>SRC-06 E03, SRC-06 E40, SRC-07 25-27, CAVEATS 7, CAVEATS 8, CAVEATS 9</t>
        </is>
      </c>
      <c r="AL154" s="6" t="inlineStr">
        <is>
          <t>S11</t>
        </is>
      </c>
    </row>
    <row r="155" ht="65.5" customHeight="1">
      <c r="A155" s="5" t="inlineStr">
        <is>
          <t>C-E03/E40</t>
        </is>
      </c>
      <c r="B155" s="6" t="inlineStr">
        <is>
          <t>MCPVerse, MCP-Atlas, LiveMCPBench version-sensitive numbers</t>
        </is>
      </c>
      <c r="C155" s="6" t="inlineStr">
        <is>
          <t>PARTLY ANSWERED</t>
        </is>
      </c>
      <c r="D155" s="6">
        <f>IFERROR(INDEX(Lists!$B$2:$B$14,MATCH(C155,Lists!$A$2:$A$14,0)),"?")</f>
        <v/>
      </c>
      <c r="E155" s="6">
        <f>IF(COUNTIFS(Links!$B$2:$B$600,A155,Links!$E$2:$E$600,"Yes")&gt;0,"REVISE","")</f>
        <v/>
      </c>
      <c r="F155" s="6">
        <f>COUNTIFS(Links!$B$2:$B$600,A155,Links!$D$2:$D$600,"No",Links!$C$2:$C$600,"&lt;&gt;INFORMS")</f>
        <v/>
      </c>
      <c r="G155" s="14" t="inlineStr">
        <is>
          <t>SOURCE-REREAD</t>
        </is>
      </c>
      <c r="H155" s="6" t="inlineStr">
        <is>
          <t>K14 Source &amp; vendor verification</t>
        </is>
      </c>
      <c r="I155" s="6" t="inlineStr">
        <is>
          <t>G4 Before claims</t>
        </is>
      </c>
      <c r="J155" s="6" t="inlineStr">
        <is>
          <t>Normal</t>
        </is>
      </c>
      <c r="K155" s="6" t="n">
        <v>225</v>
      </c>
      <c r="L155" s="6" t="inlineStr">
        <is>
          <t>W5 Claim-time</t>
        </is>
      </c>
      <c r="M155" s="6" t="inlineStr">
        <is>
          <t>S24</t>
        </is>
      </c>
      <c r="N155" s="6" t="inlineStr">
        <is>
          <t>Lead</t>
        </is>
      </c>
      <c r="O155" s="6" t="inlineStr">
        <is>
          <t>Apply version tags at claim time (thesis text) or approve 06 row 3.29</t>
        </is>
      </c>
      <c r="P155" s="6" t="inlineStr">
        <is>
          <t>Yes - stored text, unread</t>
        </is>
      </c>
      <c r="Q155" s="6" t="inlineStr">
        <is>
          <t>Source check</t>
        </is>
      </c>
      <c r="R155" s="6" t="inlineStr">
        <is>
          <t>Sub-item</t>
        </is>
      </c>
      <c r="S155" s="6" t="inlineStr">
        <is>
          <t>C-E03</t>
        </is>
      </c>
      <c r="T155" s="6" t="inlineStr">
        <is>
          <t>SRC-06 E40 / SRC-07 25: MCPVerse, MCP-Atlas and LiveMCPBench numbers and attribution are version-sensitive.</t>
        </is>
      </c>
      <c r="U155"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5" s="6" t="inlineStr">
        <is>
          <t>Every quoted number carries version and date.</t>
        </is>
      </c>
      <c r="W155" s="6" t="inlineStr"/>
      <c r="X155" s="6" t="inlineStr"/>
      <c r="Y155" s="6" t="inlineStr"/>
      <c r="Z155" s="6" t="inlineStr"/>
      <c r="AA155" s="6" t="inlineStr"/>
      <c r="AB155" s="6" t="inlineStr">
        <is>
          <t>SOURCE+TIME</t>
        </is>
      </c>
      <c r="AC155" s="6" t="inlineStr">
        <is>
          <t>n/a (sub-item)</t>
        </is>
      </c>
      <c r="AD155" s="6" t="inlineStr">
        <is>
          <t>NARROWED</t>
        </is>
      </c>
      <c r="AE155" s="6" t="inlineStr">
        <is>
          <t>2026-10-20</t>
        </is>
      </c>
      <c r="AF155" s="6" t="inlineStr">
        <is>
          <t>FND-0033, FND-0034</t>
        </is>
      </c>
      <c r="AG155" s="6" t="inlineStr"/>
      <c r="AH155" s="6" t="inlineStr">
        <is>
          <t>No</t>
        </is>
      </c>
      <c r="AI155" s="6" t="inlineStr"/>
      <c r="AJ155" s="6" t="inlineStr">
        <is>
          <t>SRC-11 section D1</t>
        </is>
      </c>
      <c r="AK155" s="6" t="inlineStr">
        <is>
          <t>SRC-06 E40, SRC-07 25, CAVEATS 7</t>
        </is>
      </c>
      <c r="AL155" s="6" t="inlineStr">
        <is>
          <t>S11</t>
        </is>
      </c>
    </row>
    <row r="156" ht="253" customHeight="1">
      <c r="A156" s="5" t="inlineStr">
        <is>
          <t>C-E03/O7-27</t>
        </is>
      </c>
      <c r="B156" s="6" t="inlineStr">
        <is>
          <t>Evaluator-human disagreement and incomplete LLM-judge answers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227</v>
      </c>
      <c r="L156" s="6" t="inlineStr">
        <is>
          <t>W5 Claim-time</t>
        </is>
      </c>
      <c r="M156" s="6" t="inlineStr">
        <is>
          <t>S24</t>
        </is>
      </c>
      <c r="N156" s="6" t="inlineStr">
        <is>
          <t>Team</t>
        </is>
      </c>
      <c r="O156" s="6" t="inlineStr">
        <is>
          <t>You send the drafted ask (design/ledger/notes/AUTHOR-ASKS-DRAFT-20261020.md, section 2) and record the reply; until then it waits on the authors</t>
        </is>
      </c>
      <c r="P156" s="6" t="inlineStr">
        <is>
          <t>Yes - stored text, unread</t>
        </is>
      </c>
      <c r="Q156" s="6" t="inlineStr">
        <is>
          <t>Source check</t>
        </is>
      </c>
      <c r="R156" s="6" t="inlineStr">
        <is>
          <t>Sub-item</t>
        </is>
      </c>
      <c r="S156" s="6" t="inlineStr">
        <is>
          <t>C-E03</t>
        </is>
      </c>
      <c r="T156" s="6" t="inlineStr">
        <is>
          <t>SRC-07 27: evaluator-human disagreement (18.5% in one audit) and plausible but incomplete LLM-judge answers.</t>
        </is>
      </c>
      <c r="U156"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6" s="6" t="inlineStr">
        <is>
          <t>Source figure verified; scorer chosen; a sample audited against humans.</t>
        </is>
      </c>
      <c r="W156" s="6" t="inlineStr"/>
      <c r="X156" s="6" t="inlineStr"/>
      <c r="Y156" s="6" t="inlineStr"/>
      <c r="Z156" s="6" t="inlineStr"/>
      <c r="AA156" s="6" t="inlineStr"/>
      <c r="AB156" s="6" t="inlineStr">
        <is>
          <t>DATA+SOURCE</t>
        </is>
      </c>
      <c r="AC156" s="6" t="inlineStr">
        <is>
          <t>n/a (sub-item)</t>
        </is>
      </c>
      <c r="AD156" s="6" t="inlineStr">
        <is>
          <t>NEW (SRC-11 sub-row)</t>
        </is>
      </c>
      <c r="AE156" s="6" t="inlineStr">
        <is>
          <t>2026-10-20</t>
        </is>
      </c>
      <c r="AF156" s="6" t="inlineStr">
        <is>
          <t>FND-0021 (findings/SUM-0023); EXT-0184, EXT-0186, EXT-0187, EXT-0190, EXT-0156, EXT-0159</t>
        </is>
      </c>
      <c r="AG156" s="6" t="inlineStr"/>
      <c r="AH156" s="6" t="inlineStr">
        <is>
          <t>No</t>
        </is>
      </c>
      <c r="AI156" s="6" t="inlineStr"/>
      <c r="AJ156" s="6" t="inlineStr">
        <is>
          <t>SRC-11 section D1</t>
        </is>
      </c>
      <c r="AK156" s="6" t="inlineStr">
        <is>
          <t>SRC-07 27, CAVEATS 9</t>
        </is>
      </c>
      <c r="AL156" s="6" t="inlineStr">
        <is>
          <t>S11</t>
        </is>
      </c>
    </row>
    <row r="157" ht="290.5" customHeight="1">
      <c r="A157" s="5" t="inlineStr">
        <is>
          <t>N-23</t>
        </is>
      </c>
      <c r="B157" s="6" t="inlineStr">
        <is>
          <t>Move the review and this ledger into tracked docs; record an AUTH row for the review</t>
        </is>
      </c>
      <c r="C157" s="6" t="inlineStr">
        <is>
          <t>PARTLY ANSWERED</t>
        </is>
      </c>
      <c r="D157" s="6">
        <f>IFERROR(INDEX(Lists!$B$2:$B$14,MATCH(C157,Lists!$A$2:$A$14,0)),"?")</f>
        <v/>
      </c>
      <c r="E157" s="6">
        <f>IF(COUNTIFS(Links!$B$2:$B$600,A157,Links!$E$2:$E$600,"Yes")&gt;0,"REVISE","")</f>
        <v/>
      </c>
      <c r="F157" s="6">
        <f>COUNTIFS(Links!$B$2:$B$600,A157,Links!$D$2:$D$600,"No",Links!$C$2:$C$600,"&lt;&gt;INFORMS")</f>
        <v/>
      </c>
      <c r="G157" s="9" t="inlineStr">
        <is>
          <t>USER-DECISION</t>
        </is>
      </c>
      <c r="H157" s="6" t="inlineStr">
        <is>
          <t>K16 Limits &amp; provenance</t>
        </is>
      </c>
      <c r="I157" s="6" t="inlineStr">
        <is>
          <t>G5 Housekeeping / no block</t>
        </is>
      </c>
      <c r="J157" s="6" t="inlineStr">
        <is>
          <t>Low</t>
        </is>
      </c>
      <c r="K157" s="6" t="n">
        <v>236</v>
      </c>
      <c r="L157" s="6" t="inlineStr">
        <is>
          <t>W5 Claim-time</t>
        </is>
      </c>
      <c r="M157" s="6" t="inlineStr">
        <is>
          <t>S25</t>
        </is>
      </c>
      <c r="N157" s="6" t="inlineStr">
        <is>
          <t>You</t>
        </is>
      </c>
      <c r="O157" s="6" t="inlineStr">
        <is>
          <t>Answer Q-U18</t>
        </is>
      </c>
      <c r="P157" s="6" t="inlineStr">
        <is>
          <t>n/a</t>
        </is>
      </c>
      <c r="Q157" s="6" t="inlineStr">
        <is>
          <t>Decision</t>
        </is>
      </c>
      <c r="R157" s="6" t="inlineStr">
        <is>
          <t>Item</t>
        </is>
      </c>
      <c r="S157" s="6" t="inlineStr"/>
      <c r="T157" s="6" t="inlineStr">
        <is>
          <t>Review section 9: no AUTH covers the review or the ledger; moving them into tracked documentation needs your approval; SRC-11/12 would need an intake route if they become inputs; the .workspace folder is untracked and not in the remote backup.</t>
        </is>
      </c>
      <c r="U157" s="6" t="inlineStr">
        <is>
          <t>Ledger workbook is tracked at design/ledger/ under AUTH-016 (CSV export alongside). The review report and SRC-11/12 remain untracked in .workspace; admitting them is undecided.</t>
        </is>
      </c>
      <c r="V157" s="6" t="inlineStr">
        <is>
          <t>Review report and SRC-11/12 either admitted (review as SUM; SRC-11/12 via the intake route with provenance) or explicitly kept outside.</t>
        </is>
      </c>
      <c r="W157" s="6" t="inlineStr"/>
      <c r="X157" s="6" t="inlineStr"/>
      <c r="Y157" s="6" t="inlineStr">
        <is>
          <t>Q-U18</t>
        </is>
      </c>
      <c r="Z157" s="6" t="inlineStr"/>
      <c r="AA157" s="6" t="inlineStr"/>
      <c r="AB157" s="6" t="inlineStr">
        <is>
          <t>DEC+RECORD</t>
        </is>
      </c>
      <c r="AC157" s="6" t="inlineStr">
        <is>
          <t>n/a (new)</t>
        </is>
      </c>
      <c r="AD157" s="6" t="inlineStr">
        <is>
          <t>NEW (repo sweep)</t>
        </is>
      </c>
      <c r="AE157" s="6" t="inlineStr">
        <is>
          <t>2026-10-19</t>
        </is>
      </c>
      <c r="AF157" s="6" t="inlineStr">
        <is>
          <t>ops/AUTHORIZATIONS.md AUTH-016; Questions Q-U18 answer</t>
        </is>
      </c>
      <c r="AG157" s="6" t="inlineStr"/>
      <c r="AH157" s="6" t="inlineStr">
        <is>
          <t>Yes (AUTH row)</t>
        </is>
      </c>
      <c r="AI157" s="6" t="inlineStr"/>
      <c r="AJ157" s="6" t="inlineStr">
        <is>
          <t>review 19 Oct section 9</t>
        </is>
      </c>
      <c r="AK157" s="6" t="inlineStr"/>
      <c r="AL157" s="6" t="inlineStr">
        <is>
          <t>S03</t>
        </is>
      </c>
    </row>
    <row r="158" ht="300" customHeight="1">
      <c r="A158" s="5" t="inlineStr">
        <is>
          <t>AS-02</t>
        </is>
      </c>
      <c r="B158" s="6" t="inlineStr">
        <is>
          <t>Supervisor assertion A2: No symbolic algorithm can beat the LLM across all cases</t>
        </is>
      </c>
      <c r="C158" s="6" t="inlineStr">
        <is>
          <t>PARTLY ANSWERED</t>
        </is>
      </c>
      <c r="D158" s="6">
        <f>IFERROR(INDEX(Lists!$B$2:$B$14,MATCH(C158,Lists!$A$2:$A$14,0)),"?")</f>
        <v/>
      </c>
      <c r="E158" s="6">
        <f>IF(COUNTIFS(Links!$B$2:$B$600,A158,Links!$E$2:$E$600,"Yes")&gt;0,"REVISE","")</f>
        <v/>
      </c>
      <c r="F158" s="6">
        <f>COUNTIFS(Links!$B$2:$B$600,A158,Links!$D$2:$D$600,"No",Links!$C$2:$C$600,"&lt;&gt;INFORMS")</f>
        <v/>
      </c>
      <c r="G158" s="12" t="inlineStr">
        <is>
          <t>ACCEPT-LIMITATION</t>
        </is>
      </c>
      <c r="H158" s="6" t="inlineStr">
        <is>
          <t>K14 Source &amp; vendor verification</t>
        </is>
      </c>
      <c r="I158" s="6" t="inlineStr">
        <is>
          <t>G5 Housekeeping / no block</t>
        </is>
      </c>
      <c r="J158" s="6" t="inlineStr">
        <is>
          <t>Low</t>
        </is>
      </c>
      <c r="K158" s="6" t="n">
        <v>237</v>
      </c>
      <c r="L158" s="6" t="inlineStr">
        <is>
          <t>W5 Claim-time</t>
        </is>
      </c>
      <c r="M158" s="6" t="inlineStr">
        <is>
          <t>S25</t>
        </is>
      </c>
      <c r="N158" s="6" t="inlineStr">
        <is>
          <t>Lead / team</t>
        </is>
      </c>
      <c r="O158" s="6" t="inlineStr">
        <is>
          <t>Q-J29; the testable version would need a pilot arm</t>
        </is>
      </c>
      <c r="P158" s="6" t="inlineStr">
        <is>
          <t>No</t>
        </is>
      </c>
      <c r="Q158" s="6" t="inlineStr">
        <is>
          <t>Claim to test</t>
        </is>
      </c>
      <c r="R158" s="6" t="inlineStr">
        <is>
          <t>Item</t>
        </is>
      </c>
      <c r="S158" s="6" t="inlineStr"/>
      <c r="T158" s="6" t="inlineStr">
        <is>
          <t>REQ-A1 A2: No symbolic algorithm can beat the LLM across all cases. Universal, partly definitional claim; hard to test as stated.</t>
        </is>
      </c>
      <c r="U158"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58" s="6" t="inlineStr">
        <is>
          <t>Universal, partly definitional claim; hard to test as stated.</t>
        </is>
      </c>
      <c r="W158" s="6" t="inlineStr"/>
      <c r="X158" s="6" t="inlineStr"/>
      <c r="Y158" s="6" t="inlineStr">
        <is>
          <t>Q-J29</t>
        </is>
      </c>
      <c r="Z158" s="6" t="inlineStr"/>
      <c r="AA158" s="6" t="inlineStr"/>
      <c r="AB158" s="6" t="inlineStr">
        <is>
          <t>SOURCE</t>
        </is>
      </c>
      <c r="AC158" s="6" t="inlineStr">
        <is>
          <t>n/a (REGISTER E)</t>
        </is>
      </c>
      <c r="AD158" s="6" t="inlineStr">
        <is>
          <t>NEW (repo sweep)</t>
        </is>
      </c>
      <c r="AE158" s="6" t="inlineStr">
        <is>
          <t>2026-10-20</t>
        </is>
      </c>
      <c r="AF158" s="6" t="inlineStr">
        <is>
          <t>FND-0031 (findings/SUM-0033); EXT-0207, EXT-0208</t>
        </is>
      </c>
      <c r="AG158" s="6" t="inlineStr"/>
      <c r="AH158" s="6" t="inlineStr">
        <is>
          <t>No</t>
        </is>
      </c>
      <c r="AI158" s="6" t="inlineStr"/>
      <c r="AJ158" s="6" t="inlineStr">
        <is>
          <t>repo: REGISTER section E / EXT-0004</t>
        </is>
      </c>
      <c r="AK158" s="6" t="inlineStr">
        <is>
          <t>REQ-A1 A2</t>
        </is>
      </c>
      <c r="AL158" s="6" t="inlineStr">
        <is>
          <t>S11</t>
        </is>
      </c>
    </row>
    <row r="159" ht="53" customHeight="1">
      <c r="A159" s="5" t="inlineStr">
        <is>
          <t>AS-08</t>
        </is>
      </c>
      <c r="B159" s="6" t="inlineStr">
        <is>
          <t>Supervisor assertion A8: Industry has tried to solve LLM interpretability for years without a solution</t>
        </is>
      </c>
      <c r="C159" s="6" t="inlineStr">
        <is>
          <t>DEFERRED</t>
        </is>
      </c>
      <c r="D159" s="6">
        <f>IFERROR(INDEX(Lists!$B$2:$B$14,MATCH(C159,Lists!$A$2:$A$14,0)),"?")</f>
        <v/>
      </c>
      <c r="E159" s="6">
        <f>IF(COUNTIFS(Links!$B$2:$B$600,A159,Links!$E$2:$E$600,"Yes")&gt;0,"REVISE","")</f>
        <v/>
      </c>
      <c r="F159" s="6">
        <f>COUNTIFS(Links!$B$2:$B$600,A159,Links!$D$2:$D$600,"No",Links!$C$2:$C$600,"&lt;&gt;INFORMS")</f>
        <v/>
      </c>
      <c r="G159" s="12" t="inlineStr">
        <is>
          <t>ACCEPT-LIMITATION</t>
        </is>
      </c>
      <c r="H159" s="6" t="inlineStr">
        <is>
          <t>K14 Source &amp; vendor verification</t>
        </is>
      </c>
      <c r="I159" s="6" t="inlineStr">
        <is>
          <t>G5 Housekeeping / no block</t>
        </is>
      </c>
      <c r="J159" s="6" t="inlineStr">
        <is>
          <t>Low</t>
        </is>
      </c>
      <c r="K159" s="6" t="n">
        <v>238</v>
      </c>
      <c r="L159" s="6" t="inlineStr">
        <is>
          <t>W5 Claim-time</t>
        </is>
      </c>
      <c r="M159" s="6" t="inlineStr">
        <is>
          <t>S25</t>
        </is>
      </c>
      <c r="N159" s="6" t="inlineStr">
        <is>
          <t>Lead / team</t>
        </is>
      </c>
      <c r="O159" s="6" t="inlineStr">
        <is>
          <t>none</t>
        </is>
      </c>
      <c r="P159" s="6" t="inlineStr">
        <is>
          <t>No</t>
        </is>
      </c>
      <c r="Q159" s="6" t="inlineStr">
        <is>
          <t>Claim to test</t>
        </is>
      </c>
      <c r="R159" s="6" t="inlineStr">
        <is>
          <t>Item</t>
        </is>
      </c>
      <c r="S159" s="6" t="inlineStr"/>
      <c r="T159" s="6" t="inlineStr">
        <is>
          <t>REQ-A1 A8: Industry has tried to solve LLM interpretability for years without a solution. Background claim; low priority.</t>
        </is>
      </c>
      <c r="U159"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59" s="6" t="inlineStr">
        <is>
          <t>Background claim; low priority.</t>
        </is>
      </c>
      <c r="W159" s="6" t="inlineStr"/>
      <c r="X159" s="6" t="inlineStr"/>
      <c r="Y159" s="6" t="inlineStr"/>
      <c r="Z159" s="6" t="inlineStr"/>
      <c r="AA159" s="6" t="inlineStr"/>
      <c r="AB159" s="6" t="inlineStr">
        <is>
          <t>SOURCE</t>
        </is>
      </c>
      <c r="AC159" s="6" t="inlineStr">
        <is>
          <t>n/a (REGISTER E)</t>
        </is>
      </c>
      <c r="AD159" s="6" t="inlineStr">
        <is>
          <t>NEW (repo sweep)</t>
        </is>
      </c>
      <c r="AE159" s="6" t="inlineStr">
        <is>
          <t>2026-10-20</t>
        </is>
      </c>
      <c r="AF159" s="6" t="inlineStr">
        <is>
          <t>this row; ledger README (status DEFERRED)</t>
        </is>
      </c>
      <c r="AG159" s="6" t="inlineStr">
        <is>
          <t>The supervisor or a reviewer asks for evidence on it, or a thesis sentence relies on it</t>
        </is>
      </c>
      <c r="AH159" s="6" t="inlineStr">
        <is>
          <t>No</t>
        </is>
      </c>
      <c r="AI159" s="6" t="inlineStr"/>
      <c r="AJ159" s="6" t="inlineStr">
        <is>
          <t>repo: REGISTER section E / EXT-0004</t>
        </is>
      </c>
      <c r="AK159" s="6" t="inlineStr">
        <is>
          <t>REQ-A1 A8</t>
        </is>
      </c>
      <c r="AL159" s="6" t="inlineStr">
        <is>
          <t>S11</t>
        </is>
      </c>
    </row>
    <row r="160" ht="278" customHeight="1">
      <c r="A160" s="5" t="inlineStr">
        <is>
          <t>AS-10</t>
        </is>
      </c>
      <c r="B160" s="6" t="inlineStr">
        <is>
          <t>Supervisor assertion A10: Synonyms get the same embedding; keyword search is 'a layer before' semantic search</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239</v>
      </c>
      <c r="L160" s="6" t="inlineStr">
        <is>
          <t>W5 Claim-time</t>
        </is>
      </c>
      <c r="M160" s="6" t="inlineStr">
        <is>
          <t>S25</t>
        </is>
      </c>
      <c r="N160" s="6" t="inlineStr">
        <is>
          <t>Lead / team</t>
        </is>
      </c>
      <c r="O160" s="6" t="inlineStr">
        <is>
          <t>low priority; Q-J29 covers the mixed reading</t>
        </is>
      </c>
      <c r="P160" s="6" t="inlineStr">
        <is>
          <t>No</t>
        </is>
      </c>
      <c r="Q160" s="6" t="inlineStr">
        <is>
          <t>Claim to test</t>
        </is>
      </c>
      <c r="R160" s="6" t="inlineStr">
        <is>
          <t>Item</t>
        </is>
      </c>
      <c r="S160" s="6" t="inlineStr"/>
      <c r="T160" s="6" t="inlineStr">
        <is>
          <t>REQ-A1 A10: Synonyms get the same embedding; keyword search is 'a layer before' semantic search. Simplification; low priority.</t>
        </is>
      </c>
      <c r="U160"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0" s="6" t="inlineStr">
        <is>
          <t>Simplification; low priority.</t>
        </is>
      </c>
      <c r="W160" s="6" t="inlineStr"/>
      <c r="X160" s="6" t="inlineStr"/>
      <c r="Y160" s="6" t="inlineStr"/>
      <c r="Z160" s="6" t="inlineStr"/>
      <c r="AA160" s="6" t="inlineStr"/>
      <c r="AB160" s="6" t="inlineStr">
        <is>
          <t>SOURCE</t>
        </is>
      </c>
      <c r="AC160" s="6" t="inlineStr">
        <is>
          <t>n/a (REGISTER E)</t>
        </is>
      </c>
      <c r="AD160" s="6" t="inlineStr">
        <is>
          <t>NEW (repo sweep)</t>
        </is>
      </c>
      <c r="AE160" s="6" t="inlineStr">
        <is>
          <t>2026-10-20</t>
        </is>
      </c>
      <c r="AF160" s="6" t="inlineStr">
        <is>
          <t>FND-0031 (findings/SUM-0033)</t>
        </is>
      </c>
      <c r="AG160" s="6" t="inlineStr"/>
      <c r="AH160" s="6" t="inlineStr">
        <is>
          <t>No</t>
        </is>
      </c>
      <c r="AI160" s="6" t="inlineStr"/>
      <c r="AJ160" s="6" t="inlineStr">
        <is>
          <t>repo: REGISTER section E / EXT-0004</t>
        </is>
      </c>
      <c r="AK160" s="6" t="inlineStr">
        <is>
          <t>REQ-A1 A10</t>
        </is>
      </c>
      <c r="AL160" s="6" t="inlineStr">
        <is>
          <t>S11</t>
        </is>
      </c>
    </row>
    <row r="161" ht="103" customHeight="1">
      <c r="A161" s="5" t="inlineStr">
        <is>
          <t>AS-11</t>
        </is>
      </c>
      <c r="B161" s="6" t="inlineStr">
        <is>
          <t>Supervisor assertion A11: 'Semantic is doing the same thing LLM is doing'</t>
        </is>
      </c>
      <c r="C161" s="6" t="inlineStr">
        <is>
          <t>PARTLY ANSWERED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240</v>
      </c>
      <c r="L161" s="6" t="inlineStr">
        <is>
          <t>W5 Claim-time</t>
        </is>
      </c>
      <c r="M161" s="6" t="inlineStr">
        <is>
          <t>S25</t>
        </is>
      </c>
      <c r="N161" s="6" t="inlineStr">
        <is>
          <t>Lead / team</t>
        </is>
      </c>
      <c r="O161" s="6" t="inlineStr">
        <is>
          <t>low priority; Q-J29 covers it</t>
        </is>
      </c>
      <c r="P161" s="6" t="inlineStr">
        <is>
          <t>No</t>
        </is>
      </c>
      <c r="Q161" s="6" t="inlineStr">
        <is>
          <t>Claim to test</t>
        </is>
      </c>
      <c r="R161" s="6" t="inlineStr">
        <is>
          <t>Item</t>
        </is>
      </c>
      <c r="S161" s="6" t="inlineStr"/>
      <c r="T161" s="6" t="inlineStr">
        <is>
          <t>REQ-A1 A11: 'Semantic is doing the same thing LLM is doing'. Analogy, not an established claim.</t>
        </is>
      </c>
      <c r="U161"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1" s="6" t="inlineStr">
        <is>
          <t>Analogy, not an established claim.</t>
        </is>
      </c>
      <c r="W161" s="6" t="inlineStr"/>
      <c r="X161" s="6" t="inlineStr"/>
      <c r="Y161" s="6" t="inlineStr">
        <is>
          <t>Q-J29</t>
        </is>
      </c>
      <c r="Z161" s="6" t="inlineStr"/>
      <c r="AA161" s="6" t="inlineStr"/>
      <c r="AB161" s="6" t="inlineStr">
        <is>
          <t>SOURCE</t>
        </is>
      </c>
      <c r="AC161" s="6" t="inlineStr">
        <is>
          <t>n/a (REGISTER E)</t>
        </is>
      </c>
      <c r="AD161" s="6" t="inlineStr">
        <is>
          <t>NEW (repo sweep)</t>
        </is>
      </c>
      <c r="AE161" s="6" t="inlineStr">
        <is>
          <t>2026-10-20</t>
        </is>
      </c>
      <c r="AF161" s="6" t="inlineStr">
        <is>
          <t>FND-0031 (findings/SUM-0033); page images complexmcp p7-p8</t>
        </is>
      </c>
      <c r="AG161" s="6" t="inlineStr"/>
      <c r="AH161" s="6" t="inlineStr">
        <is>
          <t>No</t>
        </is>
      </c>
      <c r="AI161" s="6" t="inlineStr"/>
      <c r="AJ161" s="6" t="inlineStr">
        <is>
          <t>repo: REGISTER section E / EXT-0004</t>
        </is>
      </c>
      <c r="AK161" s="6" t="inlineStr">
        <is>
          <t>REQ-A1 A11</t>
        </is>
      </c>
      <c r="AL161" s="6" t="inlineStr">
        <is>
          <t>S11</t>
        </is>
      </c>
    </row>
    <row r="162" ht="240.5" customHeight="1">
      <c r="A162" s="5" t="inlineStr">
        <is>
          <t>C-D12</t>
        </is>
      </c>
      <c r="B162" s="6" t="inlineStr">
        <is>
          <t>Whether to commission a further independent replication track.</t>
        </is>
      </c>
      <c r="C162" s="6" t="inlineStr">
        <is>
          <t>OPEN</t>
        </is>
      </c>
      <c r="D162" s="6">
        <f>IFERROR(INDEX(Lists!$B$2:$B$14,MATCH(C162,Lists!$A$2:$A$14,0)),"?")</f>
        <v/>
      </c>
      <c r="E162" s="6">
        <f>IF(COUNTIFS(Links!$B$2:$B$600,A162,Links!$E$2:$E$600,"Yes")&gt;0,"REVISE","")</f>
        <v/>
      </c>
      <c r="F162" s="6">
        <f>COUNTIFS(Links!$B$2:$B$600,A162,Links!$D$2:$D$600,"No",Links!$C$2:$C$600,"&lt;&gt;INFORMS")</f>
        <v/>
      </c>
      <c r="G162" s="9" t="inlineStr">
        <is>
          <t>USER-DECISION</t>
        </is>
      </c>
      <c r="H162" s="6" t="inlineStr">
        <is>
          <t>K16 Limits &amp; provenance</t>
        </is>
      </c>
      <c r="I162" s="6" t="inlineStr">
        <is>
          <t>G5 Housekeeping / no block</t>
        </is>
      </c>
      <c r="J162" s="6" t="inlineStr">
        <is>
          <t>Low</t>
        </is>
      </c>
      <c r="K162" s="6" t="n">
        <v>241</v>
      </c>
      <c r="L162" s="6" t="inlineStr">
        <is>
          <t>W5 Claim-time</t>
        </is>
      </c>
      <c r="M162" s="6" t="inlineStr">
        <is>
          <t>S25</t>
        </is>
      </c>
      <c r="N162" s="6" t="inlineStr">
        <is>
          <t>You</t>
        </is>
      </c>
      <c r="O162" s="6" t="inlineStr">
        <is>
          <t>You decide (Q-U13, Q-U15)</t>
        </is>
      </c>
      <c r="P162" s="6" t="inlineStr">
        <is>
          <t>n/a</t>
        </is>
      </c>
      <c r="Q162" s="6" t="inlineStr">
        <is>
          <t>Decision</t>
        </is>
      </c>
      <c r="R162" s="6" t="inlineStr">
        <is>
          <t>Item</t>
        </is>
      </c>
      <c r="S162" s="6" t="inlineStr"/>
      <c r="T162" s="6" t="inlineStr">
        <is>
          <t>Whether to commission a further independent replication track.</t>
        </is>
      </c>
      <c r="U162" s="6" t="inlineStr">
        <is>
          <t>Phase 1/2/2b exist outside the repo; this is a separate decision.</t>
        </is>
      </c>
      <c r="V162" s="6" t="inlineStr">
        <is>
          <t>Decide after checking existing Project A evidence.</t>
        </is>
      </c>
      <c r="W162" s="6" t="inlineStr"/>
      <c r="X162" s="6" t="inlineStr"/>
      <c r="Y162" s="6" t="inlineStr">
        <is>
          <t>Q-U13, Q-U15</t>
        </is>
      </c>
      <c r="Z162" s="6" t="inlineStr"/>
      <c r="AA162" s="6" t="inlineStr"/>
      <c r="AB162" s="6" t="inlineStr">
        <is>
          <t>DEC</t>
        </is>
      </c>
      <c r="AC162" s="6" t="inlineStr">
        <is>
          <t>OPEN</t>
        </is>
      </c>
      <c r="AD162" s="6" t="inlineStr">
        <is>
          <t>UNCHANGED</t>
        </is>
      </c>
      <c r="AE162" s="6" t="inlineStr">
        <is>
          <t>2026-10-19</t>
        </is>
      </c>
      <c r="AF162" s="6" t="inlineStr">
        <is>
          <t>STATE; AUTH-007..009</t>
        </is>
      </c>
      <c r="AG162" s="6" t="inlineStr">
        <is>
          <t>After existing Project A evidence is checked</t>
        </is>
      </c>
      <c r="AH162" s="6" t="inlineStr">
        <is>
          <t>No</t>
        </is>
      </c>
      <c r="AI162" s="6" t="inlineStr"/>
      <c r="AJ162" s="6" t="inlineStr">
        <is>
          <t>SRC-11 canonical</t>
        </is>
      </c>
      <c r="AK162" s="6" t="inlineStr">
        <is>
          <t>SRC-06 D15</t>
        </is>
      </c>
      <c r="AL162" s="6" t="inlineStr">
        <is>
          <t>S25</t>
        </is>
      </c>
    </row>
    <row r="163" ht="228" customHeight="1">
      <c r="A163" s="5" t="inlineStr">
        <is>
          <t>C-D14</t>
        </is>
      </c>
      <c r="B163" s="6" t="inlineStr">
        <is>
          <t>Optional dated near-miss-source note: add or decline.</t>
        </is>
      </c>
      <c r="C163" s="6" t="inlineStr">
        <is>
          <t>OPEN</t>
        </is>
      </c>
      <c r="D163" s="6">
        <f>IFERROR(INDEX(Lists!$B$2:$B$14,MATCH(C163,Lists!$A$2:$A$14,0)),"?")</f>
        <v/>
      </c>
      <c r="E163" s="6">
        <f>IF(COUNTIFS(Links!$B$2:$B$600,A163,Links!$E$2:$E$600,"Yes")&gt;0,"REVISE","")</f>
        <v/>
      </c>
      <c r="F163" s="6">
        <f>COUNTIFS(Links!$B$2:$B$600,A163,Links!$D$2:$D$600,"No",Links!$C$2:$C$600,"&lt;&gt;INFORMS")</f>
        <v/>
      </c>
      <c r="G163" s="9" t="inlineStr">
        <is>
          <t>USER-DECISION</t>
        </is>
      </c>
      <c r="H163" s="6" t="inlineStr">
        <is>
          <t>K16 Limits &amp; provenance</t>
        </is>
      </c>
      <c r="I163" s="6" t="inlineStr">
        <is>
          <t>G5 Housekeeping / no block</t>
        </is>
      </c>
      <c r="J163" s="6" t="inlineStr">
        <is>
          <t>Low</t>
        </is>
      </c>
      <c r="K163" s="6" t="n">
        <v>242</v>
      </c>
      <c r="L163" s="6" t="inlineStr">
        <is>
          <t>W5 Claim-time</t>
        </is>
      </c>
      <c r="M163" s="6" t="inlineStr">
        <is>
          <t>S25</t>
        </is>
      </c>
      <c r="N163" s="6" t="inlineStr">
        <is>
          <t>You</t>
        </is>
      </c>
      <c r="O163" s="6" t="inlineStr">
        <is>
          <t>You decide (Q-U16)</t>
        </is>
      </c>
      <c r="P163" s="6" t="inlineStr">
        <is>
          <t>n/a</t>
        </is>
      </c>
      <c r="Q163" s="6" t="inlineStr">
        <is>
          <t>Decision</t>
        </is>
      </c>
      <c r="R163" s="6" t="inlineStr">
        <is>
          <t>Item</t>
        </is>
      </c>
      <c r="S163" s="6" t="inlineStr"/>
      <c r="T163" s="6" t="inlineStr">
        <is>
          <t>Optional dated near-miss-source note: add or decline.</t>
        </is>
      </c>
      <c r="U163" s="6" t="inlineStr">
        <is>
          <t>No decision found.</t>
        </is>
      </c>
      <c r="V163" s="6" t="inlineStr">
        <is>
          <t>Added or explicitly declined.</t>
        </is>
      </c>
      <c r="W163" s="6" t="inlineStr"/>
      <c r="X163" s="6" t="inlineStr"/>
      <c r="Y163" s="6" t="inlineStr">
        <is>
          <t>Q-U16</t>
        </is>
      </c>
      <c r="Z163" s="6" t="inlineStr"/>
      <c r="AA163" s="6" t="inlineStr"/>
      <c r="AB163" s="6" t="inlineStr">
        <is>
          <t>DEC+RECORD</t>
        </is>
      </c>
      <c r="AC163" s="6" t="inlineStr">
        <is>
          <t>OPEN</t>
        </is>
      </c>
      <c r="AD163" s="6" t="inlineStr">
        <is>
          <t>UNCHANGED</t>
        </is>
      </c>
      <c r="AE163" s="6" t="inlineStr">
        <is>
          <t>2026-10-19</t>
        </is>
      </c>
      <c r="AF163" s="6" t="inlineStr">
        <is>
          <t>not found</t>
        </is>
      </c>
      <c r="AG163" s="6" t="inlineStr">
        <is>
          <t>Before the final literature audit</t>
        </is>
      </c>
      <c r="AH163" s="6" t="inlineStr">
        <is>
          <t>No</t>
        </is>
      </c>
      <c r="AI163" s="6" t="inlineStr"/>
      <c r="AJ163" s="6" t="inlineStr">
        <is>
          <t>SRC-11 canonical</t>
        </is>
      </c>
      <c r="AK163" s="6" t="inlineStr">
        <is>
          <t>SRC-06 D17</t>
        </is>
      </c>
      <c r="AL163" s="6" t="inlineStr">
        <is>
          <t>S25</t>
        </is>
      </c>
    </row>
    <row r="164" ht="28" customHeight="1">
      <c r="A164" s="5" t="inlineStr">
        <is>
          <t>C-P01</t>
        </is>
      </c>
      <c r="B164" s="6" t="inlineStr">
        <is>
          <t>Aborted launch attempts are provenance, not findings; two copied thesis workspaces remain in the parent tree.</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244</v>
      </c>
      <c r="L164" s="6" t="inlineStr">
        <is>
          <t>W5 Claim-time</t>
        </is>
      </c>
      <c r="M164" s="6" t="inlineStr">
        <is>
          <t>S25</t>
        </is>
      </c>
      <c r="N164" s="6" t="inlineStr">
        <is>
          <t>You</t>
        </is>
      </c>
      <c r="O164" s="6" t="inlineStr">
        <is>
          <t>You decide (Q-U17)</t>
        </is>
      </c>
      <c r="P164" s="6" t="inlineStr">
        <is>
          <t>No</t>
        </is>
      </c>
      <c r="Q164" s="6" t="inlineStr">
        <is>
          <t>Decision</t>
        </is>
      </c>
      <c r="R164" s="6" t="inlineStr">
        <is>
          <t>Item</t>
        </is>
      </c>
      <c r="S164" s="6" t="inlineStr"/>
      <c r="T164" s="6" t="inlineStr">
        <is>
          <t>Aborted launch attempts are provenance, not findings; two copied thesis workspaces remain in the parent tree.</t>
        </is>
      </c>
      <c r="U164" s="6" t="inlineStr">
        <is>
          <t>Outside the repo.</t>
        </is>
      </c>
      <c r="V164" s="6" t="inlineStr">
        <is>
          <t>Keep/move/remove decided; provenance preserved.</t>
        </is>
      </c>
      <c r="W164" s="6" t="inlineStr"/>
      <c r="X164" s="6" t="inlineStr"/>
      <c r="Y164" s="6" t="inlineStr">
        <is>
          <t>Q-U17</t>
        </is>
      </c>
      <c r="Z164" s="6" t="inlineStr">
        <is>
          <t>ACCEPT-LIMITATION</t>
        </is>
      </c>
      <c r="AA164" s="6" t="inlineStr"/>
      <c r="AB164" s="6" t="inlineStr">
        <is>
          <t>RECORD+DEC</t>
        </is>
      </c>
      <c r="AC164" s="6" t="inlineStr">
        <is>
          <t>BOUNDARY - OPEN</t>
        </is>
      </c>
      <c r="AD164" s="6" t="inlineStr">
        <is>
          <t>UNCHANGED</t>
        </is>
      </c>
      <c r="AE164" s="6" t="inlineStr">
        <is>
          <t>2026-10-19</t>
        </is>
      </c>
      <c r="AF164" s="6" t="inlineStr">
        <is>
          <t>SRC-11 C-P01</t>
        </is>
      </c>
      <c r="AG164" s="6" t="inlineStr"/>
      <c r="AH164" s="6" t="inlineStr">
        <is>
          <t>No</t>
        </is>
      </c>
      <c r="AI164" s="6" t="inlineStr"/>
      <c r="AJ164" s="6" t="inlineStr">
        <is>
          <t>SRC-11 canonical</t>
        </is>
      </c>
      <c r="AK164" s="6" t="inlineStr">
        <is>
          <t>SRC-06 P01-P02</t>
        </is>
      </c>
      <c r="AL164" s="6" t="inlineStr">
        <is>
          <t>S25</t>
        </is>
      </c>
    </row>
    <row r="165" ht="28" customHeight="1">
      <c r="A165" s="5" t="inlineStr">
        <is>
          <t>C-P01/P01</t>
        </is>
      </c>
      <c r="B165" s="6" t="inlineStr">
        <is>
          <t>Four aborted/unfinished launch attempts</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245</v>
      </c>
      <c r="L165" s="6" t="inlineStr">
        <is>
          <t>W5 Claim-time</t>
        </is>
      </c>
      <c r="M165" s="6" t="inlineStr">
        <is>
          <t>S25</t>
        </is>
      </c>
      <c r="N165" s="6" t="inlineStr">
        <is>
          <t>You</t>
        </is>
      </c>
      <c r="O165" s="6" t="inlineStr">
        <is>
          <t>You decide (Q-U17)</t>
        </is>
      </c>
      <c r="P165" s="6" t="inlineStr">
        <is>
          <t>No</t>
        </is>
      </c>
      <c r="Q165" s="6" t="inlineStr">
        <is>
          <t>Record fix</t>
        </is>
      </c>
      <c r="R165" s="6" t="inlineStr">
        <is>
          <t>Sub-item</t>
        </is>
      </c>
      <c r="S165" s="6" t="inlineStr">
        <is>
          <t>C-P01</t>
        </is>
      </c>
      <c r="T165" s="6" t="inlineStr">
        <is>
          <t>SRC-06 P01: four aborted or unfinished launch attempts are provenance, not independent findings.</t>
        </is>
      </c>
      <c r="U165" s="6" t="inlineStr">
        <is>
          <t>Outside the repo.</t>
        </is>
      </c>
      <c r="V165" s="6" t="inlineStr">
        <is>
          <t>Repaired or disclosed.</t>
        </is>
      </c>
      <c r="W165" s="6" t="inlineStr"/>
      <c r="X165" s="6" t="inlineStr"/>
      <c r="Y165" s="6" t="inlineStr">
        <is>
          <t>Q-U17</t>
        </is>
      </c>
      <c r="Z165" s="6" t="inlineStr"/>
      <c r="AA165" s="6" t="inlineStr"/>
      <c r="AB165" s="6" t="inlineStr">
        <is>
          <t>RECORD+DEC</t>
        </is>
      </c>
      <c r="AC165" s="6" t="inlineStr">
        <is>
          <t>n/a (sub-item)</t>
        </is>
      </c>
      <c r="AD165" s="6" t="inlineStr">
        <is>
          <t>NEW (SRC-11 sub-row)</t>
        </is>
      </c>
      <c r="AE165" s="6" t="inlineStr">
        <is>
          <t>2026-10-19</t>
        </is>
      </c>
      <c r="AF165" s="6" t="inlineStr">
        <is>
          <t>Outside repo (SRC-11 D5)</t>
        </is>
      </c>
      <c r="AG165" s="6" t="inlineStr"/>
      <c r="AH165" s="6" t="inlineStr">
        <is>
          <t>No</t>
        </is>
      </c>
      <c r="AI165" s="6" t="inlineStr"/>
      <c r="AJ165" s="6" t="inlineStr">
        <is>
          <t>SRC-11 section D5</t>
        </is>
      </c>
      <c r="AK165" s="6" t="inlineStr">
        <is>
          <t>SRC-06 P01</t>
        </is>
      </c>
      <c r="AL165" s="6" t="inlineStr">
        <is>
          <t>S25</t>
        </is>
      </c>
    </row>
    <row r="166" ht="40.5" customHeight="1">
      <c r="A166" s="5" t="inlineStr">
        <is>
          <t>C-P01/P02</t>
        </is>
      </c>
      <c r="B166" s="6" t="inlineStr">
        <is>
          <t>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246</v>
      </c>
      <c r="L166" s="6" t="inlineStr">
        <is>
          <t>W5 Claim-time</t>
        </is>
      </c>
      <c r="M166" s="6" t="inlineStr">
        <is>
          <t>S25</t>
        </is>
      </c>
      <c r="N166" s="6" t="inlineStr">
        <is>
          <t>You</t>
        </is>
      </c>
      <c r="O166" s="6" t="inlineStr">
        <is>
          <t>You decide (Q-U17)</t>
        </is>
      </c>
      <c r="P166" s="6" t="inlineStr">
        <is>
          <t>No</t>
        </is>
      </c>
      <c r="Q166" s="6" t="inlineStr">
        <is>
          <t>Record fix</t>
        </is>
      </c>
      <c r="R166" s="6" t="inlineStr">
        <is>
          <t>Sub-item</t>
        </is>
      </c>
      <c r="S166" s="6" t="inlineStr">
        <is>
          <t>C-P01</t>
        </is>
      </c>
      <c r="T166" s="6" t="inlineStr">
        <is>
          <t>SRC-06 P02: two copied thesis workspaces remain in the parent tree; moving them cannot retroactively create independence.</t>
        </is>
      </c>
      <c r="U166" s="6" t="inlineStr">
        <is>
          <t>Outside the repo.</t>
        </is>
      </c>
      <c r="V166" s="6" t="inlineStr">
        <is>
          <t>Repaired or disclosed.</t>
        </is>
      </c>
      <c r="W166" s="6" t="inlineStr"/>
      <c r="X166" s="6" t="inlineStr"/>
      <c r="Y166" s="6" t="inlineStr">
        <is>
          <t>Q-U17</t>
        </is>
      </c>
      <c r="Z166" s="6" t="inlineStr"/>
      <c r="AA166" s="6" t="inlineStr"/>
      <c r="AB166" s="6" t="inlineStr">
        <is>
          <t>RECORD+DEC</t>
        </is>
      </c>
      <c r="AC166" s="6" t="inlineStr">
        <is>
          <t>n/a (sub-item)</t>
        </is>
      </c>
      <c r="AD166" s="6" t="inlineStr">
        <is>
          <t>NEW (SRC-11 sub-row)</t>
        </is>
      </c>
      <c r="AE166" s="6" t="inlineStr">
        <is>
          <t>2026-10-19</t>
        </is>
      </c>
      <c r="AF166" s="6" t="inlineStr">
        <is>
          <t>Outside repo (SRC-11 D5)</t>
        </is>
      </c>
      <c r="AG166" s="6" t="inlineStr"/>
      <c r="AH166" s="6" t="inlineStr">
        <is>
          <t>No</t>
        </is>
      </c>
      <c r="AI166" s="6" t="inlineStr"/>
      <c r="AJ166" s="6" t="inlineStr">
        <is>
          <t>SRC-11 section D5</t>
        </is>
      </c>
      <c r="AK166" s="6" t="inlineStr">
        <is>
          <t>SRC-06 P02</t>
        </is>
      </c>
      <c r="AL166" s="6" t="inlineStr">
        <is>
          <t>S25</t>
        </is>
      </c>
    </row>
    <row r="167" ht="28" customHeight="1">
      <c r="A167" s="5" t="inlineStr">
        <is>
          <t>C-P02</t>
        </is>
      </c>
      <c r="B167" s="6" t="inlineStr">
        <is>
          <t>Hash gaps, wrong boilerplate, same-model/operator/source risk, asymmetric coverage in the independent track.</t>
        </is>
      </c>
      <c r="C167" s="6" t="inlineStr">
        <is>
          <t>PARTLY ANSWERED</t>
        </is>
      </c>
      <c r="D167" s="6">
        <f>IFERROR(INDEX(Lists!$B$2:$B$14,MATCH(C167,Lists!$A$2:$A$14,0)),"?")</f>
        <v/>
      </c>
      <c r="E167" s="6">
        <f>IF(COUNTIFS(Links!$B$2:$B$600,A167,Links!$E$2:$E$600,"Yes")&gt;0,"REVISE","")</f>
        <v/>
      </c>
      <c r="F167" s="6">
        <f>COUNTIFS(Links!$B$2:$B$600,A167,Links!$D$2:$D$600,"No",Links!$C$2:$C$600,"&lt;&gt;INFORMS")</f>
        <v/>
      </c>
      <c r="G167" s="8" t="inlineStr">
        <is>
          <t>RECORDS-AT-HAND</t>
        </is>
      </c>
      <c r="H167" s="6" t="inlineStr">
        <is>
          <t>K16 Limits &amp; provenance</t>
        </is>
      </c>
      <c r="I167" s="6" t="inlineStr">
        <is>
          <t>G5 Housekeeping / no block</t>
        </is>
      </c>
      <c r="J167" s="6" t="inlineStr">
        <is>
          <t>Low</t>
        </is>
      </c>
      <c r="K167" s="6" t="n">
        <v>247</v>
      </c>
      <c r="L167" s="6" t="inlineStr">
        <is>
          <t>W5 Claim-time</t>
        </is>
      </c>
      <c r="M167" s="6" t="inlineStr">
        <is>
          <t>S25</t>
        </is>
      </c>
      <c r="N167" s="6" t="inlineStr">
        <is>
          <t>You</t>
        </is>
      </c>
      <c r="O167" s="6" t="inlineStr">
        <is>
          <t>Repairs P03, P04, P06, P10 need the human (files outside the repo)</t>
        </is>
      </c>
      <c r="P167" s="6" t="inlineStr">
        <is>
          <t>No</t>
        </is>
      </c>
      <c r="Q167" s="6" t="inlineStr">
        <is>
          <t>Record fix</t>
        </is>
      </c>
      <c r="R167" s="6" t="inlineStr">
        <is>
          <t>Item</t>
        </is>
      </c>
      <c r="S167" s="6" t="inlineStr"/>
      <c r="T167" s="6" t="inlineStr">
        <is>
          <t>Hash gaps, wrong boilerplate, same-model/operator/source risk, asymmetric coverage in the independent track.</t>
        </is>
      </c>
      <c r="U167"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7" s="6" t="inlineStr">
        <is>
          <t>Repairs made where cheap; independence claims qualified.</t>
        </is>
      </c>
      <c r="W167" s="6" t="inlineStr"/>
      <c r="X167" s="6" t="inlineStr"/>
      <c r="Y167" s="6" t="inlineStr">
        <is>
          <t>Q-U20</t>
        </is>
      </c>
      <c r="Z167" s="6" t="inlineStr">
        <is>
          <t>ACCEPT-LIMITATION</t>
        </is>
      </c>
      <c r="AA167" s="6" t="inlineStr"/>
      <c r="AB167" s="6" t="inlineStr">
        <is>
          <t>RECORD+BOUND</t>
        </is>
      </c>
      <c r="AC167" s="6" t="inlineStr">
        <is>
          <t>BOUNDARY - OPEN</t>
        </is>
      </c>
      <c r="AD167" s="6" t="inlineStr">
        <is>
          <t>UNCHANGED</t>
        </is>
      </c>
      <c r="AE167" s="6" t="inlineStr">
        <is>
          <t>2026-10-20</t>
        </is>
      </c>
      <c r="AF167" s="6" t="inlineStr">
        <is>
          <t>Questions Q-U20; chat message of 2026-10-20</t>
        </is>
      </c>
      <c r="AG167" s="6" t="inlineStr"/>
      <c r="AH167" s="6" t="inlineStr">
        <is>
          <t>No</t>
        </is>
      </c>
      <c r="AI167" s="6" t="inlineStr"/>
      <c r="AJ167" s="6" t="inlineStr">
        <is>
          <t>SRC-11 canonical</t>
        </is>
      </c>
      <c r="AK167" s="6" t="inlineStr">
        <is>
          <t>SRC-06 P03-P10</t>
        </is>
      </c>
      <c r="AL167" s="6" t="inlineStr">
        <is>
          <t>S25</t>
        </is>
      </c>
    </row>
    <row r="168" ht="28" customHeight="1">
      <c r="A168" s="5" t="inlineStr">
        <is>
          <t>C-P02/P03</t>
        </is>
      </c>
      <c r="B168" s="6" t="inlineStr">
        <is>
          <t>Incomplete externally held hashes</t>
        </is>
      </c>
      <c r="C168" s="6" t="inlineStr">
        <is>
          <t>OPEN</t>
        </is>
      </c>
      <c r="D168" s="6">
        <f>IFERROR(INDEX(Lists!$B$2:$B$14,MATCH(C168,Lists!$A$2:$A$14,0)),"?")</f>
        <v/>
      </c>
      <c r="E168" s="6">
        <f>IF(COUNTIFS(Links!$B$2:$B$600,A168,Links!$E$2:$E$600,"Yes")&gt;0,"REVISE","")</f>
        <v/>
      </c>
      <c r="F168" s="6">
        <f>COUNTIFS(Links!$B$2:$B$600,A168,Links!$D$2:$D$600,"No",Links!$C$2:$C$600,"&lt;&gt;INFORMS")</f>
        <v/>
      </c>
      <c r="G168" s="8" t="inlineStr">
        <is>
          <t>RECORDS-AT-HAND</t>
        </is>
      </c>
      <c r="H168" s="6" t="inlineStr">
        <is>
          <t>K16 Limits &amp; provenance</t>
        </is>
      </c>
      <c r="I168" s="6" t="inlineStr">
        <is>
          <t>G5 Housekeeping / no block</t>
        </is>
      </c>
      <c r="J168" s="6" t="inlineStr">
        <is>
          <t>Low</t>
        </is>
      </c>
      <c r="K168" s="6" t="n">
        <v>248</v>
      </c>
      <c r="L168" s="6" t="inlineStr">
        <is>
          <t>W5 Claim-time</t>
        </is>
      </c>
      <c r="M168" s="6" t="inlineStr">
        <is>
          <t>S25</t>
        </is>
      </c>
      <c r="N168" s="6" t="inlineStr">
        <is>
          <t>You</t>
        </is>
      </c>
      <c r="O168" s="6" t="inlineStr">
        <is>
          <t>Lead drafts the fix; you approve</t>
        </is>
      </c>
      <c r="P168" s="6" t="inlineStr">
        <is>
          <t>No</t>
        </is>
      </c>
      <c r="Q168" s="6" t="inlineStr">
        <is>
          <t>Record fix</t>
        </is>
      </c>
      <c r="R168" s="6" t="inlineStr">
        <is>
          <t>Sub-item</t>
        </is>
      </c>
      <c r="S168" s="6" t="inlineStr">
        <is>
          <t>C-P02</t>
        </is>
      </c>
      <c r="T168" s="6" t="inlineStr">
        <is>
          <t>SRC-06 P03: externally held hashes are incomplete.</t>
        </is>
      </c>
      <c r="U168" s="6" t="inlineStr">
        <is>
          <t>Outside the repo.</t>
        </is>
      </c>
      <c r="V168" s="6" t="inlineStr">
        <is>
          <t>Repaired or disclosed.</t>
        </is>
      </c>
      <c r="W168" s="6" t="inlineStr"/>
      <c r="X168" s="6" t="inlineStr"/>
      <c r="Y168" s="6" t="inlineStr"/>
      <c r="Z168" s="6" t="inlineStr"/>
      <c r="AA168" s="6" t="inlineStr"/>
      <c r="AB168" s="6" t="inlineStr">
        <is>
          <t>RECORD</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P03</t>
        </is>
      </c>
      <c r="AL168" s="6" t="inlineStr">
        <is>
          <t>S25</t>
        </is>
      </c>
    </row>
    <row r="169" ht="140.5" customHeight="1">
      <c r="A169" s="5" t="inlineStr">
        <is>
          <t>C-P02/P04</t>
        </is>
      </c>
      <c r="B169" s="6" t="inlineStr">
        <is>
          <t>Wrong freeze boilerplate; missing authorizations in inspected files</t>
        </is>
      </c>
      <c r="C169" s="6" t="inlineStr">
        <is>
          <t>OPEN</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249</v>
      </c>
      <c r="L169" s="6" t="inlineStr">
        <is>
          <t>W5 Claim-time</t>
        </is>
      </c>
      <c r="M169" s="6" t="inlineStr">
        <is>
          <t>S25</t>
        </is>
      </c>
      <c r="N169" s="6" t="inlineStr">
        <is>
          <t>You</t>
        </is>
      </c>
      <c r="O169" s="6" t="inlineStr">
        <is>
          <t>Lead drafts the fix; you approve</t>
        </is>
      </c>
      <c r="P169" s="6" t="inlineStr">
        <is>
          <t>No</t>
        </is>
      </c>
      <c r="Q169" s="6" t="inlineStr">
        <is>
          <t>Record fix</t>
        </is>
      </c>
      <c r="R169" s="6" t="inlineStr">
        <is>
          <t>Sub-item</t>
        </is>
      </c>
      <c r="S169" s="6" t="inlineStr">
        <is>
          <t>C-P02</t>
        </is>
      </c>
      <c r="T169" s="6" t="inlineStr">
        <is>
          <t>SRC-06 P04: wrong freeze boilerplate and missing authorizations in inspected files.</t>
        </is>
      </c>
      <c r="U169" s="6" t="inlineStr">
        <is>
          <t>Outside the repo.</t>
        </is>
      </c>
      <c r="V169" s="6" t="inlineStr">
        <is>
          <t>Repaired or disclosed.</t>
        </is>
      </c>
      <c r="W169" s="6" t="inlineStr"/>
      <c r="X169" s="6" t="inlineStr"/>
      <c r="Y169" s="6" t="inlineStr"/>
      <c r="Z169" s="6" t="inlineStr"/>
      <c r="AA169" s="6" t="inlineStr"/>
      <c r="AB169" s="6" t="inlineStr">
        <is>
          <t>RECORD</t>
        </is>
      </c>
      <c r="AC169" s="6" t="inlineStr">
        <is>
          <t>n/a (sub-item)</t>
        </is>
      </c>
      <c r="AD169" s="6" t="inlineStr">
        <is>
          <t>NEW (SRC-11 sub-row)</t>
        </is>
      </c>
      <c r="AE169" s="6" t="inlineStr">
        <is>
          <t>2026-10-19</t>
        </is>
      </c>
      <c r="AF169" s="6" t="inlineStr">
        <is>
          <t>Outside repo (SRC-11 D5)</t>
        </is>
      </c>
      <c r="AG169" s="6" t="inlineStr"/>
      <c r="AH169" s="6" t="inlineStr">
        <is>
          <t>No</t>
        </is>
      </c>
      <c r="AI169" s="6" t="inlineStr"/>
      <c r="AJ169" s="6" t="inlineStr">
        <is>
          <t>SRC-11 section D5</t>
        </is>
      </c>
      <c r="AK169" s="6" t="inlineStr">
        <is>
          <t>SRC-06 P04</t>
        </is>
      </c>
      <c r="AL169" s="6" t="inlineStr">
        <is>
          <t>S25</t>
        </is>
      </c>
    </row>
    <row r="170" ht="28" customHeight="1">
      <c r="A170" s="5" t="inlineStr">
        <is>
          <t>C-P02/P06</t>
        </is>
      </c>
      <c r="B170" s="6" t="inlineStr">
        <is>
          <t>Two out-of-folder reads lacking a human check</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251</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P06: two out-of-folder reads occurred without a human check.</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P06</t>
        </is>
      </c>
      <c r="AL170" s="6" t="inlineStr">
        <is>
          <t>S25</t>
        </is>
      </c>
    </row>
    <row r="171" ht="28" customHeight="1">
      <c r="A171" s="5" t="inlineStr">
        <is>
          <t>C-P02/P10</t>
        </is>
      </c>
      <c r="B171" s="6" t="inlineStr">
        <is>
          <t>Small glyph/denominator/extract limits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255</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P10: small glyph, denominator and extract limits.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P10</t>
        </is>
      </c>
      <c r="AL171" s="6" t="inlineStr">
        <is>
          <t>S25</t>
        </is>
      </c>
    </row>
    <row r="172" ht="28" customHeight="1">
      <c r="A172" s="5" t="inlineStr">
        <is>
          <t>C-P03</t>
        </is>
      </c>
      <c r="B172" s="6" t="inlineStr">
        <is>
          <t>First-session reconciliation not executed; safeguards untested; evidence ledger partly spot-checked; ASR pr...</t>
        </is>
      </c>
      <c r="C172" s="6" t="inlineStr">
        <is>
          <t>OPEN</t>
        </is>
      </c>
      <c r="D172" s="6">
        <f>IFERROR(INDEX(Lists!$B$2:$B$14,MATCH(C172,Lists!$A$2:$A$14,0)),"?")</f>
        <v/>
      </c>
      <c r="E172" s="6">
        <f>IF(COUNTIFS(Links!$B$2:$B$600,A172,Links!$E$2:$E$600,"Yes")&gt;0,"REVISE","")</f>
        <v/>
      </c>
      <c r="F172" s="6">
        <f>COUNTIFS(Links!$B$2:$B$600,A172,Links!$D$2:$D$600,"No",Links!$C$2:$C$600,"&lt;&gt;INFORMS")</f>
        <v/>
      </c>
      <c r="G172" s="9" t="inlineStr">
        <is>
          <t>USER-DECISION</t>
        </is>
      </c>
      <c r="H172" s="6" t="inlineStr">
        <is>
          <t>K16 Limits &amp; provenance</t>
        </is>
      </c>
      <c r="I172" s="6" t="inlineStr">
        <is>
          <t>G5 Housekeeping / no block</t>
        </is>
      </c>
      <c r="J172" s="6" t="inlineStr">
        <is>
          <t>Low</t>
        </is>
      </c>
      <c r="K172" s="6" t="n">
        <v>256</v>
      </c>
      <c r="L172" s="6" t="inlineStr">
        <is>
          <t>W5 Claim-time</t>
        </is>
      </c>
      <c r="M172" s="6" t="inlineStr">
        <is>
          <t>S25</t>
        </is>
      </c>
      <c r="N172" s="6" t="inlineStr">
        <is>
          <t>You</t>
        </is>
      </c>
      <c r="O172" s="6" t="inlineStr">
        <is>
          <t>You decide (Q-U03)</t>
        </is>
      </c>
      <c r="P172" s="6" t="inlineStr">
        <is>
          <t>No</t>
        </is>
      </c>
      <c r="Q172" s="6" t="inlineStr">
        <is>
          <t>Decision</t>
        </is>
      </c>
      <c r="R172" s="6" t="inlineStr">
        <is>
          <t>Item</t>
        </is>
      </c>
      <c r="S172" s="6" t="inlineStr"/>
      <c r="T172" s="6" t="inlineStr">
        <is>
          <t>First-session reconciliation not executed; safeguards untested; evidence ledger partly spot-checked; ASR provenance.</t>
        </is>
      </c>
      <c r="U172" s="6" t="inlineStr">
        <is>
          <t>Reconciliation still out of scope until a separate authorization.</t>
        </is>
      </c>
      <c r="V172" s="6" t="inlineStr">
        <is>
          <t>Reconciliation run only with Project A records and an AUTH; safeguards tested or accepted.</t>
        </is>
      </c>
      <c r="W172" s="6" t="inlineStr"/>
      <c r="X172" s="6" t="inlineStr">
        <is>
          <t>C-D11</t>
        </is>
      </c>
      <c r="Y172" s="6" t="inlineStr">
        <is>
          <t>Q-U03</t>
        </is>
      </c>
      <c r="Z172" s="6" t="inlineStr">
        <is>
          <t>RECORDS-AT-HAND</t>
        </is>
      </c>
      <c r="AA172" s="6" t="inlineStr">
        <is>
          <t>K0 Earlier results</t>
        </is>
      </c>
      <c r="AB172" s="6" t="inlineStr">
        <is>
          <t>ACCESS+RECORD+DEC</t>
        </is>
      </c>
      <c r="AC172" s="6" t="inlineStr">
        <is>
          <t>BOUNDARY - OPEN</t>
        </is>
      </c>
      <c r="AD172" s="6" t="inlineStr">
        <is>
          <t>UNCHANGED</t>
        </is>
      </c>
      <c r="AE172" s="6" t="inlineStr">
        <is>
          <t>2026-10-19</t>
        </is>
      </c>
      <c r="AF172" s="6" t="inlineStr">
        <is>
          <t>CLAUDE.md; CAVEATS row 14</t>
        </is>
      </c>
      <c r="AG172" s="6" t="inlineStr"/>
      <c r="AH172" s="6" t="inlineStr">
        <is>
          <t>Yes (reconciliation)</t>
        </is>
      </c>
      <c r="AI172" s="6" t="inlineStr"/>
      <c r="AJ172" s="6" t="inlineStr">
        <is>
          <t>SRC-11 canonical</t>
        </is>
      </c>
      <c r="AK172" s="6" t="inlineStr">
        <is>
          <t>SRC-06 P11-P14</t>
        </is>
      </c>
      <c r="AL172" s="6" t="inlineStr">
        <is>
          <t>S25</t>
        </is>
      </c>
    </row>
    <row r="173" ht="28" customHeight="1">
      <c r="A173" s="5" t="inlineStr">
        <is>
          <t>C-P03/P13</t>
        </is>
      </c>
      <c r="B173" s="6" t="inlineStr">
        <is>
          <t>Evidence ledger only partly spot-checked</t>
        </is>
      </c>
      <c r="C173" s="6" t="inlineStr">
        <is>
          <t>PARTLY ANSWERED</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257</v>
      </c>
      <c r="L173" s="6" t="inlineStr">
        <is>
          <t>W5 Claim-time</t>
        </is>
      </c>
      <c r="M173" s="6" t="inlineStr">
        <is>
          <t>S25</t>
        </is>
      </c>
      <c r="N173" s="6" t="inlineStr">
        <is>
          <t>You</t>
        </is>
      </c>
      <c r="O173" s="6" t="inlineStr">
        <is>
          <t>Lead drafts the fix; you approve</t>
        </is>
      </c>
      <c r="P173" s="6" t="inlineStr">
        <is>
          <t>Partly</t>
        </is>
      </c>
      <c r="Q173" s="6" t="inlineStr">
        <is>
          <t>Record fix</t>
        </is>
      </c>
      <c r="R173" s="6" t="inlineStr">
        <is>
          <t>Sub-item</t>
        </is>
      </c>
      <c r="S173" s="6" t="inlineStr">
        <is>
          <t>C-P03</t>
        </is>
      </c>
      <c r="T173" s="6" t="inlineStr">
        <is>
          <t>SRC-06 P13: the evidence ledger was partly spot-checked.</t>
        </is>
      </c>
      <c r="U173" s="6" t="inlineStr">
        <is>
          <t>Hash integrity is checked mechanically; content was not verified.</t>
        </is>
      </c>
      <c r="V173" s="6" t="inlineStr">
        <is>
          <t>Repaired or disclosed.</t>
        </is>
      </c>
      <c r="W173" s="6" t="inlineStr"/>
      <c r="X173" s="6" t="inlineStr"/>
      <c r="Y173" s="6" t="inlineStr"/>
      <c r="Z173" s="6" t="inlineStr"/>
      <c r="AA173" s="6" t="inlineStr"/>
      <c r="AB173" s="6" t="inlineStr">
        <is>
          <t>RECORD+DEC</t>
        </is>
      </c>
      <c r="AC173" s="6" t="inlineStr">
        <is>
          <t>n/a (sub-item)</t>
        </is>
      </c>
      <c r="AD173" s="6" t="inlineStr">
        <is>
          <t>NEW (SRC-11 sub-row)</t>
        </is>
      </c>
      <c r="AE173" s="6" t="inlineStr">
        <is>
          <t>2026-10-19</t>
        </is>
      </c>
      <c r="AF173" s="6" t="inlineStr">
        <is>
          <t>verify_workspace.py (hash integrity, pass 875)</t>
        </is>
      </c>
      <c r="AG173" s="6" t="inlineStr"/>
      <c r="AH173" s="6" t="inlineStr">
        <is>
          <t>Yes (reconciliation)</t>
        </is>
      </c>
      <c r="AI173" s="6" t="inlineStr"/>
      <c r="AJ173" s="6" t="inlineStr">
        <is>
          <t>SRC-11 section D5</t>
        </is>
      </c>
      <c r="AK173" s="6" t="inlineStr">
        <is>
          <t>SRC-06 P13</t>
        </is>
      </c>
      <c r="AL173" s="6" t="inlineStr">
        <is>
          <t>S25</t>
        </is>
      </c>
    </row>
    <row r="174" ht="40.5" customHeight="1">
      <c r="A174" s="5" t="inlineStr">
        <is>
          <t>N-31</t>
        </is>
      </c>
      <c r="B174" s="6" t="inlineStr">
        <is>
          <t>University API: cache fields and which tool mechanisms pass through (HYP-0020)</t>
        </is>
      </c>
      <c r="C174" s="6" t="inlineStr">
        <is>
          <t>PARTLY ANSWERED</t>
        </is>
      </c>
      <c r="D174" s="6">
        <f>IFERROR(INDEX(Lists!$B$2:$B$14,MATCH(C174,Lists!$A$2:$A$14,0)),"?")</f>
        <v/>
      </c>
      <c r="E174" s="6">
        <f>IF(COUNTIFS(Links!$B$2:$B$600,A174,Links!$E$2:$E$600,"Yes")&gt;0,"REVISE","")</f>
        <v/>
      </c>
      <c r="F174" s="6">
        <f>COUNTIFS(Links!$B$2:$B$600,A174,Links!$D$2:$D$600,"No",Links!$C$2:$C$600,"&lt;&gt;INFORMS")</f>
        <v/>
      </c>
      <c r="G174" s="9" t="inlineStr">
        <is>
          <t>RECORDS-AT-HAND</t>
        </is>
      </c>
      <c r="H174" s="6" t="inlineStr">
        <is>
          <t>K9 Cache &amp; billing</t>
        </is>
      </c>
      <c r="I174" s="6" t="inlineStr">
        <is>
          <t>G2 Before the affected pilot/arm</t>
        </is>
      </c>
      <c r="J174" s="6" t="inlineStr">
        <is>
          <t>Normal</t>
        </is>
      </c>
      <c r="K174" s="6" t="n"/>
      <c r="L174" s="6" t="n"/>
      <c r="M174" s="6" t="n"/>
      <c r="N174" s="6" t="inlineStr">
        <is>
          <t>Lead; you decide</t>
        </is>
      </c>
      <c r="O174" s="6" t="inlineStr">
        <is>
          <t>Second probe: the human runs design/package-v5/tools/p0_api_probe_v2.py (changed tools array, tool calling at max_tokens 400, an absent tool)</t>
        </is>
      </c>
      <c r="P174" s="6" t="n"/>
      <c r="Q174" s="6" t="inlineStr">
        <is>
          <t>Scientific unknown</t>
        </is>
      </c>
      <c r="R174" s="6" t="inlineStr">
        <is>
          <t>Item</t>
        </is>
      </c>
      <c r="S174" s="6" t="n"/>
      <c r="T174" s="6" t="inlineStr">
        <is>
          <t>Whether the university API reports cache writes and reads and honours allowed_tools</t>
        </is>
      </c>
      <c r="U174" s="6" t="inlineStr">
        <is>
          <t>P0 part 1 (2026-10-22): open-weight chat models with tool support, embedding and rerank models, endpoint /v1/ (L/v5-scads-llm-state-20261022.json; L/v5-tud-selfservice-scads-llm-20261022.txt:46); no Anthropic or OpenAI models, so the client-side route applies | V5 2026-10-27: six models: cache counters (cached_tokens, created_cache_tokens) and reasoning_tokens reported; prefix cache partial and block-wise (59-99.7% on a repeat), kept on an appended turn; allowed_tools rejected (HTTP 400, LiteLLM proxy); GLM-5.3 limited to 2 requests; tool calling not shown; no prices | V5 2026-10-27: cache lived at least about 75 minutes on gpt-oss, MiniMax-M3 and GLM-5.3 (first request of the second probe was already cached from the first probe, if no run intervened); MiniMax-M3 re-creates a 128-token block on every request; no prices | V5 2026-10-27: cache lifetime: at least about 75 minutes on gpt-oss-120b, MiniMax-M3 and GLM-5.3; the base prefix was gone after about 5 hours on gpt-oss-120b and MiniMax-M3 and still cached after about 5.5 hours on GLM-5.3 (if nobody touched it in between)</t>
        </is>
      </c>
      <c r="V174" s="6" t="inlineStr">
        <is>
          <t>One keyed request pair per model read</t>
        </is>
      </c>
      <c r="W174" s="6" t="n"/>
      <c r="X174" s="6" t="n"/>
      <c r="Y174" s="6" t="inlineStr">
        <is>
          <t>Q-U33</t>
        </is>
      </c>
      <c r="Z174" s="6" t="n"/>
      <c r="AA174" s="6" t="n"/>
      <c r="AB174" s="6" t="n"/>
      <c r="AC174" s="6" t="n"/>
      <c r="AD174" s="6" t="inlineStr">
        <is>
          <t>NEW (V5, 2026-10-22)</t>
        </is>
      </c>
      <c r="AE174" s="6" t="inlineStr">
        <is>
          <t>2026-10-27</t>
        </is>
      </c>
      <c r="AF174" s="6" t="inlineStr">
        <is>
          <t>design/package-v5/05 P0</t>
        </is>
      </c>
      <c r="AG174" s="6" t="n"/>
      <c r="AH174" s="6" t="inlineStr">
        <is>
          <t>Yes (Q-U33)</t>
        </is>
      </c>
      <c r="AI174" s="6" t="n"/>
      <c r="AJ174" s="6" t="inlineStr">
        <is>
          <t>design/package-v5/08-ledger-proposals.md section 2</t>
        </is>
      </c>
      <c r="AK174" s="6" t="n"/>
      <c r="AL174" s="6" t="n"/>
    </row>
    <row r="175" ht="28" customHeight="1">
      <c r="A175" s="5" t="inlineStr">
        <is>
          <t>N-32</t>
        </is>
      </c>
      <c r="B175" s="6" t="inlineStr">
        <is>
          <t>Offering fewer tools at a fixed cached prefix: accuracy effect (HYP-0018)</t>
        </is>
      </c>
      <c r="C175" s="6" t="inlineStr">
        <is>
          <t>OPEN</t>
        </is>
      </c>
      <c r="D175" s="6">
        <f>IFERROR(INDEX(Lists!$B$2:$B$14,MATCH(C175,Lists!$A$2:$A$14,0)),"?")</f>
        <v/>
      </c>
      <c r="E175" s="6">
        <f>IF(COUNTIFS(Links!$B$2:$B$600,A175,Links!$E$2:$E$600,"Yes")&gt;0,"REVISE","")</f>
        <v/>
      </c>
      <c r="F175" s="6">
        <f>COUNTIFS(Links!$B$2:$B$600,A175,Links!$D$2:$D$600,"No",Links!$C$2:$C$600,"&lt;&gt;INFORMS")</f>
        <v/>
      </c>
      <c r="G175" s="8" t="inlineStr">
        <is>
          <t>TEST-PILOT</t>
        </is>
      </c>
      <c r="H175" s="6" t="inlineStr">
        <is>
          <t>K3 Policy form</t>
        </is>
      </c>
      <c r="I175" s="6" t="inlineStr">
        <is>
          <t>G2 Before the affected pilot/arm</t>
        </is>
      </c>
      <c r="J175" s="6" t="inlineStr">
        <is>
          <t>Normal</t>
        </is>
      </c>
      <c r="K175" s="6" t="n"/>
      <c r="L175" s="6" t="n"/>
      <c r="M175" s="6" t="n"/>
      <c r="N175" s="6" t="inlineStr">
        <is>
          <t>Lead; you decide</t>
        </is>
      </c>
      <c r="O175" s="6" t="inlineStr">
        <is>
          <t>05 P2 after N-31</t>
        </is>
      </c>
      <c r="P175" s="6" t="n"/>
      <c r="Q175" s="6" t="inlineStr">
        <is>
          <t>Test</t>
        </is>
      </c>
      <c r="R175" s="6" t="inlineStr">
        <is>
          <t>Item</t>
        </is>
      </c>
      <c r="S175" s="6" t="n"/>
      <c r="T175" s="6" t="inlineStr">
        <is>
          <t>Accuracy when a subset is offered while all definitions stay cached</t>
        </is>
      </c>
      <c r="U175" s="6" t="inlineStr">
        <is>
          <t>Vendor offering mechanisms are not available on the university API; whether it honours allowed_tools is unknown (N-31)</t>
        </is>
      </c>
      <c r="V175" s="6" t="inlineStr">
        <is>
          <t>05 P2 result</t>
        </is>
      </c>
      <c r="W175" s="6" t="n"/>
      <c r="X175" s="6" t="n"/>
      <c r="Y175" s="6" t="inlineStr"/>
      <c r="Z175" s="6" t="n"/>
      <c r="AA175" s="6" t="n"/>
      <c r="AB175" s="6" t="n"/>
      <c r="AC175" s="6" t="n"/>
      <c r="AD175" s="6" t="inlineStr">
        <is>
          <t>NEW (V5, 2026-10-22)</t>
        </is>
      </c>
      <c r="AE175" s="6" t="inlineStr">
        <is>
          <t>2026-10-22</t>
        </is>
      </c>
      <c r="AF175" s="6" t="inlineStr">
        <is>
          <t>design/package-v5/05 P2</t>
        </is>
      </c>
      <c r="AG175" s="6" t="n"/>
      <c r="AH175" s="6" t="inlineStr">
        <is>
          <t>Pilot: yes</t>
        </is>
      </c>
      <c r="AI175" s="6" t="n"/>
      <c r="AJ175" s="6" t="inlineStr">
        <is>
          <t>design/package-v5/08-ledger-proposals.md section 2</t>
        </is>
      </c>
      <c r="AK175" s="6" t="n"/>
      <c r="AL175" s="6" t="n"/>
    </row>
    <row r="176" ht="15" customHeight="1">
      <c r="A176" s="5" t="inlineStr">
        <is>
          <t>N-33</t>
        </is>
      </c>
      <c r="B176" s="6" t="inlineStr">
        <is>
          <t>Regime switch by D-01: does the arithmetic hold on our model and catalogue?</t>
        </is>
      </c>
      <c r="C176" s="6" t="inlineStr">
        <is>
          <t>OPEN</t>
        </is>
      </c>
      <c r="D176" s="6">
        <f>IFERROR(INDEX(Lists!$B$2:$B$14,MATCH(C176,Lists!$A$2:$A$14,0)),"?")</f>
        <v/>
      </c>
      <c r="E176" s="6">
        <f>IF(COUNTIFS(Links!$B$2:$B$600,A176,Links!$E$2:$E$600,"Yes")&gt;0,"REVISE","")</f>
        <v/>
      </c>
      <c r="F176" s="6">
        <f>COUNTIFS(Links!$B$2:$B$600,A176,Links!$D$2:$D$600,"No",Links!$C$2:$C$600,"&lt;&gt;INFORMS")</f>
        <v/>
      </c>
      <c r="G176" s="9" t="inlineStr">
        <is>
          <t>TEST-PILOT</t>
        </is>
      </c>
      <c r="H176" s="6" t="inlineStr">
        <is>
          <t>K9 Cache &amp; billing</t>
        </is>
      </c>
      <c r="I176" s="6" t="inlineStr">
        <is>
          <t>G2 Before the affected pilot/arm</t>
        </is>
      </c>
      <c r="J176" s="6" t="inlineStr">
        <is>
          <t>Normal</t>
        </is>
      </c>
      <c r="K176" s="6" t="n"/>
      <c r="L176" s="6" t="n"/>
      <c r="M176" s="6" t="n"/>
      <c r="N176" s="6" t="inlineStr">
        <is>
          <t>Lead; you decide</t>
        </is>
      </c>
      <c r="O176" s="6" t="inlineStr">
        <is>
          <t>05 P5</t>
        </is>
      </c>
      <c r="P176" s="6" t="n"/>
      <c r="Q176" s="6" t="inlineStr">
        <is>
          <t>Test</t>
        </is>
      </c>
      <c r="R176" s="6" t="inlineStr">
        <is>
          <t>Item</t>
        </is>
      </c>
      <c r="S176" s="6" t="n"/>
      <c r="T176" s="6" t="inlineStr">
        <is>
          <t>Where the break-even catalogue size lies on the route used</t>
        </is>
      </c>
      <c r="U176" s="6" t="inlineStr">
        <is>
          <t>D-01 revision 2 gives about 10-230 tools under stated assumptions</t>
        </is>
      </c>
      <c r="V176" s="6" t="inlineStr">
        <is>
          <t>05 P5 reading</t>
        </is>
      </c>
      <c r="W176" s="6" t="n"/>
      <c r="X176" s="6" t="n"/>
      <c r="Y176" s="6" t="inlineStr"/>
      <c r="Z176" s="6" t="n"/>
      <c r="AA176" s="6" t="n"/>
      <c r="AB176" s="6" t="n"/>
      <c r="AC176" s="6" t="n"/>
      <c r="AD176" s="6" t="inlineStr">
        <is>
          <t>NEW (V5, 2026-10-22)</t>
        </is>
      </c>
      <c r="AE176" s="6" t="inlineStr">
        <is>
          <t>2026-10-22</t>
        </is>
      </c>
      <c r="AF176" s="6" t="inlineStr">
        <is>
          <t>design/package-v5/calc/regime_bill.stdout.txt</t>
        </is>
      </c>
      <c r="AG176" s="6" t="n"/>
      <c r="AH176" s="6" t="inlineStr">
        <is>
          <t>Pilot: yes</t>
        </is>
      </c>
      <c r="AI176" s="6" t="n"/>
      <c r="AJ176" s="6" t="inlineStr">
        <is>
          <t>design/package-v5/08-ledger-proposals.md section 2</t>
        </is>
      </c>
      <c r="AK176" s="6" t="n"/>
      <c r="AL176" s="6" t="n"/>
    </row>
    <row r="177" ht="15" customHeight="1">
      <c r="A177" s="5" t="inlineStr">
        <is>
          <t>N-35</t>
        </is>
      </c>
      <c r="B177" s="6" t="inlineStr">
        <is>
          <t>The lead's git push is refused by the auto-mode classifier even with allow rules</t>
        </is>
      </c>
      <c r="C177" s="6" t="inlineStr">
        <is>
          <t>OPEN</t>
        </is>
      </c>
      <c r="D177" s="6">
        <f>IFERROR(INDEX(Lists!$B$2:$B$14,MATCH(C177,Lists!$A$2:$A$14,0)),"?")</f>
        <v/>
      </c>
      <c r="E177" s="6">
        <f>IF(COUNTIFS(Links!$B$2:$B$600,A177,Links!$E$2:$E$600,"Yes")&gt;0,"REVISE","")</f>
        <v/>
      </c>
      <c r="F177" s="6">
        <f>COUNTIFS(Links!$B$2:$B$600,A177,Links!$D$2:$D$600,"No",Links!$C$2:$C$600,"&lt;&gt;INFORMS")</f>
        <v/>
      </c>
      <c r="G177" s="12" t="inlineStr">
        <is>
          <t>USER-DECISION</t>
        </is>
      </c>
      <c r="H177" s="6" t="inlineStr">
        <is>
          <t>K16 Limits &amp; provenance</t>
        </is>
      </c>
      <c r="I177" s="6" t="inlineStr">
        <is>
          <t>G2 Before the affected pilot/arm</t>
        </is>
      </c>
      <c r="J177" s="6" t="inlineStr">
        <is>
          <t>Normal</t>
        </is>
      </c>
      <c r="K177" s="6" t="n"/>
      <c r="L177" s="6" t="n"/>
      <c r="M177" s="6" t="n"/>
      <c r="N177" s="6" t="inlineStr">
        <is>
          <t>Lead; you decide</t>
        </is>
      </c>
      <c r="O177" s="6" t="inlineStr">
        <is>
          <t>Human decides</t>
        </is>
      </c>
      <c r="P177" s="6" t="n"/>
      <c r="Q177" s="6" t="inlineStr">
        <is>
          <t>Safeguard limit</t>
        </is>
      </c>
      <c r="R177" s="6" t="inlineStr">
        <is>
          <t>Item</t>
        </is>
      </c>
      <c r="S177" s="6" t="n"/>
      <c r="T177" s="6" t="inlineStr">
        <is>
          <t>Pushes of v5-audit are done by the human</t>
        </is>
      </c>
      <c r="U177" s="6" t="inlineStr">
        <is>
          <t>Observed in WD-042 preflight</t>
        </is>
      </c>
      <c r="V177" s="6" t="inlineStr">
        <is>
          <t>Accepted as a limitation or a settings change by the human</t>
        </is>
      </c>
      <c r="W177" s="6" t="n"/>
      <c r="X177" s="6" t="n"/>
      <c r="Y177" s="6" t="inlineStr"/>
      <c r="Z177" s="6" t="n"/>
      <c r="AA177" s="6" t="n"/>
      <c r="AB177" s="6" t="n"/>
      <c r="AC177" s="6" t="n"/>
      <c r="AD177" s="6" t="inlineStr">
        <is>
          <t>NEW (V5, 2026-10-22)</t>
        </is>
      </c>
      <c r="AE177" s="6" t="inlineStr">
        <is>
          <t>2026-10-22</t>
        </is>
      </c>
      <c r="AF177" s="6" t="inlineStr">
        <is>
          <t>ops/DESIGN-DECISIONS.md WD-042</t>
        </is>
      </c>
      <c r="AG177" s="6" t="n"/>
      <c r="AH177" s="6" t="inlineStr">
        <is>
          <t>No</t>
        </is>
      </c>
      <c r="AI177" s="6" t="n"/>
      <c r="AJ177" s="6" t="inlineStr">
        <is>
          <t>design/package-v5/08-ledger-proposals.md section 2</t>
        </is>
      </c>
      <c r="AK177" s="6" t="n"/>
      <c r="AL177" s="6" t="n"/>
    </row>
    <row r="178" ht="15" customHeight="1">
      <c r="A178" s="5" t="inlineStr">
        <is>
          <t>N-36</t>
        </is>
      </c>
      <c r="B178" s="6" t="inlineStr">
        <is>
          <t>V5 rows are model work checked by model work; no human spot-check yet</t>
        </is>
      </c>
      <c r="C178" s="6" t="inlineStr">
        <is>
          <t>OPEN</t>
        </is>
      </c>
      <c r="D178" s="6">
        <f>IFERROR(INDEX(Lists!$B$2:$B$14,MATCH(C178,Lists!$A$2:$A$14,0)),"?")</f>
        <v/>
      </c>
      <c r="E178" s="6">
        <f>IF(COUNTIFS(Links!$B$2:$B$600,A178,Links!$E$2:$E$600,"Yes")&gt;0,"REVISE","")</f>
        <v/>
      </c>
      <c r="F178" s="6">
        <f>COUNTIFS(Links!$B$2:$B$600,A178,Links!$D$2:$D$600,"No",Links!$C$2:$C$600,"&lt;&gt;INFORMS")</f>
        <v/>
      </c>
      <c r="G178" s="9" t="inlineStr">
        <is>
          <t>USER-DECISION</t>
        </is>
      </c>
      <c r="H178" s="6" t="inlineStr">
        <is>
          <t>K16 Limits &amp; provenance</t>
        </is>
      </c>
      <c r="I178" s="6" t="inlineStr">
        <is>
          <t>G2 Before the affected pilot/arm</t>
        </is>
      </c>
      <c r="J178" s="6" t="inlineStr">
        <is>
          <t>Normal</t>
        </is>
      </c>
      <c r="K178" s="6" t="n"/>
      <c r="L178" s="6" t="n"/>
      <c r="M178" s="6" t="n"/>
      <c r="N178" s="6" t="inlineStr">
        <is>
          <t>Lead; you decide</t>
        </is>
      </c>
      <c r="O178" s="6" t="inlineStr">
        <is>
          <t>Human decides</t>
        </is>
      </c>
      <c r="P178" s="6" t="n"/>
      <c r="Q178" s="6" t="inlineStr">
        <is>
          <t>Limitation</t>
        </is>
      </c>
      <c r="R178" s="6" t="inlineStr">
        <is>
          <t>Item</t>
        </is>
      </c>
      <c r="S178" s="6" t="n"/>
      <c r="T178" s="6" t="inlineStr">
        <is>
          <t>A human check of a sample of design/package-v5/03 rows</t>
        </is>
      </c>
      <c r="U178" s="6" t="inlineStr">
        <is>
          <t>Stewards, challengers and a rebuttal instance checked rows; no human check</t>
        </is>
      </c>
      <c r="V178" s="6" t="inlineStr">
        <is>
          <t>Human spot-check done or limitation accepted</t>
        </is>
      </c>
      <c r="W178" s="6" t="n"/>
      <c r="X178" s="6" t="n"/>
      <c r="Y178" s="6" t="inlineStr"/>
      <c r="Z178" s="6" t="n"/>
      <c r="AA178" s="6" t="n"/>
      <c r="AB178" s="6" t="n"/>
      <c r="AC178" s="6" t="n"/>
      <c r="AD178" s="6" t="inlineStr">
        <is>
          <t>NEW (V5, 2026-10-22)</t>
        </is>
      </c>
      <c r="AE178" s="6" t="inlineStr">
        <is>
          <t>2026-10-22</t>
        </is>
      </c>
      <c r="AF178" s="6" t="inlineStr">
        <is>
          <t>design/package-v5/00-README.md</t>
        </is>
      </c>
      <c r="AG178" s="6" t="n"/>
      <c r="AH178" s="6" t="inlineStr">
        <is>
          <t>No</t>
        </is>
      </c>
      <c r="AI178" s="6" t="n"/>
      <c r="AJ178" s="6" t="inlineStr">
        <is>
          <t>design/package-v5/08-ledger-proposals.md section 2</t>
        </is>
      </c>
      <c r="AK178" s="6" t="n"/>
      <c r="AL178" s="6" t="n"/>
    </row>
    <row r="179" ht="15" customHeight="1">
      <c r="A179" s="5" t="inlineStr">
        <is>
          <t>N-37</t>
        </is>
      </c>
      <c r="B179" s="6" t="inlineStr">
        <is>
          <t>University API: tool calling, tool_choice and a changed tools array (second probe)</t>
        </is>
      </c>
      <c r="C179" s="6" t="inlineStr">
        <is>
          <t>PARTLY ANSWERED</t>
        </is>
      </c>
      <c r="D179" s="6">
        <f>IFERROR(INDEX(Lists!$B$2:$B$14,MATCH(C179,Lists!$A$2:$A$14,0)),"?")</f>
        <v/>
      </c>
      <c r="E179" s="6">
        <f>IF(COUNTIFS(Links!$B$2:$B$600,A179,Links!$E$2:$E$600,"Yes")&gt;0,"REVISE","")</f>
        <v/>
      </c>
      <c r="F179" s="6">
        <f>COUNTIFS(Links!$B$2:$B$600,A179,Links!$D$2:$D$600,"No",Links!$C$2:$C$600,"&lt;&gt;INFORMS")</f>
        <v/>
      </c>
      <c r="G179" s="9" t="inlineStr">
        <is>
          <t>TEST-PILOT</t>
        </is>
      </c>
      <c r="H179" s="6" t="inlineStr">
        <is>
          <t>K9 Cache &amp; billing</t>
        </is>
      </c>
      <c r="I179" s="6" t="inlineStr">
        <is>
          <t>G2 Before the affected pilot/arm</t>
        </is>
      </c>
      <c r="J179" s="6" t="inlineStr">
        <is>
          <t>Normal</t>
        </is>
      </c>
      <c r="K179" s="6" t="n"/>
      <c r="L179" s="6" t="n"/>
      <c r="M179" s="6" t="n"/>
      <c r="N179" s="6" t="inlineStr">
        <is>
          <t>Lead; you run the probe</t>
        </is>
      </c>
      <c r="O179" s="6" t="inlineStr">
        <is>
          <t>Optional: lifetime mode after a longer gap; gpt-oss-120b's pattern is left unexplained</t>
        </is>
      </c>
      <c r="P179" s="6" t="n"/>
      <c r="Q179" s="6" t="inlineStr">
        <is>
          <t>Test</t>
        </is>
      </c>
      <c r="R179" s="6" t="inlineStr">
        <is>
          <t>Item</t>
        </is>
      </c>
      <c r="S179" s="6" t="n"/>
      <c r="T179" s="6" t="inlineStr">
        <is>
          <t>Whether the models call tools at all through the university API, whether tool_choice required/named is honoured (MiniMax-M3.1-Flash ignored required), what a changed tools array does to the cache (V5-R02 on this route), and how models answer a request for a tool that does not exist</t>
        </is>
      </c>
      <c r="U179" s="6" t="inlineStr">
        <is>
          <t>First round (2026-10-27) showed no tool call on any model, all inside a 16-token cap (design/package-v5/10) | V5 2026-10-27: second probe (3 models): tool calling works (auto, required, named; 9 of 9); an absent tool: gpt-oss and MiniMax-M3 declined, GLM-5.3 called a wrong tool (tool_09); a changed tools array rewrote 65% (added tool) to 99% (first tool edited) of the prompt on GLM-5.3 (supports V5-R02) but left gpt-oss and MiniMax-M3 almost fully cached, unexplained (an earlier unrecorded run, or a non-prefix cache) | V5 2026-10-27: readiness for experiments assessed in design/package-v5/12 (P5 ready once authorized; third probe advised first) | V5 2026-10-27: third probe (run by the human, nonce-marked variants): GLM-5.3 and MiniMax-M3 are plain prefix caches (a change rewrites everything after it; the tools-first and system-first template orders differ); gpt-oss-120b is not monotonic in the edit position and unexplained; the earlier near-full cache after tools changes is consistent with earlier unrecorded runs priming those variants</t>
        </is>
      </c>
      <c r="V179" s="6" t="inlineStr">
        <is>
          <t>The second probe's output is read and its limits stated</t>
        </is>
      </c>
      <c r="W179" s="6" t="n"/>
      <c r="X179" s="6" t="n"/>
      <c r="Y179" s="6" t="inlineStr"/>
      <c r="Z179" s="6" t="n"/>
      <c r="AA179" s="6" t="n"/>
      <c r="AB179" s="6" t="n"/>
      <c r="AC179" s="6" t="n"/>
      <c r="AD179" s="6" t="inlineStr">
        <is>
          <t>NEW (V5, 2026-10-27)</t>
        </is>
      </c>
      <c r="AE179" s="6" t="inlineStr">
        <is>
          <t>2026-10-27</t>
        </is>
      </c>
      <c r="AF179" s="6" t="inlineStr">
        <is>
          <t>design/package-v5/10-p0-university-api-reading.md</t>
        </is>
      </c>
      <c r="AG179" s="6" t="n"/>
      <c r="AH179" s="6" t="inlineStr">
        <is>
          <t>No (AUTH-020)</t>
        </is>
      </c>
      <c r="AI179" s="6" t="n"/>
      <c r="AJ179" s="6" t="inlineStr">
        <is>
          <t>design/package-v5/10 s3</t>
        </is>
      </c>
      <c r="AK179" s="6" t="n"/>
      <c r="AL179" s="6" t="n"/>
    </row>
    <row r="180" ht="15" customHeight="1">
      <c r="A180" s="5" t="inlineStr">
        <is>
          <t>N-38</t>
        </is>
      </c>
      <c r="B180" s="6" t="inlineStr">
        <is>
          <t>Which models the proof-of-concept loop uses (REQ-U21-08); the human leans away from gpt-oss-120b</t>
        </is>
      </c>
      <c r="C180" s="6" t="inlineStr">
        <is>
          <t>DEFERRED</t>
        </is>
      </c>
      <c r="D180" s="6">
        <f>IFERROR(INDEX(Lists!$B$2:$B$14,MATCH(C180,Lists!$A$2:$A$14,0)),"?")</f>
        <v/>
      </c>
      <c r="E180" s="6">
        <f>IF(COUNTIFS(Links!$B$2:$B$600,A180,Links!$E$2:$E$600,"Yes")&gt;0,"REVISE","")</f>
        <v/>
      </c>
      <c r="F180" s="6">
        <f>COUNTIFS(Links!$B$2:$B$600,A180,Links!$D$2:$D$600,"No",Links!$C$2:$C$600,"&lt;&gt;INFORMS")</f>
        <v/>
      </c>
      <c r="G180" s="9" t="inlineStr">
        <is>
          <t>USER-DECISION</t>
        </is>
      </c>
      <c r="H180" s="6" t="inlineStr">
        <is>
          <t>K5 Evaluation contract</t>
        </is>
      </c>
      <c r="I180" s="6" t="inlineStr">
        <is>
          <t>G1 Before any implementation</t>
        </is>
      </c>
      <c r="J180" s="6" t="inlineStr">
        <is>
          <t>High</t>
        </is>
      </c>
      <c r="K180" s="6" t="n"/>
      <c r="L180" s="6" t="n"/>
      <c r="M180" s="6" t="n"/>
      <c r="N180" s="6" t="inlineStr">
        <is>
          <t>You decide; lead prepares</t>
        </is>
      </c>
      <c r="O180" s="6" t="inlineStr">
        <is>
          <t>none until the trigger; harnesses take the model as a run-time argument and label every record with it</t>
        </is>
      </c>
      <c r="P180" s="6" t="n"/>
      <c r="Q180" s="6" t="inlineStr">
        <is>
          <t>Decision</t>
        </is>
      </c>
      <c r="R180" s="6" t="inlineStr">
        <is>
          <t>Item</t>
        </is>
      </c>
      <c r="S180" s="6" t="n"/>
      <c r="T180" s="6" t="inlineStr">
        <is>
          <t>Choose the models for the loop and the end-to-end study from those the university API serves with tool support</t>
        </is>
      </c>
      <c r="U180" s="6" t="inlineStr">
        <is>
          <t>Seven open-weight chat models report tool support (status data 2026-10-22); three were probed twice: all call tools correctly in the simple cases, caching and rate limits differ (GLM-5.3: 2 requests, clean prefix cache). The human prefers models other than gpt-oss-120b and calls this a personal preference (REQ-U22-13). The data shows no model to exclude; the end-to-end study needs at least two families to read transfer (AS-12)</t>
        </is>
      </c>
      <c r="V180" s="6" t="inlineStr">
        <is>
          <t>A decision recorded in the words of the human, with the reason</t>
        </is>
      </c>
      <c r="W180" s="6" t="n"/>
      <c r="X180" s="6" t="n"/>
      <c r="Y180" s="6" t="inlineStr"/>
      <c r="Z180" s="6" t="n"/>
      <c r="AA180" s="6" t="n"/>
      <c r="AB180" s="6" t="n"/>
      <c r="AC180" s="6" t="n"/>
      <c r="AD180" s="6" t="inlineStr">
        <is>
          <t>NEW (V5, 2026-10-27)</t>
        </is>
      </c>
      <c r="AE180" s="6" t="inlineStr">
        <is>
          <t>2026-10-27</t>
        </is>
      </c>
      <c r="AF180" s="6" t="inlineStr">
        <is>
          <t>requirements/intake/2026-10-27-user-model-choice-deferred-prices-experiments.md; REQ-U22-14</t>
        </is>
      </c>
      <c r="AG180" s="6" t="inlineStr">
        <is>
          <t>The first experiment is authorized and a run needs a model; or a result shows model dependence</t>
        </is>
      </c>
      <c r="AH180" s="6" t="inlineStr">
        <is>
          <t>No</t>
        </is>
      </c>
      <c r="AI180" s="6" t="n"/>
      <c r="AJ180" s="6" t="inlineStr">
        <is>
          <t>design/package-v5/10</t>
        </is>
      </c>
      <c r="AK180" s="6" t="n"/>
      <c r="AL180" s="6" t="n"/>
    </row>
    <row r="181" ht="15" customHeight="1">
      <c r="A181" s="5" t="inlineStr">
        <is>
          <t>N-39</t>
        </is>
      </c>
      <c r="B181" s="6" t="inlineStr">
        <is>
          <t>A named price table for the bill on the university route (the API is free and reports tokens only)</t>
        </is>
      </c>
      <c r="C181" s="6" t="inlineStr">
        <is>
          <t>PARTLY ANSWERED</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K2 Objective &amp; accounting</t>
        </is>
      </c>
      <c r="I181" s="6" t="inlineStr">
        <is>
          <t>G1 Before any implementation</t>
        </is>
      </c>
      <c r="J181" s="6" t="inlineStr">
        <is>
          <t>High</t>
        </is>
      </c>
      <c r="K181" s="6" t="n"/>
      <c r="L181" s="6" t="n"/>
      <c r="M181" s="6" t="n"/>
      <c r="N181" s="6" t="inlineStr">
        <is>
          <t>You decide; lead prepares</t>
        </is>
      </c>
      <c r="O181" s="6" t="inlineStr">
        <is>
          <t>The human accepts or changes the handling in design/package-v5/11 section 7 (token classes plus ratios; dollars under one or two reference cases)</t>
        </is>
      </c>
      <c r="P181" s="6" t="n"/>
      <c r="Q181" s="6" t="inlineStr">
        <is>
          <t>Parameter</t>
        </is>
      </c>
      <c r="R181" s="6" t="inlineStr">
        <is>
          <t>Item</t>
        </is>
      </c>
      <c r="S181" s="6" t="n"/>
      <c r="T181" s="6" t="inlineStr">
        <is>
          <t>DPR-0006 needs one price per component and per model; the university API sends no bill, so a table must be named (for example a hosted list price for a comparable model) or a symbolic price ratio reported</t>
        </is>
      </c>
      <c r="U181" s="6" t="inlineStr">
        <is>
          <t>The API reports cached, created and reasoning tokens but no prices (probes 2026-10-27). Whether cache writes carry a premium on this service is not stated; MiniMax-M3 writes a 128-token block on every request | V5 2026-10-27: price ranges from benchmark and aggregator pages (Aug-Oct 2026, stored): cache-read/input r 0.14 to 1.0 (six of 18 gpt-oss-120b hosts list no cache discount), write fee none listed to 1.25x, output/input 3.1 to 7.5; the break-evens of V5 (D-04) barely depend on these ratios, so results are reported as token classes plus (r, w, o), with dollars under reference cases only when wanted | V5 2026-10-27: the human asked for the price ranges, numbers and equations to be verified by a multi-agent literature review with scientific citations (REQ-U22-18, new row N-40) | V5 2026-10-27: revised with official pages (11 rev 2): r 0.02-0.50 over the pages stored (some hosts list no cache price), w 1.0 (1.25 only Alibaba explicit), o 2.1-7.5, seven reference cases; D-04 grid extended to r 0.02 and restated: price matters at T = 3 and for one-match long sessions, and model independence is not shown. The handling proposal (token classes plus r, w, o; dollars under one or two cases) is unchanged and still the human's to accept</t>
        </is>
      </c>
      <c r="V181" s="6" t="inlineStr">
        <is>
          <t>The human names the table or chooses to report token classes and price ratios only</t>
        </is>
      </c>
      <c r="W181" s="6" t="n"/>
      <c r="X181" s="6" t="n"/>
      <c r="Y181" s="6" t="inlineStr"/>
      <c r="Z181" s="6" t="n"/>
      <c r="AA181" s="6" t="n"/>
      <c r="AB181" s="6" t="n"/>
      <c r="AC181" s="6" t="n"/>
      <c r="AD181" s="6" t="inlineStr">
        <is>
          <t>NEW (V5, 2026-10-27)</t>
        </is>
      </c>
      <c r="AE181" s="6" t="inlineStr">
        <is>
          <t>2026-10-27</t>
        </is>
      </c>
      <c r="AF181" s="6" t="inlineStr">
        <is>
          <t>design/package-v5/11-price-ranges.md; design/package-v5/calc/price_sensitivity.stdout.txt</t>
        </is>
      </c>
      <c r="AG181" s="6" t="n"/>
      <c r="AH181" s="6" t="inlineStr">
        <is>
          <t>No</t>
        </is>
      </c>
      <c r="AI181" s="6" t="n"/>
      <c r="AJ181" s="6" t="inlineStr">
        <is>
          <t>design/package-v5/10</t>
        </is>
      </c>
      <c r="AK181" s="6" t="n"/>
      <c r="AL181" s="6" t="n"/>
    </row>
    <row r="182" ht="15" customHeight="1">
      <c r="A182" s="5" t="inlineStr">
        <is>
          <t>N-40</t>
        </is>
      </c>
      <c r="B182" s="6" t="inlineStr">
        <is>
          <t>Literature verification of the price ranges, the cost equations and the cache-mechanics claims of V5</t>
        </is>
      </c>
      <c r="C182" s="6" t="inlineStr">
        <is>
          <t>PARTLY ANSWERED</t>
        </is>
      </c>
      <c r="D182" s="6">
        <f>IFERROR(INDEX(Lists!$B$2:$B$14,MATCH(C182,Lists!$A$2:$A$14,0)),"?")</f>
        <v/>
      </c>
      <c r="E182" s="6">
        <f>IF(COUNTIFS(Links!$B$2:$B$600,A182,Links!$E$2:$E$600,"Yes")&gt;0,"REVISE","")</f>
        <v/>
      </c>
      <c r="F182" s="6">
        <f>COUNTIFS(Links!$B$2:$B$600,A182,Links!$D$2:$D$600,"No",Links!$C$2:$C$600,"&lt;&gt;INFORMS")</f>
        <v/>
      </c>
      <c r="G182" s="9" t="inlineStr">
        <is>
          <t>LITERATURE-DIRECTED</t>
        </is>
      </c>
      <c r="H182" s="6" t="inlineStr">
        <is>
          <t>K14 Source &amp; vendor verification</t>
        </is>
      </c>
      <c r="I182" s="6" t="inlineStr">
        <is>
          <t>G4 Before claims</t>
        </is>
      </c>
      <c r="J182" s="6" t="inlineStr">
        <is>
          <t>High</t>
        </is>
      </c>
      <c r="K182" s="6" t="n"/>
      <c r="L182" s="6" t="n"/>
      <c r="M182" s="6" t="n"/>
      <c r="N182" s="6" t="inlineStr">
        <is>
          <t>Lead + agents</t>
        </is>
      </c>
      <c r="O182" s="6" t="inlineStr">
        <is>
          <t>Optional, arithmetic only: add an uncached-core and a cold-cache column to D-04 (CH-0111); store the scouts' queries if the human wants the absence claims auditable (CH-0112)</t>
        </is>
      </c>
      <c r="P182" s="6" t="n"/>
      <c r="Q182" s="6" t="inlineStr">
        <is>
          <t>Source check</t>
        </is>
      </c>
      <c r="R182" s="6" t="inlineStr">
        <is>
          <t>Item</t>
        </is>
      </c>
      <c r="S182" s="6" t="n"/>
      <c r="T182" s="6" t="inlineStr">
        <is>
          <t>design/package-v5/11-price-ranges.md rests on benchmark and aggregator pages; its ranges, the cost equation of DPR-0006 and the break-even equations need primary or scientific citations (the human's instruction REQ-U22-18)</t>
        </is>
      </c>
      <c r="U182" s="6" t="inlineStr">
        <is>
          <t>Stored papers already print the equation structure (arXiv 2607.12161 eq. 1) and a counterfactual list-price method for open-weight models (arXiv 2608.08654); the review is in progress | V5 2026-10-27: literature verification done (scouts T-118, stewards FND-0043..0045, challenger RV-0024 with CH-0105..0114, all accepted and applied): the equation structure is printed in 2607.12161, 2604.22750 and 2608.01347 (one write class; W1, S, X and T have no printed equation); 7:2:1 is an assumed weighting (output share measured at 0.5-1% of tokens, not 10%); official price pages give r 0.02-0.50 (several hosts list no cache price), w 1.0 (1.25 only Alibaba explicit), o 2.1-7.5; no published break-even for client-side tool discovery or memory seeding found in the stored set; the lead's seed arithmetic missed a core-prefix re-read (fixed). Details: design/package-v5/13</t>
        </is>
      </c>
      <c r="V182" s="6" t="inlineStr">
        <is>
          <t>Each range and equation is cited to a primary or peer-reviewed source, or marked as an assumption or an aggregator figure; checked by stewards and a challenger</t>
        </is>
      </c>
      <c r="W182" s="6" t="n"/>
      <c r="X182" s="6" t="n"/>
      <c r="Y182" s="6" t="inlineStr"/>
      <c r="Z182" s="6" t="n"/>
      <c r="AA182" s="6" t="n"/>
      <c r="AB182" s="6" t="n"/>
      <c r="AC182" s="6" t="n"/>
      <c r="AD182" s="6" t="inlineStr">
        <is>
          <t>NEW (V5, 2026-10-27)</t>
        </is>
      </c>
      <c r="AE182" s="6" t="inlineStr">
        <is>
          <t>2026-10-27</t>
        </is>
      </c>
      <c r="AF182" s="6" t="inlineStr">
        <is>
          <t>design/package-v5/13-literature-verification.md; findings/SUM-0045..0047; reviews/RV-0024.md</t>
        </is>
      </c>
      <c r="AG182" s="6" t="n"/>
      <c r="AH182" s="6" t="inlineStr">
        <is>
          <t>No (AUTH-020 amendment of 2026-10-27)</t>
        </is>
      </c>
      <c r="AI182" s="6" t="n"/>
      <c r="AJ182" s="6" t="inlineStr">
        <is>
          <t>INT-T-012 line 9</t>
        </is>
      </c>
      <c r="AK182" s="6" t="n"/>
      <c r="AL182" s="6" t="n"/>
    </row>
    <row r="183" ht="15" customHeight="1">
      <c r="A183" s="5" t="n"/>
      <c r="B183" s="6" t="n"/>
      <c r="C183" s="6" t="n"/>
      <c r="D183" s="6" t="n"/>
      <c r="E183" s="6" t="n"/>
      <c r="F183" s="6" t="n"/>
      <c r="G183" s="8"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8"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8"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9"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8"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9"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8"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9"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9"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8"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8"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12"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12"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12"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8"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9"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8"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12"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12"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12"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8"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9"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8"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12"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12"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9"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8"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12"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10"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10"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0"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row r="232" ht="15" customHeight="1"/>
    <row r="233" ht="15" customHeight="1"/>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9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c r="A86" t="inlineStr">
        <is>
          <t>C-D08/EXEC</t>
        </is>
      </c>
      <c r="B86" t="inlineStr">
        <is>
          <t>Identity of 'Executor' and whether it must be an arm (assertion A7)</t>
        </is>
      </c>
      <c r="C86" t="inlineStr">
        <is>
          <t>CLOSED - BY DECISION</t>
        </is>
      </c>
      <c r="D86" t="inlineStr">
        <is>
          <t>No</t>
        </is>
      </c>
      <c r="F86" t="n">
        <v>0</v>
      </c>
      <c r="G86" t="inlineStr">
        <is>
          <t>SOURCE-REREAD</t>
        </is>
      </c>
      <c r="H86" t="inlineStr">
        <is>
          <t>K5 Evaluation contract</t>
        </is>
      </c>
      <c r="I86" t="inlineStr">
        <is>
          <t>G1 Before any implementation</t>
        </is>
      </c>
      <c r="J86" t="inlineStr">
        <is>
          <t>High</t>
        </is>
      </c>
      <c r="K86" t="n">
        <v>64</v>
      </c>
      <c r="L86" t="inlineStr">
        <is>
          <t>W2 Desk work (no model runs)</t>
        </is>
      </c>
      <c r="M86" t="inlineStr">
        <is>
          <t>S09</t>
        </is>
      </c>
      <c r="N86" t="inlineStr">
        <is>
          <t>Joaa + you (or a documented pilot)</t>
        </is>
      </c>
      <c r="O86" t="inlineStr">
        <is>
          <t>Q-J33</t>
        </is>
      </c>
      <c r="P86" t="inlineStr">
        <is>
          <t>Yes - stored text, unread</t>
        </is>
      </c>
      <c r="Q86" t="inlineStr">
        <is>
          <t>Parameter</t>
        </is>
      </c>
      <c r="R86" t="inlineStr">
        <is>
          <t>Sub-item</t>
        </is>
      </c>
      <c r="S86" t="inlineStr">
        <is>
          <t>C-D08</t>
        </is>
      </c>
      <c r="T86" t="inlineStr">
        <is>
          <t>Joaa's 'Executor' is identified by researcher records, not transcript lines; the stored Executor docs/code (r4-executor-*) could confirm what the project does.</t>
        </is>
      </c>
      <c r="U8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 | V5 2026-10-22: identified as above; required baseline (REQ-O02-06); Q-J33 reworded, assumption 'as shipped'</t>
        </is>
      </c>
      <c r="V86" t="inlineStr">
        <is>
          <t>Set in the evaluation contract, or deferred to a documented pilot with Joaa's agreement.</t>
        </is>
      </c>
      <c r="Y86" t="inlineStr">
        <is>
          <t>Q-J16</t>
        </is>
      </c>
      <c r="Z86" t="inlineStr">
        <is>
          <t>JOAA-DECISION</t>
        </is>
      </c>
      <c r="AB86" t="inlineStr">
        <is>
          <t>SOURCE+DEC</t>
        </is>
      </c>
      <c r="AC86" t="inlineStr">
        <is>
          <t>n/a (sub-item)</t>
        </is>
      </c>
      <c r="AD86" t="inlineStr">
        <is>
          <t>NEW (repo sweep)</t>
        </is>
      </c>
      <c r="AE86" t="inlineStr">
        <is>
          <t>2026-10-22</t>
        </is>
      </c>
      <c r="AF86" t="inlineStr">
        <is>
          <t>INT-T-007 line 1; design/package-v5/03 s4a</t>
        </is>
      </c>
      <c r="AH86" t="inlineStr">
        <is>
          <t>No</t>
        </is>
      </c>
      <c r="AI86" t="inlineStr">
        <is>
          <t>Answered (REQ-J22-04): Executor is a source of reusable parts and an optional baseline, not a required one; taken apart in design/package-v5/03 section 4a</t>
        </is>
      </c>
      <c r="AJ86" t="inlineStr">
        <is>
          <t>repo: v4-02 / v3-04 section 5 / v2-05 section 3</t>
        </is>
      </c>
      <c r="AK86" t="inlineStr">
        <is>
          <t>A7, CAVEATS 6</t>
        </is>
      </c>
      <c r="AL86" t="inlineStr">
        <is>
          <t>S08</t>
        </is>
      </c>
    </row>
    <row r="87" ht="15" customHeight="1">
      <c r="A87" t="inlineStr">
        <is>
          <t>AS-07</t>
        </is>
      </c>
      <c r="B87" t="inlineStr">
        <is>
          <t>Supervisor assertion A7: 'Executor' exposes connection prefixes and meta-tools (tool search, details, results) instead of listing all tools</t>
        </is>
      </c>
      <c r="C87" t="inlineStr">
        <is>
          <t>CLOSED - BY EVIDENCE</t>
        </is>
      </c>
      <c r="D87" t="inlineStr">
        <is>
          <t>No</t>
        </is>
      </c>
      <c r="F87" t="n">
        <v>0</v>
      </c>
      <c r="G87" t="inlineStr">
        <is>
          <t>SOURCE-REREAD</t>
        </is>
      </c>
      <c r="H87" t="inlineStr">
        <is>
          <t>K14 Source &amp; vendor verification</t>
        </is>
      </c>
      <c r="I87" t="inlineStr">
        <is>
          <t>G4 Before claims</t>
        </is>
      </c>
      <c r="J87" t="inlineStr">
        <is>
          <t>Normal</t>
        </is>
      </c>
      <c r="K87" t="n">
        <v>77</v>
      </c>
      <c r="L87" t="inlineStr">
        <is>
          <t>W2 Desk work (no model runs)</t>
        </is>
      </c>
      <c r="M87" t="inlineStr">
        <is>
          <t>S11</t>
        </is>
      </c>
      <c r="N87" t="inlineStr">
        <is>
          <t>Lead / team</t>
        </is>
      </c>
      <c r="O87" t="inlineStr">
        <is>
          <t>Read Executor's MCP docs (05 P0); Q-J33 reworded</t>
        </is>
      </c>
      <c r="P87" t="inlineStr">
        <is>
          <t>Yes - stored text, unread</t>
        </is>
      </c>
      <c r="Q87" t="inlineStr">
        <is>
          <t>Claim to test</t>
        </is>
      </c>
      <c r="R87" t="inlineStr">
        <is>
          <t>Item</t>
        </is>
      </c>
      <c r="T87" t="inlineStr">
        <is>
          <t>REQ-A1 A7: 'Executor' exposes connection prefixes and meta-tools (tool search, details, results) instead of listing all tools. Product identity and behaviour must be checked at source; Executor docs/code are stored (r4-executor-*).</t>
        </is>
      </c>
      <c r="U87"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 | V5 2026-10-22: Executor README read (UsefulSoftwareCo/executor, MIT, 4,235 stars, 2026-10-22); its MCP surface is not in the README</t>
        </is>
      </c>
      <c r="V87" t="inlineStr">
        <is>
          <t>Product identity and behaviour must be checked at source; Executor docs/code are stored (r4-executor-*).</t>
        </is>
      </c>
      <c r="Y87" t="inlineStr">
        <is>
          <t>Q-J16</t>
        </is>
      </c>
      <c r="AB87" t="inlineStr">
        <is>
          <t>SOURCE</t>
        </is>
      </c>
      <c r="AC87" t="inlineStr">
        <is>
          <t>n/a (REGISTER E)</t>
        </is>
      </c>
      <c r="AD87" t="inlineStr">
        <is>
          <t>NEW (repo sweep)</t>
        </is>
      </c>
      <c r="AE87" t="inlineStr">
        <is>
          <t>2026-10-22</t>
        </is>
      </c>
      <c r="AF87" t="inlineStr">
        <is>
          <t>L/v5-executor-docs-mcp-20261022.md:19-36, :74</t>
        </is>
      </c>
      <c r="AH87" t="inlineStr">
        <is>
          <t>No</t>
        </is>
      </c>
      <c r="AI87" t="inlineStr">
        <is>
          <t>Executor's own docs: one MCP endpoint, six meta-tools whose list does not grow with the catalogue, tools reached by app-slug paths</t>
        </is>
      </c>
      <c r="AJ87" t="inlineStr">
        <is>
          <t>repo: REGISTER section E / EXT-0004</t>
        </is>
      </c>
      <c r="AK87" t="inlineStr">
        <is>
          <t>REQ-A1 A7</t>
        </is>
      </c>
      <c r="AL87" t="inlineStr">
        <is>
          <t>S11</t>
        </is>
      </c>
    </row>
    <row r="88">
      <c r="A88" t="inlineStr">
        <is>
          <t>N-34</t>
        </is>
      </c>
      <c r="B88" t="inlineStr">
        <is>
          <t>Exposé ideas to be tested against V5's result (Q-U32)</t>
        </is>
      </c>
      <c r="C88" t="inlineStr">
        <is>
          <t>CLOSED - BY EVIDENCE</t>
        </is>
      </c>
      <c r="D88" t="inlineStr">
        <is>
          <t>No</t>
        </is>
      </c>
      <c r="F88" t="n">
        <v>0</v>
      </c>
      <c r="G88" t="inlineStr">
        <is>
          <t>USER-DECISION</t>
        </is>
      </c>
      <c r="H88" t="inlineStr">
        <is>
          <t>K6 Deliverable &amp; authorization</t>
        </is>
      </c>
      <c r="I88" t="inlineStr">
        <is>
          <t>G2 Before the affected pilot/arm</t>
        </is>
      </c>
      <c r="J88" t="inlineStr">
        <is>
          <t>Normal</t>
        </is>
      </c>
      <c r="N88" t="inlineStr">
        <is>
          <t>Lead; you decide</t>
        </is>
      </c>
      <c r="O88" t="inlineStr">
        <is>
          <t>The human copies the exposé into the workspace</t>
        </is>
      </c>
      <c r="Q88" t="inlineStr">
        <is>
          <t>Source check</t>
        </is>
      </c>
      <c r="R88" t="inlineStr">
        <is>
          <t>Item</t>
        </is>
      </c>
      <c r="T88" t="inlineStr">
        <is>
          <t>Check the June exposé's ideas only, as ordinary candidates (INT-T-006 line 10)</t>
        </is>
      </c>
      <c r="U88" t="inlineStr">
        <is>
          <t>The exposé and the experiment brief named by the human are outside the workspace; the guard blocks reading them; copies inside the workspace are needed</t>
        </is>
      </c>
      <c r="V88" t="inlineStr">
        <is>
          <t>Each idea kept, revised or dropped with a reason</t>
        </is>
      </c>
      <c r="Y88" t="inlineStr">
        <is>
          <t>Q-U32</t>
        </is>
      </c>
      <c r="AD88" t="inlineStr">
        <is>
          <t>NEW (V5, 2026-10-22)</t>
        </is>
      </c>
      <c r="AE88" t="inlineStr">
        <is>
          <t>2026-10-25</t>
        </is>
      </c>
      <c r="AF88" t="inlineStr">
        <is>
          <t>design/package-v5/09-expose-ideas-checked.md; INT-T-008</t>
        </is>
      </c>
      <c r="AH88" t="inlineStr">
        <is>
          <t>No (AUTH-020 limits)</t>
        </is>
      </c>
      <c r="AI88"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AJ88" t="inlineStr">
        <is>
          <t>design/package-v5/08-ledger-proposals.md section 2</t>
        </is>
      </c>
    </row>
    <row r="90">
      <c r="A90"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70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7">
      <c r="A547" t="inlineStr">
        <is>
          <t>2026-10-22</t>
        </is>
      </c>
      <c r="B547" t="inlineStr">
        <is>
          <t>N-6</t>
        </is>
      </c>
      <c r="C547" t="inlineStr">
        <is>
          <t>Current status</t>
        </is>
      </c>
      <c r="D547" t="inlineStr">
        <is>
          <t>NOT LOCATED</t>
        </is>
      </c>
      <c r="E547" t="inlineStr">
        <is>
          <t>PARTLY ANSWERED</t>
        </is>
      </c>
      <c r="F547" t="inlineStr">
        <is>
          <t>design/package-v5/08-ledger-proposals.md section 1; basis design/package-v5/03 s5; search log s2; INT-T-006 line 23</t>
        </is>
      </c>
      <c r="G547" t="inlineStr">
        <is>
          <t>V5 (AUTH-020); accepted by the human Q-U31 (INT-T-006 line 8)</t>
        </is>
      </c>
      <c r="H547" t="inlineStr">
        <is>
          <t>Claude</t>
        </is>
      </c>
    </row>
    <row r="548">
      <c r="A548" t="inlineStr">
        <is>
          <t>2026-10-22</t>
        </is>
      </c>
      <c r="B548" t="inlineStr">
        <is>
          <t>N-6</t>
        </is>
      </c>
      <c r="C548" t="inlineStr">
        <is>
          <t>What is known now</t>
        </is>
      </c>
      <c r="D548" t="inlineStr">
        <is>
          <t>(appended)</t>
        </is>
      </c>
      <c r="E548" t="inlineStr">
        <is>
          <t>personalized tool memory exists over small tool sets (PRTA, memory-conditioned tool calling; design/package-v5/03 s5); per-user seeding of tool definitions from a large catalogue with the bill measure</t>
        </is>
      </c>
      <c r="F548" t="inlineStr">
        <is>
          <t>design/package-v5/08 section 1</t>
        </is>
      </c>
      <c r="G548" t="inlineStr">
        <is>
          <t>V5 (AUTH-020); accepted by the human Q-U31 (INT-T-006 line 8)</t>
        </is>
      </c>
      <c r="H548" t="inlineStr">
        <is>
          <t>Claude</t>
        </is>
      </c>
    </row>
    <row r="549">
      <c r="A549" t="inlineStr">
        <is>
          <t>2026-10-22</t>
        </is>
      </c>
      <c r="B549" t="inlineStr">
        <is>
          <t>N-6</t>
        </is>
      </c>
      <c r="C549" t="inlineStr">
        <is>
          <t>Next action</t>
        </is>
      </c>
      <c r="D549" t="inlineStr">
        <is>
          <t>Pilot design once N-28 is settled</t>
        </is>
      </c>
      <c r="E549" t="inlineStr">
        <is>
          <t>05 P1 (needs AUTH)</t>
        </is>
      </c>
      <c r="F549" t="inlineStr">
        <is>
          <t>design/package-v5/08-ledger-proposals.md section 1</t>
        </is>
      </c>
      <c r="G549" t="inlineStr">
        <is>
          <t>V5 (AUTH-020); accepted by the human Q-U31 (INT-T-006 line 8)</t>
        </is>
      </c>
      <c r="H549" t="inlineStr">
        <is>
          <t>Claude</t>
        </is>
      </c>
    </row>
    <row r="550">
      <c r="A550" t="inlineStr">
        <is>
          <t>2026-10-22</t>
        </is>
      </c>
      <c r="B550" t="inlineStr">
        <is>
          <t>N-6</t>
        </is>
      </c>
      <c r="C550" t="inlineStr">
        <is>
          <t>Status date</t>
        </is>
      </c>
      <c r="D550" t="inlineStr">
        <is>
          <t>2026-10-21</t>
        </is>
      </c>
      <c r="E550" t="inlineStr">
        <is>
          <t>2026-10-22</t>
        </is>
      </c>
      <c r="F550" t="inlineStr">
        <is>
          <t>V5</t>
        </is>
      </c>
      <c r="G550" t="inlineStr">
        <is>
          <t>V5 (AUTH-020); accepted by the human Q-U31 (INT-T-006 line 8)</t>
        </is>
      </c>
      <c r="H550" t="inlineStr">
        <is>
          <t>Claude</t>
        </is>
      </c>
    </row>
    <row r="551">
      <c r="A551" t="inlineStr">
        <is>
          <t>2026-10-22</t>
        </is>
      </c>
      <c r="B551" t="inlineStr">
        <is>
          <t>N-6</t>
        </is>
      </c>
      <c r="C551" t="inlineStr">
        <is>
          <t>Status basis (evidence pointer)</t>
        </is>
      </c>
      <c r="D551" t="inlineStr">
        <is>
          <t>INT-T-002 (requirements/intake/2026-10-21-supervisor-meeting-2026-10-21-notes-and-transcript.md); mapping design/ledger/notes/MEETINGS-MAPPING-20261021.md checked line by line by FND-0035 and FND-0036; REGISTER section H</t>
        </is>
      </c>
      <c r="E551" t="inlineStr">
        <is>
          <t>design/package-v5/03 s5; search log s2; INT-T-006 line 23</t>
        </is>
      </c>
      <c r="F551" t="inlineStr">
        <is>
          <t>V5</t>
        </is>
      </c>
      <c r="G551" t="inlineStr">
        <is>
          <t>V5 (AUTH-020); accepted by the human Q-U31 (INT-T-006 line 8)</t>
        </is>
      </c>
      <c r="H551" t="inlineStr">
        <is>
          <t>Claude</t>
        </is>
      </c>
    </row>
    <row r="552">
      <c r="A552" t="inlineStr">
        <is>
          <t>2026-10-22</t>
        </is>
      </c>
      <c r="B552" t="inlineStr">
        <is>
          <t>N-7</t>
        </is>
      </c>
      <c r="C552" t="inlineStr">
        <is>
          <t>Current status</t>
        </is>
      </c>
      <c r="D552" t="inlineStr">
        <is>
          <t>OPEN</t>
        </is>
      </c>
      <c r="E552" t="inlineStr">
        <is>
          <t>PARTLY ANSWERED</t>
        </is>
      </c>
      <c r="F552" t="inlineStr">
        <is>
          <t>design/package-v5/08-ledger-proposals.md section 1; basis design/package-v5/04 V5-R06</t>
        </is>
      </c>
      <c r="G552" t="inlineStr">
        <is>
          <t>V5 (AUTH-020); accepted by the human Q-U31 (INT-T-006 line 8)</t>
        </is>
      </c>
      <c r="H552" t="inlineStr">
        <is>
          <t>Claude</t>
        </is>
      </c>
    </row>
    <row r="553">
      <c r="A553" t="inlineStr">
        <is>
          <t>2026-10-22</t>
        </is>
      </c>
      <c r="B553" t="inlineStr">
        <is>
          <t>N-7</t>
        </is>
      </c>
      <c r="C553" t="inlineStr">
        <is>
          <t>What is known now</t>
        </is>
      </c>
      <c r="D553" t="inlineStr">
        <is>
          <t>(appended)</t>
        </is>
      </c>
      <c r="E553" t="inlineStr">
        <is>
          <t>resolved in design: per-user seeds placed after a shared, task-independent prefix (04 V5-R06); provider sharing scope still unstated; prefix caching on the university API unknown (05 P0 part 2)</t>
        </is>
      </c>
      <c r="F553" t="inlineStr">
        <is>
          <t>design/package-v5/08 section 1</t>
        </is>
      </c>
      <c r="G553" t="inlineStr">
        <is>
          <t>V5 (AUTH-020); accepted by the human Q-U31 (INT-T-006 line 8)</t>
        </is>
      </c>
      <c r="H553" t="inlineStr">
        <is>
          <t>Claude</t>
        </is>
      </c>
    </row>
    <row r="554">
      <c r="A554" t="inlineStr">
        <is>
          <t>2026-10-22</t>
        </is>
      </c>
      <c r="B554" t="inlineStr">
        <is>
          <t>N-7</t>
        </is>
      </c>
      <c r="C554" t="inlineStr">
        <is>
          <t>Next action</t>
        </is>
      </c>
      <c r="D554" t="inlineStr">
        <is>
          <t>Needs an AUTH and a protocol</t>
        </is>
      </c>
      <c r="E554" t="inlineStr">
        <is>
          <t>05 P0 part 2</t>
        </is>
      </c>
      <c r="F554" t="inlineStr">
        <is>
          <t>design/package-v5/08-ledger-proposals.md section 1</t>
        </is>
      </c>
      <c r="G554" t="inlineStr">
        <is>
          <t>V5 (AUTH-020); accepted by the human Q-U31 (INT-T-006 line 8)</t>
        </is>
      </c>
      <c r="H554" t="inlineStr">
        <is>
          <t>Claude</t>
        </is>
      </c>
    </row>
    <row r="555">
      <c r="A555" t="inlineStr">
        <is>
          <t>2026-10-22</t>
        </is>
      </c>
      <c r="B555" t="inlineStr">
        <is>
          <t>N-7</t>
        </is>
      </c>
      <c r="C555" t="inlineStr">
        <is>
          <t>Status date</t>
        </is>
      </c>
      <c r="D555" t="inlineStr">
        <is>
          <t>2026-10-19</t>
        </is>
      </c>
      <c r="E555" t="inlineStr">
        <is>
          <t>2026-10-22</t>
        </is>
      </c>
      <c r="F555" t="inlineStr">
        <is>
          <t>V5</t>
        </is>
      </c>
      <c r="G555" t="inlineStr">
        <is>
          <t>V5 (AUTH-020); accepted by the human Q-U31 (INT-T-006 line 8)</t>
        </is>
      </c>
      <c r="H555" t="inlineStr">
        <is>
          <t>Claude</t>
        </is>
      </c>
    </row>
    <row r="556">
      <c r="A556" t="inlineStr">
        <is>
          <t>2026-10-22</t>
        </is>
      </c>
      <c r="B556" t="inlineStr">
        <is>
          <t>N-7</t>
        </is>
      </c>
      <c r="C556" t="inlineStr">
        <is>
          <t>Status basis (evidence pointer)</t>
        </is>
      </c>
      <c r="D556" t="inlineStr">
        <is>
          <t>v4-04 section 4 risk (iii)</t>
        </is>
      </c>
      <c r="E556" t="inlineStr">
        <is>
          <t>design/package-v5/04 V5-R06</t>
        </is>
      </c>
      <c r="F556" t="inlineStr">
        <is>
          <t>V5</t>
        </is>
      </c>
      <c r="G556" t="inlineStr">
        <is>
          <t>V5 (AUTH-020); accepted by the human Q-U31 (INT-T-006 line 8)</t>
        </is>
      </c>
      <c r="H556" t="inlineStr">
        <is>
          <t>Claude</t>
        </is>
      </c>
    </row>
    <row r="557">
      <c r="A557" t="inlineStr">
        <is>
          <t>2026-10-22</t>
        </is>
      </c>
      <c r="B557" t="inlineStr">
        <is>
          <t>AS-07</t>
        </is>
      </c>
      <c r="C557" t="inlineStr">
        <is>
          <t>What is known now</t>
        </is>
      </c>
      <c r="D557" t="inlineStr">
        <is>
          <t>(appended)</t>
        </is>
      </c>
      <c r="E557" t="inlineStr">
        <is>
          <t>Executor README read (UsefulSoftwareCo/executor, MIT, 4,235 stars, 2026-10-22); its MCP surface is not in the README</t>
        </is>
      </c>
      <c r="F557" t="inlineStr">
        <is>
          <t>design/package-v5/08 section 1</t>
        </is>
      </c>
      <c r="G557" t="inlineStr">
        <is>
          <t>V5 (AUTH-020); accepted by the human Q-U31 (INT-T-006 line 8)</t>
        </is>
      </c>
      <c r="H557" t="inlineStr">
        <is>
          <t>Claude</t>
        </is>
      </c>
    </row>
    <row r="558">
      <c r="A558" t="inlineStr">
        <is>
          <t>2026-10-22</t>
        </is>
      </c>
      <c r="B558" t="inlineStr">
        <is>
          <t>AS-07</t>
        </is>
      </c>
      <c r="C558" t="inlineStr">
        <is>
          <t>Next action</t>
        </is>
      </c>
      <c r="D558" t="inlineStr">
        <is>
          <t>Check the Executor version when pinning it</t>
        </is>
      </c>
      <c r="E558" t="inlineStr">
        <is>
          <t>Read Executor's MCP docs (05 P0); Q-J33 reworded</t>
        </is>
      </c>
      <c r="F558" t="inlineStr">
        <is>
          <t>design/package-v5/08-ledger-proposals.md section 1</t>
        </is>
      </c>
      <c r="G558" t="inlineStr">
        <is>
          <t>V5 (AUTH-020); accepted by the human Q-U31 (INT-T-006 line 8)</t>
        </is>
      </c>
      <c r="H558" t="inlineStr">
        <is>
          <t>Claude</t>
        </is>
      </c>
    </row>
    <row r="559">
      <c r="A559" t="inlineStr">
        <is>
          <t>2026-10-22</t>
        </is>
      </c>
      <c r="B559" t="inlineStr">
        <is>
          <t>AS-07</t>
        </is>
      </c>
      <c r="C559" t="inlineStr">
        <is>
          <t>Status date</t>
        </is>
      </c>
      <c r="D559" t="inlineStr">
        <is>
          <t>2026-10-21</t>
        </is>
      </c>
      <c r="E559" t="inlineStr">
        <is>
          <t>2026-10-22</t>
        </is>
      </c>
      <c r="F559" t="inlineStr">
        <is>
          <t>V5</t>
        </is>
      </c>
      <c r="G559" t="inlineStr">
        <is>
          <t>V5 (AUTH-020); accepted by the human Q-U31 (INT-T-006 line 8)</t>
        </is>
      </c>
      <c r="H559" t="inlineStr">
        <is>
          <t>Claude</t>
        </is>
      </c>
    </row>
    <row r="560">
      <c r="A560" t="inlineStr">
        <is>
          <t>2026-10-22</t>
        </is>
      </c>
      <c r="B560" t="inlineStr">
        <is>
          <t>AS-07</t>
        </is>
      </c>
      <c r="C560" t="inlineStr">
        <is>
          <t>Status basis (evidence pointer)</t>
        </is>
      </c>
      <c r="D560" t="inlineStr">
        <is>
          <t>INT-T-004 (requirements/intake/2026-10-21-supervisor-meeting-2026-10-02-excerpts.md); mapping design/ledger/notes/MEETINGS-MAPPING-20261021.md checked line by line by FND-0035 and FND-0036; REGISTER section H</t>
        </is>
      </c>
      <c r="E560" t="inlineStr">
        <is>
          <t>L/v5-executor-readme-20261022.md:5-7, :123</t>
        </is>
      </c>
      <c r="F560" t="inlineStr">
        <is>
          <t>V5</t>
        </is>
      </c>
      <c r="G560" t="inlineStr">
        <is>
          <t>V5 (AUTH-020); accepted by the human Q-U31 (INT-T-006 line 8)</t>
        </is>
      </c>
      <c r="H560" t="inlineStr">
        <is>
          <t>Claude</t>
        </is>
      </c>
    </row>
    <row r="561">
      <c r="A561" t="inlineStr">
        <is>
          <t>2026-10-22</t>
        </is>
      </c>
      <c r="B561" t="inlineStr">
        <is>
          <t>C-D08/EXEC</t>
        </is>
      </c>
      <c r="C561" t="inlineStr">
        <is>
          <t>What is known now</t>
        </is>
      </c>
      <c r="D561" t="inlineStr">
        <is>
          <t>(appended)</t>
        </is>
      </c>
      <c r="E561" t="inlineStr">
        <is>
          <t>identified as above; required baseline (REQ-O02-06); Q-J33 reworded, assumption 'as shipped'</t>
        </is>
      </c>
      <c r="F561" t="inlineStr">
        <is>
          <t>design/package-v5/08 section 1</t>
        </is>
      </c>
      <c r="G561" t="inlineStr">
        <is>
          <t>V5 (AUTH-020); accepted by the human Q-U31 (INT-T-006 line 8)</t>
        </is>
      </c>
      <c r="H561" t="inlineStr">
        <is>
          <t>Claude</t>
        </is>
      </c>
    </row>
    <row r="562">
      <c r="A562" t="inlineStr">
        <is>
          <t>2026-10-22</t>
        </is>
      </c>
      <c r="B562" t="inlineStr">
        <is>
          <t>C-D08/EXEC</t>
        </is>
      </c>
      <c r="C562" t="inlineStr">
        <is>
          <t>Next action</t>
        </is>
      </c>
      <c r="D562" t="inlineStr">
        <is>
          <t>Pin the Executor version and models in the contract</t>
        </is>
      </c>
      <c r="E562" t="inlineStr">
        <is>
          <t>Q-J33</t>
        </is>
      </c>
      <c r="F562" t="inlineStr">
        <is>
          <t>design/package-v5/08-ledger-proposals.md section 1</t>
        </is>
      </c>
      <c r="G562" t="inlineStr">
        <is>
          <t>V5 (AUTH-020); accepted by the human Q-U31 (INT-T-006 line 8)</t>
        </is>
      </c>
      <c r="H562" t="inlineStr">
        <is>
          <t>Claude</t>
        </is>
      </c>
    </row>
    <row r="563">
      <c r="A563" t="inlineStr">
        <is>
          <t>2026-10-22</t>
        </is>
      </c>
      <c r="B563" t="inlineStr">
        <is>
          <t>C-D08/EXEC</t>
        </is>
      </c>
      <c r="C563" t="inlineStr">
        <is>
          <t>Status date</t>
        </is>
      </c>
      <c r="D563" t="inlineStr">
        <is>
          <t>2026-10-21</t>
        </is>
      </c>
      <c r="E563" t="inlineStr">
        <is>
          <t>2026-10-22</t>
        </is>
      </c>
      <c r="F563" t="inlineStr">
        <is>
          <t>V5</t>
        </is>
      </c>
      <c r="G563" t="inlineStr">
        <is>
          <t>V5 (AUTH-020); accepted by the human Q-U31 (INT-T-006 line 8)</t>
        </is>
      </c>
      <c r="H563" t="inlineStr">
        <is>
          <t>Claude</t>
        </is>
      </c>
    </row>
    <row r="564">
      <c r="A564" t="inlineStr">
        <is>
          <t>2026-10-22</t>
        </is>
      </c>
      <c r="B564" t="inlineStr">
        <is>
          <t>C-D08/EXEC</t>
        </is>
      </c>
      <c r="C564" t="inlineStr">
        <is>
          <t>Status basis (evidence pointer)</t>
        </is>
      </c>
      <c r="D564"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E564" t="inlineStr">
        <is>
          <t>design/package-v5/05 s4</t>
        </is>
      </c>
      <c r="F564" t="inlineStr">
        <is>
          <t>V5</t>
        </is>
      </c>
      <c r="G564" t="inlineStr">
        <is>
          <t>V5 (AUTH-020); accepted by the human Q-U31 (INT-T-006 line 8)</t>
        </is>
      </c>
      <c r="H564" t="inlineStr">
        <is>
          <t>Claude</t>
        </is>
      </c>
    </row>
    <row r="565">
      <c r="A565" t="inlineStr">
        <is>
          <t>2026-10-22</t>
        </is>
      </c>
      <c r="B565" t="inlineStr">
        <is>
          <t>AS-09</t>
        </is>
      </c>
      <c r="C565" t="inlineStr">
        <is>
          <t>What is known now</t>
        </is>
      </c>
      <c r="D565" t="inlineStr">
        <is>
          <t>(appended)</t>
        </is>
      </c>
      <c r="E565" t="inlineStr">
        <is>
          <t>vendors ship partial-information tiers: an OpenAI deferred function shows name and description, schema deferred; a namespace shows only its own description</t>
        </is>
      </c>
      <c r="F565" t="inlineStr">
        <is>
          <t>design/package-v5/08 section 1</t>
        </is>
      </c>
      <c r="G565" t="inlineStr">
        <is>
          <t>V5 (AUTH-020); accepted by the human Q-U31 (INT-T-006 line 8)</t>
        </is>
      </c>
      <c r="H565" t="inlineStr">
        <is>
          <t>Claude</t>
        </is>
      </c>
    </row>
    <row r="566">
      <c r="A566" t="inlineStr">
        <is>
          <t>2026-10-22</t>
        </is>
      </c>
      <c r="B566" t="inlineStr">
        <is>
          <t>AS-09</t>
        </is>
      </c>
      <c r="C566" t="inlineStr">
        <is>
          <t>Next action</t>
        </is>
      </c>
      <c r="D566" t="inlineStr">
        <is>
          <t>Q-J28 stays for the name; Executor's documentation is the first candidate</t>
        </is>
      </c>
      <c r="E566" t="inlineStr">
        <is>
          <t>Q-J28 (source the supervisor meant)</t>
        </is>
      </c>
      <c r="F566" t="inlineStr">
        <is>
          <t>design/package-v5/08-ledger-proposals.md section 1</t>
        </is>
      </c>
      <c r="G566" t="inlineStr">
        <is>
          <t>V5 (AUTH-020); accepted by the human Q-U31 (INT-T-006 line 8)</t>
        </is>
      </c>
      <c r="H566" t="inlineStr">
        <is>
          <t>Claude</t>
        </is>
      </c>
    </row>
    <row r="567">
      <c r="A567" t="inlineStr">
        <is>
          <t>2026-10-22</t>
        </is>
      </c>
      <c r="B567" t="inlineStr">
        <is>
          <t>AS-09</t>
        </is>
      </c>
      <c r="C567" t="inlineStr">
        <is>
          <t>Status date</t>
        </is>
      </c>
      <c r="D567" t="inlineStr">
        <is>
          <t>2026-10-21</t>
        </is>
      </c>
      <c r="E567" t="inlineStr">
        <is>
          <t>2026-10-22</t>
        </is>
      </c>
      <c r="F567" t="inlineStr">
        <is>
          <t>V5</t>
        </is>
      </c>
      <c r="G567" t="inlineStr">
        <is>
          <t>V5 (AUTH-020); accepted by the human Q-U31 (INT-T-006 line 8)</t>
        </is>
      </c>
      <c r="H567" t="inlineStr">
        <is>
          <t>Claude</t>
        </is>
      </c>
    </row>
    <row r="568">
      <c r="A568" t="inlineStr">
        <is>
          <t>2026-10-22</t>
        </is>
      </c>
      <c r="B568" t="inlineStr">
        <is>
          <t>AS-09</t>
        </is>
      </c>
      <c r="C568" t="inlineStr">
        <is>
          <t>Status basis (evidence pointer)</t>
        </is>
      </c>
      <c r="D568" t="inlineStr">
        <is>
          <t>INT-T-004 (requirements/intake/2026-10-21-supervisor-meeting-2026-10-02-excerpts.md); mapping design/ledger/notes/MEETINGS-MAPPING-20261021.md checked line by line by FND-0035 and FND-0036; REGISTER section H</t>
        </is>
      </c>
      <c r="E568" t="inlineStr">
        <is>
          <t>L/v5-openai-tool-search-20261022.md:22</t>
        </is>
      </c>
      <c r="F568" t="inlineStr">
        <is>
          <t>V5</t>
        </is>
      </c>
      <c r="G568" t="inlineStr">
        <is>
          <t>V5 (AUTH-020); accepted by the human Q-U31 (INT-T-006 line 8)</t>
        </is>
      </c>
      <c r="H568" t="inlineStr">
        <is>
          <t>Claude</t>
        </is>
      </c>
    </row>
    <row r="569">
      <c r="A569" t="inlineStr">
        <is>
          <t>2026-10-22</t>
        </is>
      </c>
      <c r="B569" t="inlineStr">
        <is>
          <t>AS-13</t>
        </is>
      </c>
      <c r="C569" t="inlineStr">
        <is>
          <t>Current status</t>
        </is>
      </c>
      <c r="D569" t="inlineStr">
        <is>
          <t>NOT LOCATED</t>
        </is>
      </c>
      <c r="E569" t="inlineStr">
        <is>
          <t>PARTLY ANSWERED</t>
        </is>
      </c>
      <c r="F569" t="inlineStr">
        <is>
          <t>design/package-v5/08-ledger-proposals.md section 1; basis L/v5-openai-tool-search-20261022.md:22; INT-T-006 line 25</t>
        </is>
      </c>
      <c r="G569" t="inlineStr">
        <is>
          <t>V5 (AUTH-020); accepted by the human Q-U31 (INT-T-006 line 8)</t>
        </is>
      </c>
      <c r="H569" t="inlineStr">
        <is>
          <t>Claude</t>
        </is>
      </c>
    </row>
    <row r="570">
      <c r="A570" t="inlineStr">
        <is>
          <t>2026-10-22</t>
        </is>
      </c>
      <c r="B570" t="inlineStr">
        <is>
          <t>AS-13</t>
        </is>
      </c>
      <c r="C570" t="inlineStr">
        <is>
          <t>What is known now</t>
        </is>
      </c>
      <c r="D570" t="inlineStr">
        <is>
          <t>(appended)</t>
        </is>
      </c>
      <c r="E570" t="inlineStr">
        <is>
          <t>the tier form exists in vendor products; its accuracy effect is not reported; REQ-J22-02: count reduction was an example, the goal is the bill</t>
        </is>
      </c>
      <c r="F570" t="inlineStr">
        <is>
          <t>design/package-v5/08 section 1</t>
        </is>
      </c>
      <c r="G570" t="inlineStr">
        <is>
          <t>V5 (AUTH-020); accepted by the human Q-U31 (INT-T-006 line 8)</t>
        </is>
      </c>
      <c r="H570" t="inlineStr">
        <is>
          <t>Claude</t>
        </is>
      </c>
    </row>
    <row r="571">
      <c r="A571" t="inlineStr">
        <is>
          <t>2026-10-22</t>
        </is>
      </c>
      <c r="B571" t="inlineStr">
        <is>
          <t>AS-13</t>
        </is>
      </c>
      <c r="C571" t="inlineStr">
        <is>
          <t>Next action</t>
        </is>
      </c>
      <c r="D571" t="inlineStr">
        <is>
          <t>A graded-exposure arm is a candidate pilot cell</t>
        </is>
      </c>
      <c r="E571" t="inlineStr">
        <is>
          <t>Graded-exposure arm only if the loop needs it</t>
        </is>
      </c>
      <c r="F571" t="inlineStr">
        <is>
          <t>design/package-v5/08-ledger-proposals.md section 1</t>
        </is>
      </c>
      <c r="G571" t="inlineStr">
        <is>
          <t>V5 (AUTH-020); accepted by the human Q-U31 (INT-T-006 line 8)</t>
        </is>
      </c>
      <c r="H571" t="inlineStr">
        <is>
          <t>Claude</t>
        </is>
      </c>
    </row>
    <row r="572">
      <c r="A572" t="inlineStr">
        <is>
          <t>2026-10-22</t>
        </is>
      </c>
      <c r="B572" t="inlineStr">
        <is>
          <t>AS-13</t>
        </is>
      </c>
      <c r="C572" t="inlineStr">
        <is>
          <t>Status date</t>
        </is>
      </c>
      <c r="D572" t="inlineStr">
        <is>
          <t>2026-10-21</t>
        </is>
      </c>
      <c r="E572" t="inlineStr">
        <is>
          <t>2026-10-22</t>
        </is>
      </c>
      <c r="F572" t="inlineStr">
        <is>
          <t>V5</t>
        </is>
      </c>
      <c r="G572" t="inlineStr">
        <is>
          <t>V5 (AUTH-020); accepted by the human Q-U31 (INT-T-006 line 8)</t>
        </is>
      </c>
      <c r="H572" t="inlineStr">
        <is>
          <t>Claude</t>
        </is>
      </c>
    </row>
    <row r="573">
      <c r="A573" t="inlineStr">
        <is>
          <t>2026-10-22</t>
        </is>
      </c>
      <c r="B573" t="inlineStr">
        <is>
          <t>AS-13</t>
        </is>
      </c>
      <c r="C573" t="inlineStr">
        <is>
          <t>Status basis (evidence pointer)</t>
        </is>
      </c>
      <c r="D573" t="inlineStr">
        <is>
          <t>INT-T-004 (requirements/intake/2026-10-21-supervisor-meeting-2026-10-02-excerpts.md); mapping design/ledger/notes/MEETINGS-MAPPING-20261021.md checked line by line by FND-0035 and FND-0036; REGISTER section H</t>
        </is>
      </c>
      <c r="E573" t="inlineStr">
        <is>
          <t>L/v5-openai-tool-search-20261022.md:22; INT-T-006 line 25</t>
        </is>
      </c>
      <c r="F573" t="inlineStr">
        <is>
          <t>V5</t>
        </is>
      </c>
      <c r="G573" t="inlineStr">
        <is>
          <t>V5 (AUTH-020); accepted by the human Q-U31 (INT-T-006 line 8)</t>
        </is>
      </c>
      <c r="H573" t="inlineStr">
        <is>
          <t>Claude</t>
        </is>
      </c>
    </row>
    <row r="574">
      <c r="A574" t="inlineStr">
        <is>
          <t>2026-10-22</t>
        </is>
      </c>
      <c r="B574" t="inlineStr">
        <is>
          <t>AS-15</t>
        </is>
      </c>
      <c r="C574" t="inlineStr">
        <is>
          <t>What is known now</t>
        </is>
      </c>
      <c r="D574" t="inlineStr">
        <is>
          <t>(appended)</t>
        </is>
      </c>
      <c r="E574" t="inlineStr">
        <is>
          <t>desk arithmetic done (D-02 part 2): consistent within one conversation against re-sending; grows with every request against not adding; his words INT-T-002 L209, L211, L219, L221 (design/package-v5/02</t>
        </is>
      </c>
      <c r="F574" t="inlineStr">
        <is>
          <t>design/package-v5/08 section 1</t>
        </is>
      </c>
      <c r="G574" t="inlineStr">
        <is>
          <t>V5 (AUTH-020); accepted by the human Q-U31 (INT-T-006 line 8)</t>
        </is>
      </c>
      <c r="H574" t="inlineStr">
        <is>
          <t>Claude</t>
        </is>
      </c>
    </row>
    <row r="575">
      <c r="A575" t="inlineStr">
        <is>
          <t>2026-10-22</t>
        </is>
      </c>
      <c r="B575" t="inlineStr">
        <is>
          <t>AS-15</t>
        </is>
      </c>
      <c r="C575" t="inlineStr">
        <is>
          <t>Next action</t>
        </is>
      </c>
      <c r="D575" t="inlineStr">
        <is>
          <t>Desk arithmetic with the stored prices; the billing probe settles it</t>
        </is>
      </c>
      <c r="E575" t="inlineStr">
        <is>
          <t>Billing reading 05 P0 part 2</t>
        </is>
      </c>
      <c r="F575" t="inlineStr">
        <is>
          <t>design/package-v5/08-ledger-proposals.md section 1</t>
        </is>
      </c>
      <c r="G575" t="inlineStr">
        <is>
          <t>V5 (AUTH-020); accepted by the human Q-U31 (INT-T-006 line 8)</t>
        </is>
      </c>
      <c r="H575" t="inlineStr">
        <is>
          <t>Claude</t>
        </is>
      </c>
    </row>
    <row r="576">
      <c r="A576" t="inlineStr">
        <is>
          <t>2026-10-22</t>
        </is>
      </c>
      <c r="B576" t="inlineStr">
        <is>
          <t>AS-15</t>
        </is>
      </c>
      <c r="C576" t="inlineStr">
        <is>
          <t>Status date</t>
        </is>
      </c>
      <c r="D576" t="inlineStr">
        <is>
          <t>2026-10-21</t>
        </is>
      </c>
      <c r="E576" t="inlineStr">
        <is>
          <t>2026-10-22</t>
        </is>
      </c>
      <c r="F576" t="inlineStr">
        <is>
          <t>V5</t>
        </is>
      </c>
      <c r="G576" t="inlineStr">
        <is>
          <t>V5 (AUTH-020); accepted by the human Q-U31 (INT-T-006 line 8)</t>
        </is>
      </c>
      <c r="H576" t="inlineStr">
        <is>
          <t>Claude</t>
        </is>
      </c>
    </row>
    <row r="577">
      <c r="A577" t="inlineStr">
        <is>
          <t>2026-10-22</t>
        </is>
      </c>
      <c r="B577" t="inlineStr">
        <is>
          <t>AS-15</t>
        </is>
      </c>
      <c r="C577" t="inlineStr">
        <is>
          <t>Status basis (evidence pointer)</t>
        </is>
      </c>
      <c r="D577" t="inlineStr">
        <is>
          <t>INT-T-002 (requirements/intake/2026-10-21-supervisor-meeting-2026-10-21-notes-and-transcript.md); EXT-0150, EXT-0152, EXT-0085; mapping design/ledger/notes/MEETINGS-MAPPING-20261021.md checked line by line by FND-0035 and FND-0036; REGISTER section H</t>
        </is>
      </c>
      <c r="E577" t="inlineStr">
        <is>
          <t>design/package-v5/calc/memory_seed.stdout.txt; design/package-v5/02</t>
        </is>
      </c>
      <c r="F577" t="inlineStr">
        <is>
          <t>V5</t>
        </is>
      </c>
      <c r="G577" t="inlineStr">
        <is>
          <t>V5 (AUTH-020); accepted by the human Q-U31 (INT-T-006 line 8)</t>
        </is>
      </c>
      <c r="H577" t="inlineStr">
        <is>
          <t>Claude</t>
        </is>
      </c>
    </row>
    <row r="578">
      <c r="A578" t="inlineStr">
        <is>
          <t>2026-10-22</t>
        </is>
      </c>
      <c r="B578" t="inlineStr">
        <is>
          <t>C-S04</t>
        </is>
      </c>
      <c r="C578" t="inlineStr">
        <is>
          <t>What is known now</t>
        </is>
      </c>
      <c r="D578" t="inlineStr">
        <is>
          <t>(appended)</t>
        </is>
      </c>
      <c r="E578" t="inlineStr">
        <is>
          <t>TTL and gap cost now in D-01 and D-02 revision 3</t>
        </is>
      </c>
      <c r="F578" t="inlineStr">
        <is>
          <t>design/package-v5/08 section 1</t>
        </is>
      </c>
      <c r="G578" t="inlineStr">
        <is>
          <t>V5 (AUTH-020); accepted by the human Q-U31 (INT-T-006 line 8)</t>
        </is>
      </c>
      <c r="H578" t="inlineStr">
        <is>
          <t>Claude</t>
        </is>
      </c>
    </row>
    <row r="579">
      <c r="A579" t="inlineStr">
        <is>
          <t>2026-10-22</t>
        </is>
      </c>
      <c r="B579" t="inlineStr">
        <is>
          <t>C-S04</t>
        </is>
      </c>
      <c r="C579" t="inlineStr">
        <is>
          <t>Next action</t>
        </is>
      </c>
      <c r="D579" t="inlineStr">
        <is>
          <t>Test only the remainder, in the proof-of-concept loop</t>
        </is>
      </c>
      <c r="E579" t="inlineStr">
        <is>
          <t>Our gap distribution (05 P1)</t>
        </is>
      </c>
      <c r="F579" t="inlineStr">
        <is>
          <t>design/package-v5/08-ledger-proposals.md section 1</t>
        </is>
      </c>
      <c r="G579" t="inlineStr">
        <is>
          <t>V5 (AUTH-020); accepted by the human Q-U31 (INT-T-006 line 8)</t>
        </is>
      </c>
      <c r="H579" t="inlineStr">
        <is>
          <t>Claude</t>
        </is>
      </c>
    </row>
    <row r="580">
      <c r="A580" t="inlineStr">
        <is>
          <t>2026-10-22</t>
        </is>
      </c>
      <c r="B580" t="inlineStr">
        <is>
          <t>C-S04</t>
        </is>
      </c>
      <c r="C580" t="inlineStr">
        <is>
          <t>Status date</t>
        </is>
      </c>
      <c r="D580" t="inlineStr">
        <is>
          <t>2026-10-21</t>
        </is>
      </c>
      <c r="E580" t="inlineStr">
        <is>
          <t>2026-10-22</t>
        </is>
      </c>
      <c r="F580" t="inlineStr">
        <is>
          <t>V5</t>
        </is>
      </c>
      <c r="G580" t="inlineStr">
        <is>
          <t>V5 (AUTH-020); accepted by the human Q-U31 (INT-T-006 line 8)</t>
        </is>
      </c>
      <c r="H580" t="inlineStr">
        <is>
          <t>Claude</t>
        </is>
      </c>
    </row>
    <row r="581">
      <c r="A581" t="inlineStr">
        <is>
          <t>2026-10-22</t>
        </is>
      </c>
      <c r="B581" t="inlineStr">
        <is>
          <t>C-S04</t>
        </is>
      </c>
      <c r="C581" t="inlineStr">
        <is>
          <t>Status basis (evidence pointer)</t>
        </is>
      </c>
      <c r="D581" t="inlineStr">
        <is>
          <t>FND-0037 (findings/SUM-0039)</t>
        </is>
      </c>
      <c r="E581" t="inlineStr">
        <is>
          <t>design/package-v5/calc/</t>
        </is>
      </c>
      <c r="F581" t="inlineStr">
        <is>
          <t>V5</t>
        </is>
      </c>
      <c r="G581" t="inlineStr">
        <is>
          <t>V5 (AUTH-020); accepted by the human Q-U31 (INT-T-006 line 8)</t>
        </is>
      </c>
      <c r="H581" t="inlineStr">
        <is>
          <t>Claude</t>
        </is>
      </c>
    </row>
    <row r="582">
      <c r="A582" t="inlineStr">
        <is>
          <t>2026-10-22</t>
        </is>
      </c>
      <c r="B582" t="inlineStr">
        <is>
          <t>C-S02/INVERSION</t>
        </is>
      </c>
      <c r="C582" t="inlineStr">
        <is>
          <t>What is known now</t>
        </is>
      </c>
      <c r="D582" t="inlineStr">
        <is>
          <t>(appended)</t>
        </is>
      </c>
      <c r="E582" t="inlineStr">
        <is>
          <t>D-01 locates the regime: break-even about 10-230 tools, by searches per session, definition length and whether the small core caches</t>
        </is>
      </c>
      <c r="F582" t="inlineStr">
        <is>
          <t>design/package-v5/08 section 1</t>
        </is>
      </c>
      <c r="G582" t="inlineStr">
        <is>
          <t>V5 (AUTH-020); accepted by the human Q-U31 (INT-T-006 line 8)</t>
        </is>
      </c>
      <c r="H582" t="inlineStr">
        <is>
          <t>Claude</t>
        </is>
      </c>
    </row>
    <row r="583">
      <c r="A583" t="inlineStr">
        <is>
          <t>2026-10-22</t>
        </is>
      </c>
      <c r="B583" t="inlineStr">
        <is>
          <t>C-S02/INVERSION</t>
        </is>
      </c>
      <c r="C583" t="inlineStr">
        <is>
          <t>Next action</t>
        </is>
      </c>
      <c r="D583" t="inlineStr">
        <is>
          <t>Test only the remainder, in the proof-of-concept loop</t>
        </is>
      </c>
      <c r="E583" t="inlineStr">
        <is>
          <t>05 P5</t>
        </is>
      </c>
      <c r="F583" t="inlineStr">
        <is>
          <t>design/package-v5/08-ledger-proposals.md section 1</t>
        </is>
      </c>
      <c r="G583" t="inlineStr">
        <is>
          <t>V5 (AUTH-020); accepted by the human Q-U31 (INT-T-006 line 8)</t>
        </is>
      </c>
      <c r="H583" t="inlineStr">
        <is>
          <t>Claude</t>
        </is>
      </c>
    </row>
    <row r="584">
      <c r="A584" t="inlineStr">
        <is>
          <t>2026-10-22</t>
        </is>
      </c>
      <c r="B584" t="inlineStr">
        <is>
          <t>C-S02/INVERSION</t>
        </is>
      </c>
      <c r="C584" t="inlineStr">
        <is>
          <t>Status date</t>
        </is>
      </c>
      <c r="D584" t="inlineStr">
        <is>
          <t>2026-10-21</t>
        </is>
      </c>
      <c r="E584" t="inlineStr">
        <is>
          <t>2026-10-22</t>
        </is>
      </c>
      <c r="F584" t="inlineStr">
        <is>
          <t>V5</t>
        </is>
      </c>
      <c r="G584" t="inlineStr">
        <is>
          <t>V5 (AUTH-020); accepted by the human Q-U31 (INT-T-006 line 8)</t>
        </is>
      </c>
      <c r="H584" t="inlineStr">
        <is>
          <t>Claude</t>
        </is>
      </c>
    </row>
    <row r="585">
      <c r="A585" t="inlineStr">
        <is>
          <t>2026-10-22</t>
        </is>
      </c>
      <c r="B585" t="inlineStr">
        <is>
          <t>C-S02/INVERSION</t>
        </is>
      </c>
      <c r="C585" t="inlineStr">
        <is>
          <t>Status basis (evidence pointer)</t>
        </is>
      </c>
      <c r="D585" t="inlineStr">
        <is>
          <t>FND-0038 (findings/SUM-0040)</t>
        </is>
      </c>
      <c r="E585" t="inlineStr">
        <is>
          <t>design/package-v5/calc/regime_bill.stdout.txt</t>
        </is>
      </c>
      <c r="F585" t="inlineStr">
        <is>
          <t>V5</t>
        </is>
      </c>
      <c r="G585" t="inlineStr">
        <is>
          <t>V5 (AUTH-020); accepted by the human Q-U31 (INT-T-006 line 8)</t>
        </is>
      </c>
      <c r="H585" t="inlineStr">
        <is>
          <t>Claude</t>
        </is>
      </c>
    </row>
    <row r="586">
      <c r="A586" t="inlineStr">
        <is>
          <t>2026-10-22</t>
        </is>
      </c>
      <c r="B586" t="inlineStr">
        <is>
          <t>C-S03/DEFUSAGE</t>
        </is>
      </c>
      <c r="C586" t="inlineStr">
        <is>
          <t>What is known now</t>
        </is>
      </c>
      <c r="D586" t="inlineStr">
        <is>
          <t>(appended)</t>
        </is>
      </c>
      <c r="E586" t="inlineStr">
        <is>
          <t>OpenAI deferred functions still send name and description; on the university API vendor deferral is not available (open-weight models, 05 P0 part 1), so a client search applies</t>
        </is>
      </c>
      <c r="F586" t="inlineStr">
        <is>
          <t>design/package-v5/08 section 1</t>
        </is>
      </c>
      <c r="G586" t="inlineStr">
        <is>
          <t>V5 (AUTH-020); accepted by the human Q-U31 (INT-T-006 line 8)</t>
        </is>
      </c>
      <c r="H586" t="inlineStr">
        <is>
          <t>Claude</t>
        </is>
      </c>
    </row>
    <row r="587">
      <c r="A587" t="inlineStr">
        <is>
          <t>2026-10-22</t>
        </is>
      </c>
      <c r="B587" t="inlineStr">
        <is>
          <t>C-S03/DEFUSAGE</t>
        </is>
      </c>
      <c r="C587" t="inlineStr">
        <is>
          <t>Next action</t>
        </is>
      </c>
      <c r="D587" t="inlineStr">
        <is>
          <t>Test only the remainder, in the proof-of-concept loop</t>
        </is>
      </c>
      <c r="E587" t="inlineStr">
        <is>
          <t>05 P0 part 2, P5</t>
        </is>
      </c>
      <c r="F587" t="inlineStr">
        <is>
          <t>design/package-v5/08-ledger-proposals.md section 1</t>
        </is>
      </c>
      <c r="G587" t="inlineStr">
        <is>
          <t>V5 (AUTH-020); accepted by the human Q-U31 (INT-T-006 line 8)</t>
        </is>
      </c>
      <c r="H587" t="inlineStr">
        <is>
          <t>Claude</t>
        </is>
      </c>
    </row>
    <row r="588">
      <c r="A588" t="inlineStr">
        <is>
          <t>2026-10-22</t>
        </is>
      </c>
      <c r="B588" t="inlineStr">
        <is>
          <t>C-S03/DEFUSAGE</t>
        </is>
      </c>
      <c r="C588" t="inlineStr">
        <is>
          <t>Status date</t>
        </is>
      </c>
      <c r="D588" t="inlineStr">
        <is>
          <t>2026-10-21</t>
        </is>
      </c>
      <c r="E588" t="inlineStr">
        <is>
          <t>2026-10-22</t>
        </is>
      </c>
      <c r="F588" t="inlineStr">
        <is>
          <t>V5</t>
        </is>
      </c>
      <c r="G588" t="inlineStr">
        <is>
          <t>V5 (AUTH-020); accepted by the human Q-U31 (INT-T-006 line 8)</t>
        </is>
      </c>
      <c r="H588" t="inlineStr">
        <is>
          <t>Claude</t>
        </is>
      </c>
    </row>
    <row r="589">
      <c r="A589" t="inlineStr">
        <is>
          <t>2026-10-22</t>
        </is>
      </c>
      <c r="B589" t="inlineStr">
        <is>
          <t>C-S03/DEFUSAGE</t>
        </is>
      </c>
      <c r="C589" t="inlineStr">
        <is>
          <t>Status basis (evidence pointer)</t>
        </is>
      </c>
      <c r="D589" t="inlineStr">
        <is>
          <t>FND-0037 (findings/SUM-0039)</t>
        </is>
      </c>
      <c r="E589" t="inlineStr">
        <is>
          <t>L/v5-openai-tool-search-20261022.md:22; L/v5-scads-llm-state-20261022.json</t>
        </is>
      </c>
      <c r="F589" t="inlineStr">
        <is>
          <t>V5</t>
        </is>
      </c>
      <c r="G589" t="inlineStr">
        <is>
          <t>V5 (AUTH-020); accepted by the human Q-U31 (INT-T-006 line 8)</t>
        </is>
      </c>
      <c r="H589" t="inlineStr">
        <is>
          <t>Claude</t>
        </is>
      </c>
    </row>
    <row r="590">
      <c r="A590" t="inlineStr">
        <is>
          <t>2026-10-22</t>
        </is>
      </c>
      <c r="B590" t="inlineStr">
        <is>
          <t>C-S11/TRIG</t>
        </is>
      </c>
      <c r="C590" t="inlineStr">
        <is>
          <t>Current status</t>
        </is>
      </c>
      <c r="D590" t="inlineStr">
        <is>
          <t>OPEN</t>
        </is>
      </c>
      <c r="E590" t="inlineStr">
        <is>
          <t>DEFERRED</t>
        </is>
      </c>
      <c r="F590" t="inlineStr">
        <is>
          <t>design/package-v5/08-ledger-proposals.md section 1; basis design/package-v5/04 V5-R07</t>
        </is>
      </c>
      <c r="G590" t="inlineStr">
        <is>
          <t>V5 (AUTH-020); accepted by the human Q-U31 (INT-T-006 line 8)</t>
        </is>
      </c>
      <c r="H590" t="inlineStr">
        <is>
          <t>Claude</t>
        </is>
      </c>
    </row>
    <row r="591">
      <c r="A591" t="inlineStr">
        <is>
          <t>2026-10-22</t>
        </is>
      </c>
      <c r="B591" t="inlineStr">
        <is>
          <t>C-S11/TRIG</t>
        </is>
      </c>
      <c r="C591" t="inlineStr">
        <is>
          <t>What is known now</t>
        </is>
      </c>
      <c r="D591" t="inlineStr">
        <is>
          <t>(appended)</t>
        </is>
      </c>
      <c r="E591" t="inlineStr">
        <is>
          <t>dropped from V5-R's default: no source supports a system trigger (04 V5-R07)</t>
        </is>
      </c>
      <c r="F591" t="inlineStr">
        <is>
          <t>design/package-v5/08 section 1</t>
        </is>
      </c>
      <c r="G591" t="inlineStr">
        <is>
          <t>V5 (AUTH-020); accepted by the human Q-U31 (INT-T-006 line 8)</t>
        </is>
      </c>
      <c r="H591" t="inlineStr">
        <is>
          <t>Claude</t>
        </is>
      </c>
    </row>
    <row r="592">
      <c r="A592" t="inlineStr">
        <is>
          <t>2026-10-22</t>
        </is>
      </c>
      <c r="B592" t="inlineStr">
        <is>
          <t>C-S11/TRIG</t>
        </is>
      </c>
      <c r="C592" t="inlineStr">
        <is>
          <t>Reopen trigger</t>
        </is>
      </c>
      <c r="E592" t="inlineStr">
        <is>
          <t>05 P3 shows that models rarely search when the needed tool is deferred</t>
        </is>
      </c>
      <c r="F592" t="inlineStr">
        <is>
          <t>design/package-v5/08-ledger-proposals.md section 1</t>
        </is>
      </c>
      <c r="G592" t="inlineStr">
        <is>
          <t>V5 (AUTH-020); accepted by the human Q-U31 (INT-T-006 line 8)</t>
        </is>
      </c>
      <c r="H592" t="inlineStr">
        <is>
          <t>Claude</t>
        </is>
      </c>
    </row>
    <row r="593">
      <c r="A593" t="inlineStr">
        <is>
          <t>2026-10-22</t>
        </is>
      </c>
      <c r="B593" t="inlineStr">
        <is>
          <t>C-S11/TRIG</t>
        </is>
      </c>
      <c r="C593" t="inlineStr">
        <is>
          <t>Status date</t>
        </is>
      </c>
      <c r="D593" t="inlineStr">
        <is>
          <t>2026-10-19</t>
        </is>
      </c>
      <c r="E593" t="inlineStr">
        <is>
          <t>2026-10-22</t>
        </is>
      </c>
      <c r="F593" t="inlineStr">
        <is>
          <t>V5</t>
        </is>
      </c>
      <c r="G593" t="inlineStr">
        <is>
          <t>V5 (AUTH-020); accepted by the human Q-U31 (INT-T-006 line 8)</t>
        </is>
      </c>
      <c r="H593" t="inlineStr">
        <is>
          <t>Claude</t>
        </is>
      </c>
    </row>
    <row r="594">
      <c r="A594" t="inlineStr">
        <is>
          <t>2026-10-22</t>
        </is>
      </c>
      <c r="B594" t="inlineStr">
        <is>
          <t>C-S11/TRIG</t>
        </is>
      </c>
      <c r="C594" t="inlineStr">
        <is>
          <t>Status basis (evidence pointer)</t>
        </is>
      </c>
      <c r="D594" t="inlineStr">
        <is>
          <t>v4-01 section 4; HYP-0006</t>
        </is>
      </c>
      <c r="E594" t="inlineStr">
        <is>
          <t>design/package-v5/04 V5-R07</t>
        </is>
      </c>
      <c r="F594" t="inlineStr">
        <is>
          <t>V5</t>
        </is>
      </c>
      <c r="G594" t="inlineStr">
        <is>
          <t>V5 (AUTH-020); accepted by the human Q-U31 (INT-T-006 line 8)</t>
        </is>
      </c>
      <c r="H594" t="inlineStr">
        <is>
          <t>Claude</t>
        </is>
      </c>
    </row>
    <row r="595">
      <c r="A595" t="inlineStr">
        <is>
          <t>2026-10-22</t>
        </is>
      </c>
      <c r="B595" t="inlineStr">
        <is>
          <t>C-S11/CASCADE</t>
        </is>
      </c>
      <c r="C595" t="inlineStr">
        <is>
          <t>Current status</t>
        </is>
      </c>
      <c r="D595" t="inlineStr">
        <is>
          <t>OPEN</t>
        </is>
      </c>
      <c r="E595" t="inlineStr">
        <is>
          <t>PARTLY ANSWERED</t>
        </is>
      </c>
      <c r="F595" t="inlineStr">
        <is>
          <t>design/package-v5/08-ledger-proposals.md section 1; basis L/v5-anytool-2402.04253.txt:16-37; EXT-0228</t>
        </is>
      </c>
      <c r="G595" t="inlineStr">
        <is>
          <t>V5 (AUTH-020); accepted by the human Q-U31 (INT-T-006 line 8)</t>
        </is>
      </c>
      <c r="H595" t="inlineStr">
        <is>
          <t>Claude</t>
        </is>
      </c>
    </row>
    <row r="596">
      <c r="A596" t="inlineStr">
        <is>
          <t>2026-10-22</t>
        </is>
      </c>
      <c r="B596" t="inlineStr">
        <is>
          <t>C-S11/CASCADE</t>
        </is>
      </c>
      <c r="C596" t="inlineStr">
        <is>
          <t>What is known now</t>
        </is>
      </c>
      <c r="D596" t="inlineStr">
        <is>
          <t>(appended)</t>
        </is>
      </c>
      <c r="E596" t="inlineStr">
        <is>
          <t>hierarchical retrieval exists (AnyTool); Copilot ships two levels and states a cache miss per group expansion (EXT-0228); no multi-stage run-time policy measured on the bill found in a limited search</t>
        </is>
      </c>
      <c r="F596" t="inlineStr">
        <is>
          <t>design/package-v5/08 section 1</t>
        </is>
      </c>
      <c r="G596" t="inlineStr">
        <is>
          <t>V5 (AUTH-020); accepted by the human Q-U31 (INT-T-006 line 8)</t>
        </is>
      </c>
      <c r="H596" t="inlineStr">
        <is>
          <t>Claude</t>
        </is>
      </c>
    </row>
    <row r="597">
      <c r="A597" t="inlineStr">
        <is>
          <t>2026-10-22</t>
        </is>
      </c>
      <c r="B597" t="inlineStr">
        <is>
          <t>C-S11/CASCADE</t>
        </is>
      </c>
      <c r="C597" t="inlineStr">
        <is>
          <t>Status date</t>
        </is>
      </c>
      <c r="D597" t="inlineStr">
        <is>
          <t>2026-10-19</t>
        </is>
      </c>
      <c r="E597" t="inlineStr">
        <is>
          <t>2026-10-22</t>
        </is>
      </c>
      <c r="F597" t="inlineStr">
        <is>
          <t>V5</t>
        </is>
      </c>
      <c r="G597" t="inlineStr">
        <is>
          <t>V5 (AUTH-020); accepted by the human Q-U31 (INT-T-006 line 8)</t>
        </is>
      </c>
      <c r="H597" t="inlineStr">
        <is>
          <t>Claude</t>
        </is>
      </c>
    </row>
    <row r="598">
      <c r="A598" t="inlineStr">
        <is>
          <t>2026-10-22</t>
        </is>
      </c>
      <c r="B598" t="inlineStr">
        <is>
          <t>C-S11/CASCADE</t>
        </is>
      </c>
      <c r="C598" t="inlineStr">
        <is>
          <t>Status basis (evidence pointer)</t>
        </is>
      </c>
      <c r="D598" t="inlineStr">
        <is>
          <t>HYP-0002</t>
        </is>
      </c>
      <c r="E598" t="inlineStr">
        <is>
          <t>L/v5-anytool-2402.04253.txt:16-37; EXT-0228</t>
        </is>
      </c>
      <c r="F598" t="inlineStr">
        <is>
          <t>V5</t>
        </is>
      </c>
      <c r="G598" t="inlineStr">
        <is>
          <t>V5 (AUTH-020); accepted by the human Q-U31 (INT-T-006 line 8)</t>
        </is>
      </c>
      <c r="H598" t="inlineStr">
        <is>
          <t>Claude</t>
        </is>
      </c>
    </row>
    <row r="599">
      <c r="A599" t="inlineStr">
        <is>
          <t>2026-10-22</t>
        </is>
      </c>
      <c r="B599" t="inlineStr">
        <is>
          <t>C-E02/E31</t>
        </is>
      </c>
      <c r="C599" t="inlineStr">
        <is>
          <t>Current status</t>
        </is>
      </c>
      <c r="D599" t="inlineStr">
        <is>
          <t>DEFERRED</t>
        </is>
      </c>
      <c r="E599" t="inlineStr">
        <is>
          <t>PARTLY ANSWERED</t>
        </is>
      </c>
      <c r="F599" t="inlineStr">
        <is>
          <t>design/package-v5/08-ledger-proposals.md section 1; basis FND-0040, FND-0041, FND-0042</t>
        </is>
      </c>
      <c r="G599" t="inlineStr">
        <is>
          <t>V5 (AUTH-020); accepted by the human Q-U31 (INT-T-006 line 8)</t>
        </is>
      </c>
      <c r="H599" t="inlineStr">
        <is>
          <t>Claude</t>
        </is>
      </c>
    </row>
    <row r="600">
      <c r="A600" t="inlineStr">
        <is>
          <t>2026-10-22</t>
        </is>
      </c>
      <c r="B600" t="inlineStr">
        <is>
          <t>C-E02/E31</t>
        </is>
      </c>
      <c r="C600" t="inlineStr">
        <is>
          <t>What is known now</t>
        </is>
      </c>
      <c r="D600" t="inlineStr">
        <is>
          <t>(appended)</t>
        </is>
      </c>
      <c r="E600" t="inlineStr">
        <is>
          <t>ScaleMCP, MemTool, Manus, langgraph-bigtool stored and checked by stewards (FND-0040..0042); Spring AI and Toolshed remain unread</t>
        </is>
      </c>
      <c r="F600" t="inlineStr">
        <is>
          <t>design/package-v5/08 section 1</t>
        </is>
      </c>
      <c r="G600" t="inlineStr">
        <is>
          <t>V5 (AUTH-020); accepted by the human Q-U31 (INT-T-006 line 8)</t>
        </is>
      </c>
      <c r="H600" t="inlineStr">
        <is>
          <t>Claude</t>
        </is>
      </c>
    </row>
    <row r="601">
      <c r="A601" t="inlineStr">
        <is>
          <t>2026-10-22</t>
        </is>
      </c>
      <c r="B601" t="inlineStr">
        <is>
          <t>C-E02/E31</t>
        </is>
      </c>
      <c r="C601" t="inlineStr">
        <is>
          <t>Next action</t>
        </is>
      </c>
      <c r="D601" t="inlineStr">
        <is>
          <t>none until the trigger fires</t>
        </is>
      </c>
      <c r="E601" t="inlineStr">
        <is>
          <t>Spring AI (origin r4-spring-tool-search-blog), Toolshed</t>
        </is>
      </c>
      <c r="F601" t="inlineStr">
        <is>
          <t>design/package-v5/08-ledger-proposals.md section 1</t>
        </is>
      </c>
      <c r="G601" t="inlineStr">
        <is>
          <t>V5 (AUTH-020); accepted by the human Q-U31 (INT-T-006 line 8)</t>
        </is>
      </c>
      <c r="H601" t="inlineStr">
        <is>
          <t>Claude</t>
        </is>
      </c>
    </row>
    <row r="602">
      <c r="A602" t="inlineStr">
        <is>
          <t>2026-10-22</t>
        </is>
      </c>
      <c r="B602" t="inlineStr">
        <is>
          <t>C-E02/E31</t>
        </is>
      </c>
      <c r="C602" t="inlineStr">
        <is>
          <t>Status date</t>
        </is>
      </c>
      <c r="D602" t="inlineStr">
        <is>
          <t>2026-10-20</t>
        </is>
      </c>
      <c r="E602" t="inlineStr">
        <is>
          <t>2026-10-22</t>
        </is>
      </c>
      <c r="F602" t="inlineStr">
        <is>
          <t>V5</t>
        </is>
      </c>
      <c r="G602" t="inlineStr">
        <is>
          <t>V5 (AUTH-020); accepted by the human Q-U31 (INT-T-006 line 8)</t>
        </is>
      </c>
      <c r="H602" t="inlineStr">
        <is>
          <t>Claude</t>
        </is>
      </c>
    </row>
    <row r="603">
      <c r="A603" t="inlineStr">
        <is>
          <t>2026-10-22</t>
        </is>
      </c>
      <c r="B603" t="inlineStr">
        <is>
          <t>C-E02/E31</t>
        </is>
      </c>
      <c r="C603" t="inlineStr">
        <is>
          <t>Status basis (evidence pointer)</t>
        </is>
      </c>
      <c r="D603" t="inlineStr">
        <is>
          <t>grep of design/package-v3 and design/package-v4 01-05 (lead, 2026-10-20); see also this row's earlier basis</t>
        </is>
      </c>
      <c r="E603" t="inlineStr">
        <is>
          <t>FND-0040, FND-0041, FND-0042</t>
        </is>
      </c>
      <c r="F603" t="inlineStr">
        <is>
          <t>V5</t>
        </is>
      </c>
      <c r="G603" t="inlineStr">
        <is>
          <t>V5 (AUTH-020); accepted by the human Q-U31 (INT-T-006 line 8)</t>
        </is>
      </c>
      <c r="H603" t="inlineStr">
        <is>
          <t>Claude</t>
        </is>
      </c>
    </row>
    <row r="604">
      <c r="A604" t="inlineStr">
        <is>
          <t>2026-10-22</t>
        </is>
      </c>
      <c r="B604" t="inlineStr">
        <is>
          <t>C-E02/E25</t>
        </is>
      </c>
      <c r="C604" t="inlineStr">
        <is>
          <t>What is known now</t>
        </is>
      </c>
      <c r="D604" t="inlineStr">
        <is>
          <t>(appended)</t>
        </is>
      </c>
      <c r="E604" t="inlineStr">
        <is>
          <t>one cache-bust issue stored with community data; Claude Code's tool-search docs stored</t>
        </is>
      </c>
      <c r="F604" t="inlineStr">
        <is>
          <t>design/package-v5/08 section 1</t>
        </is>
      </c>
      <c r="G604" t="inlineStr">
        <is>
          <t>V5 (AUTH-020); accepted by the human Q-U31 (INT-T-006 line 8)</t>
        </is>
      </c>
      <c r="H604" t="inlineStr">
        <is>
          <t>Claude</t>
        </is>
      </c>
    </row>
    <row r="605">
      <c r="A605" t="inlineStr">
        <is>
          <t>2026-10-22</t>
        </is>
      </c>
      <c r="B605" t="inlineStr">
        <is>
          <t>C-E02/E25</t>
        </is>
      </c>
      <c r="C605" t="inlineStr">
        <is>
          <t>Status date</t>
        </is>
      </c>
      <c r="D605" t="inlineStr">
        <is>
          <t>2026-10-19</t>
        </is>
      </c>
      <c r="E605" t="inlineStr">
        <is>
          <t>2026-10-22</t>
        </is>
      </c>
      <c r="F605" t="inlineStr">
        <is>
          <t>V5</t>
        </is>
      </c>
      <c r="G605" t="inlineStr">
        <is>
          <t>V5 (AUTH-020); accepted by the human Q-U31 (INT-T-006 line 8)</t>
        </is>
      </c>
      <c r="H605" t="inlineStr">
        <is>
          <t>Claude</t>
        </is>
      </c>
    </row>
    <row r="606">
      <c r="A606" t="inlineStr">
        <is>
          <t>2026-10-22</t>
        </is>
      </c>
      <c r="B606" t="inlineStr">
        <is>
          <t>C-E02/E25</t>
        </is>
      </c>
      <c r="C606" t="inlineStr">
        <is>
          <t>Status basis (evidence pointer)</t>
        </is>
      </c>
      <c r="D606" t="inlineStr">
        <is>
          <t>FND-0019 (findings/SUM-0021); stored texts evidence/literature-20261019/lit-cursor-forum-*.txt (3), lit-ccissue-59650-deferred-cache-reads.txt, lit-ccissue-30920-defer-cachecontrol.txt, lit-toolhop-2501.02506v4.txt</t>
        </is>
      </c>
      <c r="E606" t="inlineStr">
        <is>
          <t>L/v5-ccissue-92033-cachebust-20261022.txt:180-192; L/v5-claudecode-mcp-20261022.md:1441</t>
        </is>
      </c>
      <c r="F606" t="inlineStr">
        <is>
          <t>V5</t>
        </is>
      </c>
      <c r="G606" t="inlineStr">
        <is>
          <t>V5 (AUTH-020); accepted by the human Q-U31 (INT-T-006 line 8)</t>
        </is>
      </c>
      <c r="H606" t="inlineStr">
        <is>
          <t>Claude</t>
        </is>
      </c>
    </row>
    <row r="607">
      <c r="A607" t="inlineStr">
        <is>
          <t>2026-10-22</t>
        </is>
      </c>
      <c r="B607" t="inlineStr">
        <is>
          <t>C-D08/ARMS-CACHE</t>
        </is>
      </c>
      <c r="C607" t="inlineStr">
        <is>
          <t>Current status</t>
        </is>
      </c>
      <c r="D607" t="inlineStr">
        <is>
          <t>OPEN</t>
        </is>
      </c>
      <c r="E607" t="inlineStr">
        <is>
          <t>PARTLY ANSWERED</t>
        </is>
      </c>
      <c r="F607" t="inlineStr">
        <is>
          <t>design/package-v5/08-ledger-proposals.md section 1; basis design/package-v5/05 s2</t>
        </is>
      </c>
      <c r="G607" t="inlineStr">
        <is>
          <t>V5 (AUTH-020); accepted by the human Q-U31 (INT-T-006 line 8)</t>
        </is>
      </c>
      <c r="H607" t="inlineStr">
        <is>
          <t>Claude</t>
        </is>
      </c>
    </row>
    <row r="608">
      <c r="A608" t="inlineStr">
        <is>
          <t>2026-10-22</t>
        </is>
      </c>
      <c r="B608" t="inlineStr">
        <is>
          <t>C-D08/ARMS-CACHE</t>
        </is>
      </c>
      <c r="C608" t="inlineStr">
        <is>
          <t>What is known now</t>
        </is>
      </c>
      <c r="D608" t="inlineStr">
        <is>
          <t>(appended)</t>
        </is>
      </c>
      <c r="E608" t="inlineStr">
        <is>
          <t>arms fixed for the loop: DPR-0008 against V5-R on returning sessions (05 P1), all-offered against subset-offered (05 P2)</t>
        </is>
      </c>
      <c r="F608" t="inlineStr">
        <is>
          <t>design/package-v5/08 section 1</t>
        </is>
      </c>
      <c r="G608" t="inlineStr">
        <is>
          <t>V5 (AUTH-020); accepted by the human Q-U31 (INT-T-006 line 8)</t>
        </is>
      </c>
      <c r="H608" t="inlineStr">
        <is>
          <t>Claude</t>
        </is>
      </c>
    </row>
    <row r="609">
      <c r="A609" t="inlineStr">
        <is>
          <t>2026-10-22</t>
        </is>
      </c>
      <c r="B609" t="inlineStr">
        <is>
          <t>C-D08/ARMS-CACHE</t>
        </is>
      </c>
      <c r="C609" t="inlineStr">
        <is>
          <t>Next action</t>
        </is>
      </c>
      <c r="D609" t="inlineStr">
        <is>
          <t>Lead computes or writes it (no model runs)</t>
        </is>
      </c>
      <c r="E609" t="inlineStr">
        <is>
          <t>05 P1, P2</t>
        </is>
      </c>
      <c r="F609" t="inlineStr">
        <is>
          <t>design/package-v5/08-ledger-proposals.md section 1</t>
        </is>
      </c>
      <c r="G609" t="inlineStr">
        <is>
          <t>V5 (AUTH-020); accepted by the human Q-U31 (INT-T-006 line 8)</t>
        </is>
      </c>
      <c r="H609" t="inlineStr">
        <is>
          <t>Claude</t>
        </is>
      </c>
    </row>
    <row r="610">
      <c r="A610" t="inlineStr">
        <is>
          <t>2026-10-22</t>
        </is>
      </c>
      <c r="B610" t="inlineStr">
        <is>
          <t>C-D08/ARMS-CACHE</t>
        </is>
      </c>
      <c r="C610" t="inlineStr">
        <is>
          <t>Status date</t>
        </is>
      </c>
      <c r="D610" t="inlineStr">
        <is>
          <t>2026-10-19</t>
        </is>
      </c>
      <c r="E610" t="inlineStr">
        <is>
          <t>2026-10-22</t>
        </is>
      </c>
      <c r="F610" t="inlineStr">
        <is>
          <t>V5</t>
        </is>
      </c>
      <c r="G610" t="inlineStr">
        <is>
          <t>V5 (AUTH-020); accepted by the human Q-U31 (INT-T-006 line 8)</t>
        </is>
      </c>
      <c r="H610" t="inlineStr">
        <is>
          <t>Claude</t>
        </is>
      </c>
    </row>
    <row r="611">
      <c r="A611" t="inlineStr">
        <is>
          <t>2026-10-22</t>
        </is>
      </c>
      <c r="B611" t="inlineStr">
        <is>
          <t>C-D08/ARMS-CACHE</t>
        </is>
      </c>
      <c r="C611" t="inlineStr">
        <is>
          <t>Status basis (evidence pointer)</t>
        </is>
      </c>
      <c r="D611" t="inlineStr">
        <is>
          <t>v4-04 section 5</t>
        </is>
      </c>
      <c r="E611" t="inlineStr">
        <is>
          <t>design/package-v5/05 s2</t>
        </is>
      </c>
      <c r="F611" t="inlineStr">
        <is>
          <t>V5</t>
        </is>
      </c>
      <c r="G611" t="inlineStr">
        <is>
          <t>V5 (AUTH-020); accepted by the human Q-U31 (INT-T-006 line 8)</t>
        </is>
      </c>
      <c r="H611" t="inlineStr">
        <is>
          <t>Claude</t>
        </is>
      </c>
    </row>
    <row r="612">
      <c r="A612" t="inlineStr">
        <is>
          <t>2026-10-22</t>
        </is>
      </c>
      <c r="B612" t="inlineStr">
        <is>
          <t>C-S08/UNINSTR</t>
        </is>
      </c>
      <c r="C612" t="inlineStr">
        <is>
          <t>What is known now</t>
        </is>
      </c>
      <c r="D612" t="inlineStr">
        <is>
          <t>(appended)</t>
        </is>
      </c>
      <c r="E612" t="inlineStr">
        <is>
          <t>now HYP-0019 with a test design</t>
        </is>
      </c>
      <c r="F612" t="inlineStr">
        <is>
          <t>design/package-v5/08 section 1</t>
        </is>
      </c>
      <c r="G612" t="inlineStr">
        <is>
          <t>V5 (AUTH-020); accepted by the human Q-U31 (INT-T-006 line 8)</t>
        </is>
      </c>
      <c r="H612" t="inlineStr">
        <is>
          <t>Claude</t>
        </is>
      </c>
    </row>
    <row r="613">
      <c r="A613" t="inlineStr">
        <is>
          <t>2026-10-22</t>
        </is>
      </c>
      <c r="B613" t="inlineStr">
        <is>
          <t>C-S08/UNINSTR</t>
        </is>
      </c>
      <c r="C613" t="inlineStr">
        <is>
          <t>Next action</t>
        </is>
      </c>
      <c r="D613" t="inlineStr">
        <is>
          <t>Needs an AUTH and a protocol (pilot B) if a rate is wanted</t>
        </is>
      </c>
      <c r="E613" t="inlineStr">
        <is>
          <t>05 P3</t>
        </is>
      </c>
      <c r="F613" t="inlineStr">
        <is>
          <t>design/package-v5/08-ledger-proposals.md section 1</t>
        </is>
      </c>
      <c r="G613" t="inlineStr">
        <is>
          <t>V5 (AUTH-020); accepted by the human Q-U31 (INT-T-006 line 8)</t>
        </is>
      </c>
      <c r="H613" t="inlineStr">
        <is>
          <t>Claude</t>
        </is>
      </c>
    </row>
    <row r="614">
      <c r="A614" t="inlineStr">
        <is>
          <t>2026-10-22</t>
        </is>
      </c>
      <c r="B614" t="inlineStr">
        <is>
          <t>C-S08/UNINSTR</t>
        </is>
      </c>
      <c r="C614" t="inlineStr">
        <is>
          <t>Status date</t>
        </is>
      </c>
      <c r="D614" t="inlineStr">
        <is>
          <t>2026-10-19</t>
        </is>
      </c>
      <c r="E614" t="inlineStr">
        <is>
          <t>2026-10-22</t>
        </is>
      </c>
      <c r="F614" t="inlineStr">
        <is>
          <t>V5</t>
        </is>
      </c>
      <c r="G614" t="inlineStr">
        <is>
          <t>V5 (AUTH-020); accepted by the human Q-U31 (INT-T-006 line 8)</t>
        </is>
      </c>
      <c r="H614" t="inlineStr">
        <is>
          <t>Claude</t>
        </is>
      </c>
    </row>
    <row r="615">
      <c r="A615" t="inlineStr">
        <is>
          <t>2026-10-22</t>
        </is>
      </c>
      <c r="B615" t="inlineStr">
        <is>
          <t>C-S08/UNINSTR</t>
        </is>
      </c>
      <c r="C615" t="inlineStr">
        <is>
          <t>Status basis (evidence pointer)</t>
        </is>
      </c>
      <c r="D615" t="inlineStr">
        <is>
          <t>FND-0016 (findings/SUM-0018); stored texts evidence/literature-20261019/lit-when2tool-2605.09252.txt, lit-tulip-2407.21778.txt, lit-closedworld-2609.19425.txt</t>
        </is>
      </c>
      <c r="E615" t="inlineStr">
        <is>
          <t>design/package-v5/05 P3</t>
        </is>
      </c>
      <c r="F615" t="inlineStr">
        <is>
          <t>V5</t>
        </is>
      </c>
      <c r="G615" t="inlineStr">
        <is>
          <t>V5 (AUTH-020); accepted by the human Q-U31 (INT-T-006 line 8)</t>
        </is>
      </c>
      <c r="H615" t="inlineStr">
        <is>
          <t>Claude</t>
        </is>
      </c>
    </row>
    <row r="616">
      <c r="A616" t="inlineStr">
        <is>
          <t>2026-10-22</t>
        </is>
      </c>
      <c r="B616" t="inlineStr">
        <is>
          <t>C-X07</t>
        </is>
      </c>
      <c r="C616" t="inlineStr">
        <is>
          <t>What is known now</t>
        </is>
      </c>
      <c r="D616" t="inlineStr">
        <is>
          <t>(appended)</t>
        </is>
      </c>
      <c r="E616" t="inlineStr">
        <is>
          <t>split into P0 (API fields; part 1 done from the status page) and P5 (regime reading)</t>
        </is>
      </c>
      <c r="F616" t="inlineStr">
        <is>
          <t>design/package-v5/08 section 1</t>
        </is>
      </c>
      <c r="G616" t="inlineStr">
        <is>
          <t>V5 (AUTH-020); accepted by the human Q-U31 (INT-T-006 line 8)</t>
        </is>
      </c>
      <c r="H616" t="inlineStr">
        <is>
          <t>Claude</t>
        </is>
      </c>
    </row>
    <row r="617">
      <c r="A617" t="inlineStr">
        <is>
          <t>2026-10-22</t>
        </is>
      </c>
      <c r="B617" t="inlineStr">
        <is>
          <t>C-X07</t>
        </is>
      </c>
      <c r="C617" t="inlineStr">
        <is>
          <t>Next action</t>
        </is>
      </c>
      <c r="D617" t="inlineStr">
        <is>
          <t>Test only the remainder, in the proof-of-concept loop</t>
        </is>
      </c>
      <c r="E617" t="inlineStr">
        <is>
          <t>05 P0 part 2, P5</t>
        </is>
      </c>
      <c r="F617" t="inlineStr">
        <is>
          <t>design/package-v5/08-ledger-proposals.md section 1</t>
        </is>
      </c>
      <c r="G617" t="inlineStr">
        <is>
          <t>V5 (AUTH-020); accepted by the human Q-U31 (INT-T-006 line 8)</t>
        </is>
      </c>
      <c r="H617" t="inlineStr">
        <is>
          <t>Claude</t>
        </is>
      </c>
    </row>
    <row r="618">
      <c r="A618" t="inlineStr">
        <is>
          <t>2026-10-22</t>
        </is>
      </c>
      <c r="B618" t="inlineStr">
        <is>
          <t>C-X07</t>
        </is>
      </c>
      <c r="C618" t="inlineStr">
        <is>
          <t>Status date</t>
        </is>
      </c>
      <c r="D618" t="inlineStr">
        <is>
          <t>2026-10-21</t>
        </is>
      </c>
      <c r="E618" t="inlineStr">
        <is>
          <t>2026-10-22</t>
        </is>
      </c>
      <c r="F618" t="inlineStr">
        <is>
          <t>V5</t>
        </is>
      </c>
      <c r="G618" t="inlineStr">
        <is>
          <t>V5 (AUTH-020); accepted by the human Q-U31 (INT-T-006 line 8)</t>
        </is>
      </c>
      <c r="H618" t="inlineStr">
        <is>
          <t>Claude</t>
        </is>
      </c>
    </row>
    <row r="619">
      <c r="A619" t="inlineStr">
        <is>
          <t>2026-10-22</t>
        </is>
      </c>
      <c r="B619" t="inlineStr">
        <is>
          <t>C-X07</t>
        </is>
      </c>
      <c r="C619" t="inlineStr">
        <is>
          <t>Status basis (evidence pointer)</t>
        </is>
      </c>
      <c r="D619" t="inlineStr">
        <is>
          <t>FND-0037 (findings/SUM-0039)</t>
        </is>
      </c>
      <c r="E619" t="inlineStr">
        <is>
          <t>design/package-v5/05 s2</t>
        </is>
      </c>
      <c r="F619" t="inlineStr">
        <is>
          <t>V5</t>
        </is>
      </c>
      <c r="G619" t="inlineStr">
        <is>
          <t>V5 (AUTH-020); accepted by the human Q-U31 (INT-T-006 line 8)</t>
        </is>
      </c>
      <c r="H619" t="inlineStr">
        <is>
          <t>Claude</t>
        </is>
      </c>
    </row>
    <row r="620">
      <c r="A620" t="inlineStr">
        <is>
          <t>2026-10-22</t>
        </is>
      </c>
      <c r="B620" t="inlineStr">
        <is>
          <t>N-31</t>
        </is>
      </c>
      <c r="C620" t="inlineStr">
        <is>
          <t>(new row)</t>
        </is>
      </c>
      <c r="E620" t="inlineStr">
        <is>
          <t>PARTLY ANSWERED</t>
        </is>
      </c>
      <c r="F620" t="inlineStr">
        <is>
          <t>design/package-v5/08-ledger-proposals.md section 2</t>
        </is>
      </c>
      <c r="G620" t="inlineStr">
        <is>
          <t>V5 (AUTH-020); accepted by the human Q-U31 (INT-T-006 line 8)</t>
        </is>
      </c>
      <c r="H620" t="inlineStr">
        <is>
          <t>Claude</t>
        </is>
      </c>
    </row>
    <row r="621">
      <c r="A621" t="inlineStr">
        <is>
          <t>2026-10-22</t>
        </is>
      </c>
      <c r="B621" t="inlineStr">
        <is>
          <t>N-32</t>
        </is>
      </c>
      <c r="C621" t="inlineStr">
        <is>
          <t>(new row)</t>
        </is>
      </c>
      <c r="E621" t="inlineStr">
        <is>
          <t>OPEN</t>
        </is>
      </c>
      <c r="F621" t="inlineStr">
        <is>
          <t>design/package-v5/08-ledger-proposals.md section 2</t>
        </is>
      </c>
      <c r="G621" t="inlineStr">
        <is>
          <t>V5 (AUTH-020); accepted by the human Q-U31 (INT-T-006 line 8)</t>
        </is>
      </c>
      <c r="H621" t="inlineStr">
        <is>
          <t>Claude</t>
        </is>
      </c>
    </row>
    <row r="622">
      <c r="A622" t="inlineStr">
        <is>
          <t>2026-10-22</t>
        </is>
      </c>
      <c r="B622" t="inlineStr">
        <is>
          <t>N-33</t>
        </is>
      </c>
      <c r="C622" t="inlineStr">
        <is>
          <t>(new row)</t>
        </is>
      </c>
      <c r="E622" t="inlineStr">
        <is>
          <t>OPEN</t>
        </is>
      </c>
      <c r="F622" t="inlineStr">
        <is>
          <t>design/package-v5/08-ledger-proposals.md section 2</t>
        </is>
      </c>
      <c r="G622" t="inlineStr">
        <is>
          <t>V5 (AUTH-020); accepted by the human Q-U31 (INT-T-006 line 8)</t>
        </is>
      </c>
      <c r="H622" t="inlineStr">
        <is>
          <t>Claude</t>
        </is>
      </c>
    </row>
    <row r="623">
      <c r="A623" t="inlineStr">
        <is>
          <t>2026-10-22</t>
        </is>
      </c>
      <c r="B623" t="inlineStr">
        <is>
          <t>N-34</t>
        </is>
      </c>
      <c r="C623" t="inlineStr">
        <is>
          <t>(new row)</t>
        </is>
      </c>
      <c r="E623" t="inlineStr">
        <is>
          <t>OPEN</t>
        </is>
      </c>
      <c r="F623" t="inlineStr">
        <is>
          <t>design/package-v5/08-ledger-proposals.md section 2</t>
        </is>
      </c>
      <c r="G623" t="inlineStr">
        <is>
          <t>V5 (AUTH-020); accepted by the human Q-U31 (INT-T-006 line 8)</t>
        </is>
      </c>
      <c r="H623" t="inlineStr">
        <is>
          <t>Claude</t>
        </is>
      </c>
    </row>
    <row r="624">
      <c r="A624" t="inlineStr">
        <is>
          <t>2026-10-22</t>
        </is>
      </c>
      <c r="B624" t="inlineStr">
        <is>
          <t>N-35</t>
        </is>
      </c>
      <c r="C624" t="inlineStr">
        <is>
          <t>(new row)</t>
        </is>
      </c>
      <c r="E624" t="inlineStr">
        <is>
          <t>OPEN</t>
        </is>
      </c>
      <c r="F624" t="inlineStr">
        <is>
          <t>design/package-v5/08-ledger-proposals.md section 2</t>
        </is>
      </c>
      <c r="G624" t="inlineStr">
        <is>
          <t>V5 (AUTH-020); accepted by the human Q-U31 (INT-T-006 line 8)</t>
        </is>
      </c>
      <c r="H624" t="inlineStr">
        <is>
          <t>Claude</t>
        </is>
      </c>
    </row>
    <row r="625">
      <c r="A625" t="inlineStr">
        <is>
          <t>2026-10-22</t>
        </is>
      </c>
      <c r="B625" t="inlineStr">
        <is>
          <t>N-36</t>
        </is>
      </c>
      <c r="C625" t="inlineStr">
        <is>
          <t>(new row)</t>
        </is>
      </c>
      <c r="E625" t="inlineStr">
        <is>
          <t>OPEN</t>
        </is>
      </c>
      <c r="F625" t="inlineStr">
        <is>
          <t>design/package-v5/08-ledger-proposals.md section 2</t>
        </is>
      </c>
      <c r="G625" t="inlineStr">
        <is>
          <t>V5 (AUTH-020); accepted by the human Q-U31 (INT-T-006 line 8)</t>
        </is>
      </c>
      <c r="H625" t="inlineStr">
        <is>
          <t>Claude</t>
        </is>
      </c>
    </row>
    <row r="626">
      <c r="A626" t="inlineStr">
        <is>
          <t>2026-10-22</t>
        </is>
      </c>
      <c r="B626" t="inlineStr">
        <is>
          <t>Q-J31</t>
        </is>
      </c>
      <c r="C626" t="inlineStr">
        <is>
          <t>(new question)</t>
        </is>
      </c>
      <c r="E626" t="inlineStr">
        <is>
          <t>answered</t>
        </is>
      </c>
      <c r="F626" t="inlineStr">
        <is>
          <t>design/package-v5/05 sections 4-5; INT-T-006</t>
        </is>
      </c>
      <c r="G626" t="inlineStr">
        <is>
          <t>V5 (AUTH-020); accepted by the human Q-U31 (INT-T-006 line 8)</t>
        </is>
      </c>
      <c r="H626" t="inlineStr">
        <is>
          <t>Claude</t>
        </is>
      </c>
    </row>
    <row r="627">
      <c r="A627" t="inlineStr">
        <is>
          <t>2026-10-22</t>
        </is>
      </c>
      <c r="B627" t="inlineStr">
        <is>
          <t>Q-J32</t>
        </is>
      </c>
      <c r="C627" t="inlineStr">
        <is>
          <t>(new question)</t>
        </is>
      </c>
      <c r="E627" t="inlineStr">
        <is>
          <t>answered</t>
        </is>
      </c>
      <c r="F627" t="inlineStr">
        <is>
          <t>design/package-v5/05 sections 4-5; INT-T-006</t>
        </is>
      </c>
      <c r="G627" t="inlineStr">
        <is>
          <t>V5 (AUTH-020); accepted by the human Q-U31 (INT-T-006 line 8)</t>
        </is>
      </c>
      <c r="H627" t="inlineStr">
        <is>
          <t>Claude</t>
        </is>
      </c>
    </row>
    <row r="628">
      <c r="A628" t="inlineStr">
        <is>
          <t>2026-10-22</t>
        </is>
      </c>
      <c r="B628" t="inlineStr">
        <is>
          <t>Q-J33</t>
        </is>
      </c>
      <c r="C628" t="inlineStr">
        <is>
          <t>(new question)</t>
        </is>
      </c>
      <c r="E628" t="inlineStr">
        <is>
          <t>open</t>
        </is>
      </c>
      <c r="F628" t="inlineStr">
        <is>
          <t>design/package-v5/05 sections 4-5; INT-T-006</t>
        </is>
      </c>
      <c r="G628" t="inlineStr">
        <is>
          <t>V5 (AUTH-020); accepted by the human Q-U31 (INT-T-006 line 8)</t>
        </is>
      </c>
      <c r="H628" t="inlineStr">
        <is>
          <t>Claude</t>
        </is>
      </c>
    </row>
    <row r="629">
      <c r="A629" t="inlineStr">
        <is>
          <t>2026-10-22</t>
        </is>
      </c>
      <c r="B629" t="inlineStr">
        <is>
          <t>Q-U28</t>
        </is>
      </c>
      <c r="C629" t="inlineStr">
        <is>
          <t>(new question)</t>
        </is>
      </c>
      <c r="E629" t="inlineStr">
        <is>
          <t>answered</t>
        </is>
      </c>
      <c r="F629" t="inlineStr">
        <is>
          <t>design/package-v5/05 sections 4-5; INT-T-006</t>
        </is>
      </c>
      <c r="G629" t="inlineStr">
        <is>
          <t>V5 (AUTH-020); accepted by the human Q-U31 (INT-T-006 line 8)</t>
        </is>
      </c>
      <c r="H629" t="inlineStr">
        <is>
          <t>Claude</t>
        </is>
      </c>
    </row>
    <row r="630">
      <c r="A630" t="inlineStr">
        <is>
          <t>2026-10-22</t>
        </is>
      </c>
      <c r="B630" t="inlineStr">
        <is>
          <t>Q-U29</t>
        </is>
      </c>
      <c r="C630" t="inlineStr">
        <is>
          <t>(new question)</t>
        </is>
      </c>
      <c r="E630" t="inlineStr">
        <is>
          <t>answered</t>
        </is>
      </c>
      <c r="F630" t="inlineStr">
        <is>
          <t>design/package-v5/05 sections 4-5; INT-T-006</t>
        </is>
      </c>
      <c r="G630" t="inlineStr">
        <is>
          <t>V5 (AUTH-020); accepted by the human Q-U31 (INT-T-006 line 8)</t>
        </is>
      </c>
      <c r="H630" t="inlineStr">
        <is>
          <t>Claude</t>
        </is>
      </c>
    </row>
    <row r="631">
      <c r="A631" t="inlineStr">
        <is>
          <t>2026-10-22</t>
        </is>
      </c>
      <c r="B631" t="inlineStr">
        <is>
          <t>Q-U30</t>
        </is>
      </c>
      <c r="C631" t="inlineStr">
        <is>
          <t>(new question)</t>
        </is>
      </c>
      <c r="E631" t="inlineStr">
        <is>
          <t>open</t>
        </is>
      </c>
      <c r="F631" t="inlineStr">
        <is>
          <t>design/package-v5/05 sections 4-5; INT-T-006</t>
        </is>
      </c>
      <c r="G631" t="inlineStr">
        <is>
          <t>V5 (AUTH-020); accepted by the human Q-U31 (INT-T-006 line 8)</t>
        </is>
      </c>
      <c r="H631" t="inlineStr">
        <is>
          <t>Claude</t>
        </is>
      </c>
    </row>
    <row r="632">
      <c r="A632" t="inlineStr">
        <is>
          <t>2026-10-22</t>
        </is>
      </c>
      <c r="B632" t="inlineStr">
        <is>
          <t>Q-U31</t>
        </is>
      </c>
      <c r="C632" t="inlineStr">
        <is>
          <t>(new question)</t>
        </is>
      </c>
      <c r="E632" t="inlineStr">
        <is>
          <t>answered</t>
        </is>
      </c>
      <c r="F632" t="inlineStr">
        <is>
          <t>design/package-v5/05 sections 4-5; INT-T-006</t>
        </is>
      </c>
      <c r="G632" t="inlineStr">
        <is>
          <t>V5 (AUTH-020); accepted by the human Q-U31 (INT-T-006 line 8)</t>
        </is>
      </c>
      <c r="H632" t="inlineStr">
        <is>
          <t>Claude</t>
        </is>
      </c>
    </row>
    <row r="633">
      <c r="A633" t="inlineStr">
        <is>
          <t>2026-10-22</t>
        </is>
      </c>
      <c r="B633" t="inlineStr">
        <is>
          <t>Q-U32</t>
        </is>
      </c>
      <c r="C633" t="inlineStr">
        <is>
          <t>(new question)</t>
        </is>
      </c>
      <c r="E633" t="inlineStr">
        <is>
          <t>answered</t>
        </is>
      </c>
      <c r="F633" t="inlineStr">
        <is>
          <t>design/package-v5/05 sections 4-5; INT-T-006</t>
        </is>
      </c>
      <c r="G633" t="inlineStr">
        <is>
          <t>V5 (AUTH-020); accepted by the human Q-U31 (INT-T-006 line 8)</t>
        </is>
      </c>
      <c r="H633" t="inlineStr">
        <is>
          <t>Claude</t>
        </is>
      </c>
    </row>
    <row r="634">
      <c r="A634" t="inlineStr">
        <is>
          <t>2026-10-22</t>
        </is>
      </c>
      <c r="B634" t="inlineStr">
        <is>
          <t>Q-U33</t>
        </is>
      </c>
      <c r="C634" t="inlineStr">
        <is>
          <t>(new question)</t>
        </is>
      </c>
      <c r="E634" t="inlineStr">
        <is>
          <t>open</t>
        </is>
      </c>
      <c r="F634" t="inlineStr">
        <is>
          <t>design/package-v5/05 sections 4-5; INT-T-006</t>
        </is>
      </c>
      <c r="G634" t="inlineStr">
        <is>
          <t>V5 (AUTH-020); accepted by the human Q-U31 (INT-T-006 line 8)</t>
        </is>
      </c>
      <c r="H634" t="inlineStr">
        <is>
          <t>Claude</t>
        </is>
      </c>
    </row>
    <row r="635">
      <c r="A635" t="inlineStr">
        <is>
          <t>2026-10-22</t>
        </is>
      </c>
      <c r="B635" t="inlineStr">
        <is>
          <t>N-31</t>
        </is>
      </c>
      <c r="C635" t="inlineStr">
        <is>
          <t>Link</t>
        </is>
      </c>
      <c r="E635" t="inlineStr">
        <is>
          <t>Q-U33 CLOSES</t>
        </is>
      </c>
      <c r="F635" t="inlineStr">
        <is>
          <t>design/package-v5/05</t>
        </is>
      </c>
      <c r="G635" t="inlineStr">
        <is>
          <t>V5 (AUTH-020); accepted by the human Q-U31 (INT-T-006 line 8)</t>
        </is>
      </c>
      <c r="H635" t="inlineStr">
        <is>
          <t>Claude</t>
        </is>
      </c>
    </row>
    <row r="636">
      <c r="A636" t="inlineStr">
        <is>
          <t>2026-10-22</t>
        </is>
      </c>
      <c r="B636" t="inlineStr">
        <is>
          <t>N-34</t>
        </is>
      </c>
      <c r="C636" t="inlineStr">
        <is>
          <t>Link</t>
        </is>
      </c>
      <c r="E636" t="inlineStr">
        <is>
          <t>Q-U32 CLOSES</t>
        </is>
      </c>
      <c r="F636" t="inlineStr">
        <is>
          <t>design/package-v5/05</t>
        </is>
      </c>
      <c r="G636" t="inlineStr">
        <is>
          <t>V5 (AUTH-020); accepted by the human Q-U31 (INT-T-006 line 8)</t>
        </is>
      </c>
      <c r="H636" t="inlineStr">
        <is>
          <t>Claude</t>
        </is>
      </c>
    </row>
    <row r="637">
      <c r="A637" t="inlineStr">
        <is>
          <t>2026-10-22</t>
        </is>
      </c>
      <c r="B637" t="inlineStr">
        <is>
          <t>C-D08/EXEC</t>
        </is>
      </c>
      <c r="C637" t="inlineStr">
        <is>
          <t>Link</t>
        </is>
      </c>
      <c r="E637" t="inlineStr">
        <is>
          <t>Q-J33 NARROWS</t>
        </is>
      </c>
      <c r="F637" t="inlineStr">
        <is>
          <t>design/package-v5/05</t>
        </is>
      </c>
      <c r="G637" t="inlineStr">
        <is>
          <t>V5 (AUTH-020); accepted by the human Q-U31 (INT-T-006 line 8)</t>
        </is>
      </c>
      <c r="H637" t="inlineStr">
        <is>
          <t>Claude</t>
        </is>
      </c>
    </row>
    <row r="638">
      <c r="A638" t="inlineStr">
        <is>
          <t>2026-10-22</t>
        </is>
      </c>
      <c r="B638" t="inlineStr">
        <is>
          <t>N-30</t>
        </is>
      </c>
      <c r="C638" t="inlineStr">
        <is>
          <t>Link</t>
        </is>
      </c>
      <c r="E638" t="inlineStr">
        <is>
          <t>Q-U30 NARROWS</t>
        </is>
      </c>
      <c r="F638" t="inlineStr">
        <is>
          <t>design/package-v5/05</t>
        </is>
      </c>
      <c r="G638" t="inlineStr">
        <is>
          <t>V5 (AUTH-020); accepted by the human Q-U31 (INT-T-006 line 8)</t>
        </is>
      </c>
      <c r="H638" t="inlineStr">
        <is>
          <t>Claude</t>
        </is>
      </c>
    </row>
    <row r="639">
      <c r="A639" t="inlineStr">
        <is>
          <t>2026-10-22</t>
        </is>
      </c>
      <c r="B639" t="inlineStr">
        <is>
          <t>N-6</t>
        </is>
      </c>
      <c r="C639" t="inlineStr">
        <is>
          <t>Link</t>
        </is>
      </c>
      <c r="E639" t="inlineStr">
        <is>
          <t>Q-J31 INFORMS</t>
        </is>
      </c>
      <c r="F639" t="inlineStr">
        <is>
          <t>design/package-v5/05</t>
        </is>
      </c>
      <c r="G639" t="inlineStr">
        <is>
          <t>V5 (AUTH-020); accepted by the human Q-U31 (INT-T-006 line 8)</t>
        </is>
      </c>
      <c r="H639" t="inlineStr">
        <is>
          <t>Claude</t>
        </is>
      </c>
    </row>
    <row r="640">
      <c r="A640" t="inlineStr">
        <is>
          <t>2026-10-22</t>
        </is>
      </c>
      <c r="B640" t="inlineStr">
        <is>
          <t>C-D02</t>
        </is>
      </c>
      <c r="C640" t="inlineStr">
        <is>
          <t>Link</t>
        </is>
      </c>
      <c r="E640" t="inlineStr">
        <is>
          <t>Q-J32 NARROWS</t>
        </is>
      </c>
      <c r="F640" t="inlineStr">
        <is>
          <t>design/package-v5/05</t>
        </is>
      </c>
      <c r="G640" t="inlineStr">
        <is>
          <t>V5 (AUTH-020); accepted by the human Q-U31 (INT-T-006 line 8)</t>
        </is>
      </c>
      <c r="H640" t="inlineStr">
        <is>
          <t>Claude</t>
        </is>
      </c>
    </row>
    <row r="641">
      <c r="A641" t="inlineStr">
        <is>
          <t>2026-10-22</t>
        </is>
      </c>
      <c r="B641" t="inlineStr">
        <is>
          <t>N-16</t>
        </is>
      </c>
      <c r="C641" t="inlineStr">
        <is>
          <t>Link</t>
        </is>
      </c>
      <c r="E641" t="inlineStr">
        <is>
          <t>Q-U29 INFORMS</t>
        </is>
      </c>
      <c r="F641" t="inlineStr">
        <is>
          <t>design/package-v5/05</t>
        </is>
      </c>
      <c r="G641" t="inlineStr">
        <is>
          <t>V5 (AUTH-020); accepted by the human Q-U31 (INT-T-006 line 8)</t>
        </is>
      </c>
      <c r="H641" t="inlineStr">
        <is>
          <t>Claude</t>
        </is>
      </c>
    </row>
    <row r="642">
      <c r="A642" t="inlineStr">
        <is>
          <t>2026-10-22</t>
        </is>
      </c>
      <c r="B642" t="inlineStr">
        <is>
          <t>Q-J33</t>
        </is>
      </c>
      <c r="C642" t="inlineStr">
        <is>
          <t>Answer</t>
        </is>
      </c>
      <c r="E642" t="inlineStr">
        <is>
          <t>answered (REQ-J22-04)</t>
        </is>
      </c>
      <c r="F642" t="inlineStr">
        <is>
          <t>INT-T-007 (requirements/intake/2026-10-22-user-reply-executor-paths-api.md)</t>
        </is>
      </c>
      <c r="G642" t="inlineStr">
        <is>
          <t>INT-T-007</t>
        </is>
      </c>
      <c r="H642" t="inlineStr">
        <is>
          <t>Claude</t>
        </is>
      </c>
    </row>
    <row r="643">
      <c r="A643" t="inlineStr">
        <is>
          <t>2026-10-22</t>
        </is>
      </c>
      <c r="B643" t="inlineStr">
        <is>
          <t>C-D08/EXEC</t>
        </is>
      </c>
      <c r="C643" t="inlineStr">
        <is>
          <t>Current status</t>
        </is>
      </c>
      <c r="D643" t="inlineStr">
        <is>
          <t>PARTLY ANSWERED</t>
        </is>
      </c>
      <c r="E643" t="inlineStr">
        <is>
          <t>CLOSED - BY DECISION</t>
        </is>
      </c>
      <c r="F643" t="inlineStr">
        <is>
          <t>INT-T-007 line 1; design/package-v5/03 s4a</t>
        </is>
      </c>
      <c r="G643" t="inlineStr">
        <is>
          <t>INT-T-007 / V5</t>
        </is>
      </c>
      <c r="H643" t="inlineStr">
        <is>
          <t>Claude</t>
        </is>
      </c>
    </row>
    <row r="644">
      <c r="A644" t="inlineStr">
        <is>
          <t>2026-10-22</t>
        </is>
      </c>
      <c r="B644" t="inlineStr">
        <is>
          <t>C-D08/EXEC</t>
        </is>
      </c>
      <c r="C644" t="inlineStr">
        <is>
          <t>Decision / result (on closure)</t>
        </is>
      </c>
      <c r="E644" t="inlineStr">
        <is>
          <t>Answered (REQ-J22-04): Executor is a source of reusable parts and an optional baseline, not a required one; taken apart in design/package-v5/03 section 4a</t>
        </is>
      </c>
      <c r="F644" t="inlineStr">
        <is>
          <t>INT-T-007 line 1; design/package-v5/03 s4a</t>
        </is>
      </c>
      <c r="G644" t="inlineStr">
        <is>
          <t>INT-T-007 / V5</t>
        </is>
      </c>
      <c r="H644" t="inlineStr">
        <is>
          <t>Claude</t>
        </is>
      </c>
    </row>
    <row r="645">
      <c r="A645" t="inlineStr">
        <is>
          <t>2026-10-22</t>
        </is>
      </c>
      <c r="B645" t="inlineStr">
        <is>
          <t>C-D08/EXEC</t>
        </is>
      </c>
      <c r="C645" t="inlineStr">
        <is>
          <t>Status date</t>
        </is>
      </c>
      <c r="D645" t="inlineStr">
        <is>
          <t>2026-10-22</t>
        </is>
      </c>
      <c r="E645" t="inlineStr">
        <is>
          <t>2026-10-22</t>
        </is>
      </c>
      <c r="F645" t="inlineStr">
        <is>
          <t>INT-T-007 line 1; design/package-v5/03 s4a</t>
        </is>
      </c>
      <c r="G645" t="inlineStr">
        <is>
          <t>INT-T-007 / V5</t>
        </is>
      </c>
      <c r="H645" t="inlineStr">
        <is>
          <t>Claude</t>
        </is>
      </c>
    </row>
    <row r="646">
      <c r="A646" t="inlineStr">
        <is>
          <t>2026-10-22</t>
        </is>
      </c>
      <c r="B646" t="inlineStr">
        <is>
          <t>C-D08/EXEC</t>
        </is>
      </c>
      <c r="C646" t="inlineStr">
        <is>
          <t>Status basis (evidence pointer)</t>
        </is>
      </c>
      <c r="D646" t="inlineStr">
        <is>
          <t>design/package-v5/05 s4</t>
        </is>
      </c>
      <c r="E646" t="inlineStr">
        <is>
          <t>INT-T-007 line 1; design/package-v5/03 s4a</t>
        </is>
      </c>
      <c r="F646" t="inlineStr">
        <is>
          <t>INT-T-007 line 1; design/package-v5/03 s4a</t>
        </is>
      </c>
      <c r="G646" t="inlineStr">
        <is>
          <t>INT-T-007 / V5</t>
        </is>
      </c>
      <c r="H646" t="inlineStr">
        <is>
          <t>Claude</t>
        </is>
      </c>
    </row>
    <row r="647">
      <c r="A647" t="inlineStr">
        <is>
          <t>2026-10-22</t>
        </is>
      </c>
      <c r="B647" t="inlineStr">
        <is>
          <t>AS-07</t>
        </is>
      </c>
      <c r="C647" t="inlineStr">
        <is>
          <t>Current status</t>
        </is>
      </c>
      <c r="D647" t="inlineStr">
        <is>
          <t>PARTLY ANSWERED</t>
        </is>
      </c>
      <c r="E647" t="inlineStr">
        <is>
          <t>CLOSED - BY EVIDENCE</t>
        </is>
      </c>
      <c r="F647" t="inlineStr">
        <is>
          <t>L/v5-executor-docs-mcp-20261022.md:19-36, :74</t>
        </is>
      </c>
      <c r="G647" t="inlineStr">
        <is>
          <t>INT-T-007 / V5</t>
        </is>
      </c>
      <c r="H647" t="inlineStr">
        <is>
          <t>Claude</t>
        </is>
      </c>
    </row>
    <row r="648">
      <c r="A648" t="inlineStr">
        <is>
          <t>2026-10-22</t>
        </is>
      </c>
      <c r="B648" t="inlineStr">
        <is>
          <t>AS-07</t>
        </is>
      </c>
      <c r="C648" t="inlineStr">
        <is>
          <t>Decision / result (on closure)</t>
        </is>
      </c>
      <c r="E648" t="inlineStr">
        <is>
          <t>Executor's own docs: one MCP endpoint, six meta-tools whose list does not grow with the catalogue, tools reached by app-slug paths</t>
        </is>
      </c>
      <c r="F648" t="inlineStr">
        <is>
          <t>L/v5-executor-docs-mcp-20261022.md:19-36, :74</t>
        </is>
      </c>
      <c r="G648" t="inlineStr">
        <is>
          <t>INT-T-007 / V5</t>
        </is>
      </c>
      <c r="H648" t="inlineStr">
        <is>
          <t>Claude</t>
        </is>
      </c>
    </row>
    <row r="649">
      <c r="A649" t="inlineStr">
        <is>
          <t>2026-10-22</t>
        </is>
      </c>
      <c r="B649" t="inlineStr">
        <is>
          <t>AS-07</t>
        </is>
      </c>
      <c r="C649" t="inlineStr">
        <is>
          <t>Status date</t>
        </is>
      </c>
      <c r="D649" t="inlineStr">
        <is>
          <t>2026-10-22</t>
        </is>
      </c>
      <c r="E649" t="inlineStr">
        <is>
          <t>2026-10-22</t>
        </is>
      </c>
      <c r="F649" t="inlineStr">
        <is>
          <t>L/v5-executor-docs-mcp-20261022.md:19-36, :74</t>
        </is>
      </c>
      <c r="G649" t="inlineStr">
        <is>
          <t>INT-T-007 / V5</t>
        </is>
      </c>
      <c r="H649" t="inlineStr">
        <is>
          <t>Claude</t>
        </is>
      </c>
    </row>
    <row r="650">
      <c r="A650" t="inlineStr">
        <is>
          <t>2026-10-22</t>
        </is>
      </c>
      <c r="B650" t="inlineStr">
        <is>
          <t>AS-07</t>
        </is>
      </c>
      <c r="C650" t="inlineStr">
        <is>
          <t>Status basis (evidence pointer)</t>
        </is>
      </c>
      <c r="D650" t="inlineStr">
        <is>
          <t>L/v5-executor-readme-20261022.md:5-7, :123</t>
        </is>
      </c>
      <c r="E650" t="inlineStr">
        <is>
          <t>L/v5-executor-docs-mcp-20261022.md:19-36, :74</t>
        </is>
      </c>
      <c r="F650" t="inlineStr">
        <is>
          <t>L/v5-executor-docs-mcp-20261022.md:19-36, :74</t>
        </is>
      </c>
      <c r="G650" t="inlineStr">
        <is>
          <t>INT-T-007 / V5</t>
        </is>
      </c>
      <c r="H650" t="inlineStr">
        <is>
          <t>Claude</t>
        </is>
      </c>
    </row>
    <row r="651">
      <c r="A651" t="inlineStr">
        <is>
          <t>2026-10-22</t>
        </is>
      </c>
      <c r="B651" t="inlineStr">
        <is>
          <t>C-D08/EXEC</t>
        </is>
      </c>
      <c r="C651" t="inlineStr">
        <is>
          <t>Sheet</t>
        </is>
      </c>
      <c r="D651" t="inlineStr">
        <is>
          <t>Ledger</t>
        </is>
      </c>
      <c r="E651" t="inlineStr">
        <is>
          <t>Archive</t>
        </is>
      </c>
      <c r="F651" t="inlineStr">
        <is>
          <t>closed 2026-10-22 (see the status rows above)</t>
        </is>
      </c>
      <c r="G651" t="inlineStr">
        <is>
          <t>INT-T-007 / V5</t>
        </is>
      </c>
      <c r="H651" t="inlineStr">
        <is>
          <t>Claude</t>
        </is>
      </c>
    </row>
    <row r="652">
      <c r="A652" t="inlineStr">
        <is>
          <t>2026-10-22</t>
        </is>
      </c>
      <c r="B652" t="inlineStr">
        <is>
          <t>AS-07</t>
        </is>
      </c>
      <c r="C652" t="inlineStr">
        <is>
          <t>Sheet</t>
        </is>
      </c>
      <c r="D652" t="inlineStr">
        <is>
          <t>Ledger</t>
        </is>
      </c>
      <c r="E652" t="inlineStr">
        <is>
          <t>Archive</t>
        </is>
      </c>
      <c r="F652" t="inlineStr">
        <is>
          <t>closed 2026-10-22 (see the status rows above)</t>
        </is>
      </c>
      <c r="G652" t="inlineStr">
        <is>
          <t>INT-T-007 / V5</t>
        </is>
      </c>
      <c r="H652" t="inlineStr">
        <is>
          <t>Claude</t>
        </is>
      </c>
    </row>
    <row r="653">
      <c r="A653" t="inlineStr">
        <is>
          <t>2026-10-25</t>
        </is>
      </c>
      <c r="B653" t="inlineStr">
        <is>
          <t>Q-U30</t>
        </is>
      </c>
      <c r="C653" t="inlineStr">
        <is>
          <t>Answer</t>
        </is>
      </c>
      <c r="E653" t="inlineStr">
        <is>
          <t>answered (REQ-U22-08)</t>
        </is>
      </c>
      <c r="F653" t="inlineStr">
        <is>
          <t>INT-T-008 (requirements/intake/2026-10-25-user-answers-q-u30-expose-files.md)</t>
        </is>
      </c>
      <c r="G653" t="inlineStr">
        <is>
          <t>INT-T-008 / V5</t>
        </is>
      </c>
      <c r="H653" t="inlineStr">
        <is>
          <t>Claude</t>
        </is>
      </c>
    </row>
    <row r="654">
      <c r="A654" t="inlineStr">
        <is>
          <t>2026-10-25</t>
        </is>
      </c>
      <c r="B654" t="inlineStr">
        <is>
          <t>Q-U32</t>
        </is>
      </c>
      <c r="C654" t="inlineStr">
        <is>
          <t>Review status</t>
        </is>
      </c>
      <c r="D654" t="inlineStr">
        <is>
          <t>NEEDS FOLLOW-UP</t>
        </is>
      </c>
      <c r="E654" t="inlineStr">
        <is>
          <t>REVIEWED</t>
        </is>
      </c>
      <c r="F654" t="inlineStr">
        <is>
          <t>files placed and checked: design/package-v5/09</t>
        </is>
      </c>
      <c r="G654" t="inlineStr">
        <is>
          <t>INT-T-008 / V5</t>
        </is>
      </c>
      <c r="H654" t="inlineStr">
        <is>
          <t>Claude</t>
        </is>
      </c>
    </row>
    <row r="655">
      <c r="A655" t="inlineStr">
        <is>
          <t>2026-10-25</t>
        </is>
      </c>
      <c r="B655" t="inlineStr">
        <is>
          <t>N-30</t>
        </is>
      </c>
      <c r="C655" t="inlineStr">
        <is>
          <t>What is known now</t>
        </is>
      </c>
      <c r="D655" t="inlineStr">
        <is>
          <t>(appended)</t>
        </is>
      </c>
      <c r="E655" t="inlineStr">
        <is>
          <t>headline averaging decided (REQ-U22-08)</t>
        </is>
      </c>
      <c r="F655" t="inlineStr">
        <is>
          <t>Q-U30</t>
        </is>
      </c>
      <c r="G655" t="inlineStr">
        <is>
          <t>INT-T-008 / V5</t>
        </is>
      </c>
      <c r="H655" t="inlineStr">
        <is>
          <t>Claude</t>
        </is>
      </c>
    </row>
    <row r="656">
      <c r="A656" t="inlineStr">
        <is>
          <t>2026-10-25</t>
        </is>
      </c>
      <c r="B656" t="inlineStr">
        <is>
          <t>N-30</t>
        </is>
      </c>
      <c r="C656" t="inlineStr">
        <is>
          <t>Status date</t>
        </is>
      </c>
      <c r="D656" t="inlineStr">
        <is>
          <t>2026-10-21</t>
        </is>
      </c>
      <c r="E656" t="inlineStr">
        <is>
          <t>2026-10-25</t>
        </is>
      </c>
      <c r="F656" t="inlineStr">
        <is>
          <t>Q-U30</t>
        </is>
      </c>
      <c r="G656" t="inlineStr">
        <is>
          <t>INT-T-008 / V5</t>
        </is>
      </c>
      <c r="H656" t="inlineStr">
        <is>
          <t>Claude</t>
        </is>
      </c>
    </row>
    <row r="657">
      <c r="A657" t="inlineStr">
        <is>
          <t>2026-10-25</t>
        </is>
      </c>
      <c r="B657" t="inlineStr">
        <is>
          <t>N-31</t>
        </is>
      </c>
      <c r="C657" t="inlineStr">
        <is>
          <t>Next action</t>
        </is>
      </c>
      <c r="D657" t="inlineStr">
        <is>
          <t>05 P0 part 2 (Q-U33)</t>
        </is>
      </c>
      <c r="E657" t="inlineStr">
        <is>
          <t>The human runs design/package-v5/tools/p0_api_probe.py with the key when able (2026-10-25: cannot now; nothing else waits on it, REQ-U22-10)</t>
        </is>
      </c>
      <c r="F657" t="inlineStr">
        <is>
          <t>INT-T-008 line 9</t>
        </is>
      </c>
      <c r="G657" t="inlineStr">
        <is>
          <t>INT-T-008 / V5</t>
        </is>
      </c>
      <c r="H657" t="inlineStr">
        <is>
          <t>Claude</t>
        </is>
      </c>
    </row>
    <row r="658">
      <c r="A658" t="inlineStr">
        <is>
          <t>2026-10-25</t>
        </is>
      </c>
      <c r="B658" t="inlineStr">
        <is>
          <t>N-31</t>
        </is>
      </c>
      <c r="C658" t="inlineStr">
        <is>
          <t>Status date</t>
        </is>
      </c>
      <c r="D658" t="inlineStr">
        <is>
          <t>2026-10-22</t>
        </is>
      </c>
      <c r="E658" t="inlineStr">
        <is>
          <t>2026-10-25</t>
        </is>
      </c>
      <c r="F658" t="inlineStr">
        <is>
          <t>INT-T-008</t>
        </is>
      </c>
      <c r="G658" t="inlineStr">
        <is>
          <t>INT-T-008 / V5</t>
        </is>
      </c>
      <c r="H658" t="inlineStr">
        <is>
          <t>Claude</t>
        </is>
      </c>
    </row>
    <row r="659">
      <c r="A659" t="inlineStr">
        <is>
          <t>2026-10-25</t>
        </is>
      </c>
      <c r="B659" t="inlineStr">
        <is>
          <t>N-34</t>
        </is>
      </c>
      <c r="C659" t="inlineStr">
        <is>
          <t>Current status</t>
        </is>
      </c>
      <c r="D659" t="inlineStr">
        <is>
          <t>OPEN</t>
        </is>
      </c>
      <c r="E659" t="inlineStr">
        <is>
          <t>CLOSED - BY EVIDENCE</t>
        </is>
      </c>
      <c r="F659" t="inlineStr">
        <is>
          <t>design/package-v5/09-expose-ideas-checked.md</t>
        </is>
      </c>
      <c r="G659" t="inlineStr">
        <is>
          <t>INT-T-008 / V5</t>
        </is>
      </c>
      <c r="H659" t="inlineStr">
        <is>
          <t>Claude</t>
        </is>
      </c>
    </row>
    <row r="660">
      <c r="A660" t="inlineStr">
        <is>
          <t>2026-10-25</t>
        </is>
      </c>
      <c r="B660" t="inlineStr">
        <is>
          <t>N-34</t>
        </is>
      </c>
      <c r="C660" t="inlineStr">
        <is>
          <t>Decision / result (on closure)</t>
        </is>
      </c>
      <c r="E660" t="inlineStr">
        <is>
          <t>The exposé's ideas (11) and the experiment brief's ideas (12) were checked as ordinary candidates against the stored evidence and V5's arithmetic: 9 kept, 8 revised, 1 parked, 5 dropped; two adopted as V5-R10 (tiered appended entries) and V5-R11 (churn, offered-set recall, oracle ablation). The brief's status notes about an earlier experiment were not used (REQ-U21-02).</t>
        </is>
      </c>
      <c r="F660" t="inlineStr">
        <is>
          <t>design/package-v5/09</t>
        </is>
      </c>
      <c r="G660" t="inlineStr">
        <is>
          <t>INT-T-008 / V5</t>
        </is>
      </c>
      <c r="H660" t="inlineStr">
        <is>
          <t>Claude</t>
        </is>
      </c>
    </row>
    <row r="661">
      <c r="A661" t="inlineStr">
        <is>
          <t>2026-10-25</t>
        </is>
      </c>
      <c r="B661" t="inlineStr">
        <is>
          <t>N-34</t>
        </is>
      </c>
      <c r="C661" t="inlineStr">
        <is>
          <t>Status date</t>
        </is>
      </c>
      <c r="D661" t="inlineStr">
        <is>
          <t>2026-10-22</t>
        </is>
      </c>
      <c r="E661" t="inlineStr">
        <is>
          <t>2026-10-25</t>
        </is>
      </c>
      <c r="F661" t="inlineStr">
        <is>
          <t>Q-U32</t>
        </is>
      </c>
      <c r="G661" t="inlineStr">
        <is>
          <t>INT-T-008 / V5</t>
        </is>
      </c>
      <c r="H661" t="inlineStr">
        <is>
          <t>Claude</t>
        </is>
      </c>
    </row>
    <row r="662">
      <c r="A662" t="inlineStr">
        <is>
          <t>2026-10-25</t>
        </is>
      </c>
      <c r="B662" t="inlineStr">
        <is>
          <t>N-34</t>
        </is>
      </c>
      <c r="C662" t="inlineStr">
        <is>
          <t>Status basis (evidence pointer)</t>
        </is>
      </c>
      <c r="D662" t="inlineStr">
        <is>
          <t>INT-T-006 lines 10-20</t>
        </is>
      </c>
      <c r="E662" t="inlineStr">
        <is>
          <t>design/package-v5/09-expose-ideas-checked.md; INT-T-008</t>
        </is>
      </c>
      <c r="F662" t="inlineStr">
        <is>
          <t>Q-U32</t>
        </is>
      </c>
      <c r="G662" t="inlineStr">
        <is>
          <t>INT-T-008 / V5</t>
        </is>
      </c>
      <c r="H662" t="inlineStr">
        <is>
          <t>Claude</t>
        </is>
      </c>
    </row>
    <row r="663">
      <c r="A663" t="inlineStr">
        <is>
          <t>2026-10-25</t>
        </is>
      </c>
      <c r="B663" t="inlineStr">
        <is>
          <t>N-34</t>
        </is>
      </c>
      <c r="C663" t="inlineStr">
        <is>
          <t>Sheet</t>
        </is>
      </c>
      <c r="D663" t="inlineStr">
        <is>
          <t>Ledger</t>
        </is>
      </c>
      <c r="E663" t="inlineStr">
        <is>
          <t>Archive</t>
        </is>
      </c>
      <c r="F663" t="inlineStr">
        <is>
          <t>closed 2026-10-25</t>
        </is>
      </c>
      <c r="G663" t="inlineStr">
        <is>
          <t>INT-T-008 / V5</t>
        </is>
      </c>
      <c r="H663" t="inlineStr">
        <is>
          <t>Claude</t>
        </is>
      </c>
    </row>
    <row r="664">
      <c r="A664" t="inlineStr">
        <is>
          <t>2026-10-27</t>
        </is>
      </c>
      <c r="B664" t="inlineStr">
        <is>
          <t>Q-U33</t>
        </is>
      </c>
      <c r="C664" t="inlineStr">
        <is>
          <t>Answer</t>
        </is>
      </c>
      <c r="E664" t="inlineStr">
        <is>
          <t>answered by action (REQ-U22-11)</t>
        </is>
      </c>
      <c r="F664" t="inlineStr">
        <is>
          <t>INT-T-009 (requirements/intake/2026-10-27-user-report-api-probe-run.md); design/package-v5/10-p0-university-api-reading.md</t>
        </is>
      </c>
      <c r="G664" t="inlineStr">
        <is>
          <t>INT-T-009 / V5</t>
        </is>
      </c>
      <c r="H664" t="inlineStr">
        <is>
          <t>Claude</t>
        </is>
      </c>
    </row>
    <row r="665">
      <c r="A665" t="inlineStr">
        <is>
          <t>2026-10-27</t>
        </is>
      </c>
      <c r="B665" t="inlineStr">
        <is>
          <t>N-31</t>
        </is>
      </c>
      <c r="C665" t="inlineStr">
        <is>
          <t>What is known now</t>
        </is>
      </c>
      <c r="D665" t="inlineStr">
        <is>
          <t>(appended)</t>
        </is>
      </c>
      <c r="E665" t="inlineStr">
        <is>
          <t>six models: cache counters (cached_tokens, created_cache_tokens) and reasoning_tokens reported; prefix cache partial and block-wise (59-99.7% on a repeat), kept on an appended turn</t>
        </is>
      </c>
      <c r="F665" t="inlineStr">
        <is>
          <t>design/package-v5/10</t>
        </is>
      </c>
      <c r="G665" t="inlineStr">
        <is>
          <t>INT-T-009 / V5</t>
        </is>
      </c>
      <c r="H665" t="inlineStr">
        <is>
          <t>Claude</t>
        </is>
      </c>
    </row>
    <row r="666">
      <c r="A666" t="inlineStr">
        <is>
          <t>2026-10-27</t>
        </is>
      </c>
      <c r="B666" t="inlineStr">
        <is>
          <t>N-31</t>
        </is>
      </c>
      <c r="C666" t="inlineStr">
        <is>
          <t>Next action</t>
        </is>
      </c>
      <c r="D666" t="inlineStr">
        <is>
          <t>The human runs design/package-v5/tools/p0_api_probe.py with the key when able (2026-10-25: cannot now; nothing else waits on it, REQ-U22-10)</t>
        </is>
      </c>
      <c r="E666" t="inlineStr">
        <is>
          <t>Second probe: the human runs design/package-v5/tools/p0_api_probe_v2.py (changed tools array, tool calling at max_tokens 400, an absent tool)</t>
        </is>
      </c>
      <c r="F666" t="inlineStr">
        <is>
          <t>design/package-v5/10 s6</t>
        </is>
      </c>
      <c r="G666" t="inlineStr">
        <is>
          <t>INT-T-009 / V5</t>
        </is>
      </c>
      <c r="H666" t="inlineStr">
        <is>
          <t>Claude</t>
        </is>
      </c>
    </row>
    <row r="667">
      <c r="A667" t="inlineStr">
        <is>
          <t>2026-10-27</t>
        </is>
      </c>
      <c r="B667" t="inlineStr">
        <is>
          <t>N-31</t>
        </is>
      </c>
      <c r="C667" t="inlineStr">
        <is>
          <t>Status date</t>
        </is>
      </c>
      <c r="D667" t="inlineStr">
        <is>
          <t>2026-10-25</t>
        </is>
      </c>
      <c r="E667" t="inlineStr">
        <is>
          <t>2026-10-27</t>
        </is>
      </c>
      <c r="F667" t="inlineStr">
        <is>
          <t>INT-T-009</t>
        </is>
      </c>
      <c r="G667" t="inlineStr">
        <is>
          <t>INT-T-009 / V5</t>
        </is>
      </c>
      <c r="H667" t="inlineStr">
        <is>
          <t>Claude</t>
        </is>
      </c>
    </row>
    <row r="668">
      <c r="A668" t="inlineStr">
        <is>
          <t>2026-10-27</t>
        </is>
      </c>
      <c r="B668" t="inlineStr">
        <is>
          <t>C-X07</t>
        </is>
      </c>
      <c r="C668" t="inlineStr">
        <is>
          <t>What is known now</t>
        </is>
      </c>
      <c r="D668" t="inlineStr">
        <is>
          <t>(appended)</t>
        </is>
      </c>
      <c r="E668" t="inlineStr">
        <is>
          <t>cache fields exist on the university API (first round of N-31); the billed price is not reported, so the bill is computed from counts and a named price table (DPR-0006 s1)</t>
        </is>
      </c>
      <c r="F668" t="inlineStr">
        <is>
          <t>design/package-v5/10</t>
        </is>
      </c>
      <c r="G668" t="inlineStr">
        <is>
          <t>INT-T-009 / V5</t>
        </is>
      </c>
      <c r="H668" t="inlineStr">
        <is>
          <t>Claude</t>
        </is>
      </c>
    </row>
    <row r="669">
      <c r="A669" t="inlineStr">
        <is>
          <t>2026-10-27</t>
        </is>
      </c>
      <c r="B669" t="inlineStr">
        <is>
          <t>C-X07</t>
        </is>
      </c>
      <c r="C669" t="inlineStr">
        <is>
          <t>Status date</t>
        </is>
      </c>
      <c r="D669" t="inlineStr">
        <is>
          <t>2026-10-22</t>
        </is>
      </c>
      <c r="E669" t="inlineStr">
        <is>
          <t>2026-10-27</t>
        </is>
      </c>
      <c r="F669" t="inlineStr">
        <is>
          <t>INT-T-009</t>
        </is>
      </c>
      <c r="G669" t="inlineStr">
        <is>
          <t>INT-T-009 / V5</t>
        </is>
      </c>
      <c r="H669" t="inlineStr">
        <is>
          <t>Claude</t>
        </is>
      </c>
    </row>
    <row r="670">
      <c r="A670" t="inlineStr">
        <is>
          <t>2026-10-27</t>
        </is>
      </c>
      <c r="B670" t="inlineStr">
        <is>
          <t>C-S03/DEFUSAGE</t>
        </is>
      </c>
      <c r="C670" t="inlineStr">
        <is>
          <t>What is known now</t>
        </is>
      </c>
      <c r="D670" t="inlineStr">
        <is>
          <t>(appended)</t>
        </is>
      </c>
      <c r="E670" t="inlineStr">
        <is>
          <t>on the university route vendor deferral does not exist; a changed tools array and appended definitions are tested by the second probe (C3, C4)</t>
        </is>
      </c>
      <c r="F670" t="inlineStr">
        <is>
          <t>design/package-v5/10</t>
        </is>
      </c>
      <c r="G670" t="inlineStr">
        <is>
          <t>INT-T-009 / V5</t>
        </is>
      </c>
      <c r="H670" t="inlineStr">
        <is>
          <t>Claude</t>
        </is>
      </c>
    </row>
    <row r="671">
      <c r="A671" t="inlineStr">
        <is>
          <t>2026-10-27</t>
        </is>
      </c>
      <c r="B671" t="inlineStr">
        <is>
          <t>C-S03/DEFUSAGE</t>
        </is>
      </c>
      <c r="C671" t="inlineStr">
        <is>
          <t>Status date</t>
        </is>
      </c>
      <c r="D671" t="inlineStr">
        <is>
          <t>2026-10-22</t>
        </is>
      </c>
      <c r="E671" t="inlineStr">
        <is>
          <t>2026-10-27</t>
        </is>
      </c>
      <c r="F671" t="inlineStr">
        <is>
          <t>INT-T-009</t>
        </is>
      </c>
      <c r="G671" t="inlineStr">
        <is>
          <t>INT-T-009 / V5</t>
        </is>
      </c>
      <c r="H671" t="inlineStr">
        <is>
          <t>Claude</t>
        </is>
      </c>
    </row>
    <row r="672">
      <c r="A672" t="inlineStr">
        <is>
          <t>2026-10-27</t>
        </is>
      </c>
      <c r="B672" t="inlineStr">
        <is>
          <t>N-37</t>
        </is>
      </c>
      <c r="C672" t="inlineStr">
        <is>
          <t>(new row)</t>
        </is>
      </c>
      <c r="E672" t="inlineStr">
        <is>
          <t>OPEN</t>
        </is>
      </c>
      <c r="F672" t="inlineStr">
        <is>
          <t>design/package-v5/10</t>
        </is>
      </c>
      <c r="G672" t="inlineStr">
        <is>
          <t>INT-T-009 / V5</t>
        </is>
      </c>
      <c r="H672" t="inlineStr">
        <is>
          <t>Claude</t>
        </is>
      </c>
    </row>
    <row r="673">
      <c r="A673" t="inlineStr">
        <is>
          <t>2026-10-27</t>
        </is>
      </c>
      <c r="B673" t="inlineStr">
        <is>
          <t>N-37</t>
        </is>
      </c>
      <c r="C673" t="inlineStr">
        <is>
          <t>What is known now</t>
        </is>
      </c>
      <c r="D673" t="inlineStr">
        <is>
          <t>(appended)</t>
        </is>
      </c>
      <c r="E673" t="inlineStr">
        <is>
          <t>second probe (3 models): tool calling works (auto, required, named; 9 of 9); an absent tool: gpt-oss and MiniMax-M3 declined, GLM-5.3 called a wrong tool (tool_09); a changed tools</t>
        </is>
      </c>
      <c r="F673" t="inlineStr">
        <is>
          <t>design/package-v5/10 s7</t>
        </is>
      </c>
      <c r="G673" t="inlineStr">
        <is>
          <t>INT-T-010 / V5</t>
        </is>
      </c>
      <c r="H673" t="inlineStr">
        <is>
          <t>Claude</t>
        </is>
      </c>
    </row>
    <row r="674">
      <c r="A674" t="inlineStr">
        <is>
          <t>2026-10-27</t>
        </is>
      </c>
      <c r="B674" t="inlineStr">
        <is>
          <t>N-37</t>
        </is>
      </c>
      <c r="C674" t="inlineStr">
        <is>
          <t>Current status</t>
        </is>
      </c>
      <c r="D674" t="inlineStr">
        <is>
          <t>OPEN</t>
        </is>
      </c>
      <c r="E674" t="inlineStr">
        <is>
          <t>PARTLY ANSWERED</t>
        </is>
      </c>
      <c r="F674" t="inlineStr">
        <is>
          <t>design/package-v5/10 s7</t>
        </is>
      </c>
      <c r="G674" t="inlineStr">
        <is>
          <t>INT-T-010 / V5</t>
        </is>
      </c>
      <c r="H674" t="inlineStr">
        <is>
          <t>Claude</t>
        </is>
      </c>
    </row>
    <row r="675">
      <c r="A675" t="inlineStr">
        <is>
          <t>2026-10-27</t>
        </is>
      </c>
      <c r="B675" t="inlineStr">
        <is>
          <t>N-37</t>
        </is>
      </c>
      <c r="C675" t="inlineStr">
        <is>
          <t>Next action</t>
        </is>
      </c>
      <c r="D675" t="inlineStr">
        <is>
          <t>The human runs p0_api_probe_v2.py (GLM-5.3 with --pause 35)</t>
        </is>
      </c>
      <c r="E675" t="inlineStr">
        <is>
          <t>Third probe: the human runs design/package-v5/tools/p0_api_probe_v3.py (nonce-marked variants; lifetime mode later; GLM-5.3 with --pause 35)</t>
        </is>
      </c>
      <c r="F675" t="inlineStr">
        <is>
          <t>design/package-v5/10 s9</t>
        </is>
      </c>
      <c r="G675" t="inlineStr">
        <is>
          <t>INT-T-010 / V5</t>
        </is>
      </c>
      <c r="H675" t="inlineStr">
        <is>
          <t>Claude</t>
        </is>
      </c>
    </row>
    <row r="676">
      <c r="A676" t="inlineStr">
        <is>
          <t>2026-10-27</t>
        </is>
      </c>
      <c r="B676" t="inlineStr">
        <is>
          <t>N-37</t>
        </is>
      </c>
      <c r="C676" t="inlineStr">
        <is>
          <t>Status date</t>
        </is>
      </c>
      <c r="D676" t="inlineStr">
        <is>
          <t>2026-10-27</t>
        </is>
      </c>
      <c r="E676" t="inlineStr">
        <is>
          <t>2026-10-27</t>
        </is>
      </c>
      <c r="F676" t="inlineStr">
        <is>
          <t>INT-T-010</t>
        </is>
      </c>
      <c r="G676" t="inlineStr">
        <is>
          <t>INT-T-010 / V5</t>
        </is>
      </c>
      <c r="H676" t="inlineStr">
        <is>
          <t>Claude</t>
        </is>
      </c>
    </row>
    <row r="677">
      <c r="A677" t="inlineStr">
        <is>
          <t>2026-10-27</t>
        </is>
      </c>
      <c r="B677" t="inlineStr">
        <is>
          <t>N-31</t>
        </is>
      </c>
      <c r="C677" t="inlineStr">
        <is>
          <t>What is known now</t>
        </is>
      </c>
      <c r="D677" t="inlineStr">
        <is>
          <t>(appended)</t>
        </is>
      </c>
      <c r="E677" t="inlineStr">
        <is>
          <t>cache lived at least about 75 minutes on gpt-oss, MiniMax-M3 and GLM-5.3 (first request of the second probe was already cached from the first probe, if no run intervened); MiniMax-</t>
        </is>
      </c>
      <c r="F677" t="inlineStr">
        <is>
          <t>design/package-v5/10 s7</t>
        </is>
      </c>
      <c r="G677" t="inlineStr">
        <is>
          <t>INT-T-010 / V5</t>
        </is>
      </c>
      <c r="H677" t="inlineStr">
        <is>
          <t>Claude</t>
        </is>
      </c>
    </row>
    <row r="678">
      <c r="A678" t="inlineStr">
        <is>
          <t>2026-10-27</t>
        </is>
      </c>
      <c r="B678" t="inlineStr">
        <is>
          <t>N-31</t>
        </is>
      </c>
      <c r="C678" t="inlineStr">
        <is>
          <t>Status date</t>
        </is>
      </c>
      <c r="D678" t="inlineStr">
        <is>
          <t>2026-10-27</t>
        </is>
      </c>
      <c r="E678" t="inlineStr">
        <is>
          <t>2026-10-27</t>
        </is>
      </c>
      <c r="F678" t="inlineStr">
        <is>
          <t>INT-T-010</t>
        </is>
      </c>
      <c r="G678" t="inlineStr">
        <is>
          <t>INT-T-010 / V5</t>
        </is>
      </c>
      <c r="H678" t="inlineStr">
        <is>
          <t>Claude</t>
        </is>
      </c>
    </row>
    <row r="679">
      <c r="A679" t="inlineStr">
        <is>
          <t>2026-10-27</t>
        </is>
      </c>
      <c r="B679" t="inlineStr">
        <is>
          <t>C-S08</t>
        </is>
      </c>
      <c r="C679" t="inlineStr">
        <is>
          <t>What is known now</t>
        </is>
      </c>
      <c r="D679" t="inlineStr">
        <is>
          <t>(appended)</t>
        </is>
      </c>
      <c r="E679" t="inlineStr">
        <is>
          <t>one absent-tool request per model through the university API: 2 of 3 models declined, GLM-5.3 made a wrong-tool call (single runs; design/package-v5/10 s7)</t>
        </is>
      </c>
      <c r="F679" t="inlineStr">
        <is>
          <t>design/package-v5/10 s7</t>
        </is>
      </c>
      <c r="G679" t="inlineStr">
        <is>
          <t>INT-T-010 / V5</t>
        </is>
      </c>
      <c r="H679" t="inlineStr">
        <is>
          <t>Claude</t>
        </is>
      </c>
    </row>
    <row r="680">
      <c r="A680" t="inlineStr">
        <is>
          <t>2026-10-27</t>
        </is>
      </c>
      <c r="B680" t="inlineStr">
        <is>
          <t>C-S08</t>
        </is>
      </c>
      <c r="C680" t="inlineStr">
        <is>
          <t>Status date</t>
        </is>
      </c>
      <c r="D680" t="inlineStr">
        <is>
          <t>2026-10-21</t>
        </is>
      </c>
      <c r="E680" t="inlineStr">
        <is>
          <t>2026-10-27</t>
        </is>
      </c>
      <c r="F680" t="inlineStr">
        <is>
          <t>INT-T-010</t>
        </is>
      </c>
      <c r="G680" t="inlineStr">
        <is>
          <t>INT-T-010 / V5</t>
        </is>
      </c>
      <c r="H680" t="inlineStr">
        <is>
          <t>Claude</t>
        </is>
      </c>
    </row>
    <row r="681">
      <c r="A681" t="inlineStr">
        <is>
          <t>2026-10-27</t>
        </is>
      </c>
      <c r="B681" t="inlineStr">
        <is>
          <t>N-38</t>
        </is>
      </c>
      <c r="C681" t="inlineStr">
        <is>
          <t>(new row)</t>
        </is>
      </c>
      <c r="E681" t="inlineStr">
        <is>
          <t>OPEN</t>
        </is>
      </c>
      <c r="F681" t="inlineStr">
        <is>
          <t>design/package-v5/10</t>
        </is>
      </c>
      <c r="G681" t="inlineStr">
        <is>
          <t>INT-T-010 / V5</t>
        </is>
      </c>
      <c r="H681" t="inlineStr">
        <is>
          <t>Claude</t>
        </is>
      </c>
    </row>
    <row r="682">
      <c r="A682" t="inlineStr">
        <is>
          <t>2026-10-27</t>
        </is>
      </c>
      <c r="B682" t="inlineStr">
        <is>
          <t>N-39</t>
        </is>
      </c>
      <c r="C682" t="inlineStr">
        <is>
          <t>(new row)</t>
        </is>
      </c>
      <c r="E682" t="inlineStr">
        <is>
          <t>OPEN</t>
        </is>
      </c>
      <c r="F682" t="inlineStr">
        <is>
          <t>design/package-v5/10</t>
        </is>
      </c>
      <c r="G682" t="inlineStr">
        <is>
          <t>INT-T-010 / V5</t>
        </is>
      </c>
      <c r="H682" t="inlineStr">
        <is>
          <t>Claude</t>
        </is>
      </c>
    </row>
    <row r="683">
      <c r="A683" t="inlineStr">
        <is>
          <t>2026-10-27</t>
        </is>
      </c>
      <c r="B683" t="inlineStr">
        <is>
          <t>N-38</t>
        </is>
      </c>
      <c r="C683" t="inlineStr">
        <is>
          <t>Current status</t>
        </is>
      </c>
      <c r="D683" t="inlineStr">
        <is>
          <t>OPEN</t>
        </is>
      </c>
      <c r="E683" t="inlineStr">
        <is>
          <t>DEFERRED</t>
        </is>
      </c>
      <c r="F683" t="inlineStr">
        <is>
          <t>INT-T-011 (REQ-U22-14): model choice is not our case for now; the work must not depend on models</t>
        </is>
      </c>
      <c r="G683" t="inlineStr">
        <is>
          <t>INT-T-011 / V5</t>
        </is>
      </c>
      <c r="H683" t="inlineStr">
        <is>
          <t>Claude</t>
        </is>
      </c>
    </row>
    <row r="684">
      <c r="A684" t="inlineStr">
        <is>
          <t>2026-10-27</t>
        </is>
      </c>
      <c r="B684" t="inlineStr">
        <is>
          <t>N-38</t>
        </is>
      </c>
      <c r="C684" t="inlineStr">
        <is>
          <t>Reopen trigger</t>
        </is>
      </c>
      <c r="E684" t="inlineStr">
        <is>
          <t>The first experiment is authorized and a run needs a model; or a result shows model dependence</t>
        </is>
      </c>
      <c r="F684" t="inlineStr">
        <is>
          <t>REQ-U22-14</t>
        </is>
      </c>
      <c r="G684" t="inlineStr">
        <is>
          <t>INT-T-011 / V5</t>
        </is>
      </c>
      <c r="H684" t="inlineStr">
        <is>
          <t>Claude</t>
        </is>
      </c>
    </row>
    <row r="685">
      <c r="A685" t="inlineStr">
        <is>
          <t>2026-10-27</t>
        </is>
      </c>
      <c r="B685" t="inlineStr">
        <is>
          <t>N-38</t>
        </is>
      </c>
      <c r="C685" t="inlineStr">
        <is>
          <t>Next action</t>
        </is>
      </c>
      <c r="D685" t="inlineStr">
        <is>
          <t>The human chooses</t>
        </is>
      </c>
      <c r="E685" t="inlineStr">
        <is>
          <t>none until the trigger; harnesses take the model as a run-time argument and label every record with it</t>
        </is>
      </c>
      <c r="F685" t="inlineStr">
        <is>
          <t>REQ-U22-14</t>
        </is>
      </c>
      <c r="G685" t="inlineStr">
        <is>
          <t>INT-T-011 / V5</t>
        </is>
      </c>
      <c r="H685" t="inlineStr">
        <is>
          <t>Claude</t>
        </is>
      </c>
    </row>
    <row r="686">
      <c r="A686" t="inlineStr">
        <is>
          <t>2026-10-27</t>
        </is>
      </c>
      <c r="B686" t="inlineStr">
        <is>
          <t>N-38</t>
        </is>
      </c>
      <c r="C686" t="inlineStr">
        <is>
          <t>Status date</t>
        </is>
      </c>
      <c r="D686" t="inlineStr">
        <is>
          <t>2026-10-27</t>
        </is>
      </c>
      <c r="E686" t="inlineStr">
        <is>
          <t>2026-10-27</t>
        </is>
      </c>
      <c r="F686" t="inlineStr">
        <is>
          <t>INT-T-011</t>
        </is>
      </c>
      <c r="G686" t="inlineStr">
        <is>
          <t>INT-T-011 / V5</t>
        </is>
      </c>
      <c r="H686" t="inlineStr">
        <is>
          <t>Claude</t>
        </is>
      </c>
    </row>
    <row r="687">
      <c r="A687" t="inlineStr">
        <is>
          <t>2026-10-27</t>
        </is>
      </c>
      <c r="B687" t="inlineStr">
        <is>
          <t>N-38</t>
        </is>
      </c>
      <c r="C687" t="inlineStr">
        <is>
          <t>Status basis (evidence pointer)</t>
        </is>
      </c>
      <c r="D687" t="inlineStr">
        <is>
          <t>design/package-v5/10 s8; REQ-U22-13</t>
        </is>
      </c>
      <c r="E687" t="inlineStr">
        <is>
          <t>requirements/intake/2026-10-27-user-model-choice-deferred-prices-experiments.md; REQ-U22-14</t>
        </is>
      </c>
      <c r="F687" t="inlineStr">
        <is>
          <t>INT-T-011</t>
        </is>
      </c>
      <c r="G687" t="inlineStr">
        <is>
          <t>INT-T-011 / V5</t>
        </is>
      </c>
      <c r="H687" t="inlineStr">
        <is>
          <t>Claude</t>
        </is>
      </c>
    </row>
    <row r="688">
      <c r="A688" t="inlineStr">
        <is>
          <t>2026-10-27</t>
        </is>
      </c>
      <c r="B688" t="inlineStr">
        <is>
          <t>N-39</t>
        </is>
      </c>
      <c r="C688" t="inlineStr">
        <is>
          <t>Current status</t>
        </is>
      </c>
      <c r="D688" t="inlineStr">
        <is>
          <t>OPEN</t>
        </is>
      </c>
      <c r="E688" t="inlineStr">
        <is>
          <t>PARTLY ANSWERED</t>
        </is>
      </c>
      <c r="F688" t="inlineStr">
        <is>
          <t>design/package-v5/11-price-ranges.md (REQ-U22-15: the lead searches price sources)</t>
        </is>
      </c>
      <c r="G688" t="inlineStr">
        <is>
          <t>INT-T-011 / V5</t>
        </is>
      </c>
      <c r="H688" t="inlineStr">
        <is>
          <t>Claude</t>
        </is>
      </c>
    </row>
    <row r="689">
      <c r="A689" t="inlineStr">
        <is>
          <t>2026-10-27</t>
        </is>
      </c>
      <c r="B689" t="inlineStr">
        <is>
          <t>N-39</t>
        </is>
      </c>
      <c r="C689" t="inlineStr">
        <is>
          <t>What is known now</t>
        </is>
      </c>
      <c r="D689" t="inlineStr">
        <is>
          <t>(appended)</t>
        </is>
      </c>
      <c r="E689" t="inlineStr">
        <is>
          <t>price ranges from benchmark and aggregator pages (Aug-Oct 2026, stored): cache-read/input r 0.14 to 1.0 (six of 18 gpt-oss-120b hosts list no cache discount), write fee none listed</t>
        </is>
      </c>
      <c r="F689" t="inlineStr">
        <is>
          <t>design/package-v5/11</t>
        </is>
      </c>
      <c r="G689" t="inlineStr">
        <is>
          <t>INT-T-011 / V5</t>
        </is>
      </c>
      <c r="H689" t="inlineStr">
        <is>
          <t>Claude</t>
        </is>
      </c>
    </row>
    <row r="690">
      <c r="A690" t="inlineStr">
        <is>
          <t>2026-10-27</t>
        </is>
      </c>
      <c r="B690" t="inlineStr">
        <is>
          <t>N-39</t>
        </is>
      </c>
      <c r="C690" t="inlineStr">
        <is>
          <t>Next action</t>
        </is>
      </c>
      <c r="D690" t="inlineStr">
        <is>
          <t>The human decides</t>
        </is>
      </c>
      <c r="E690" t="inlineStr">
        <is>
          <t>The human accepts or changes the handling in design/package-v5/11 section 7 (token classes plus ratios; dollars under one or two reference cases)</t>
        </is>
      </c>
      <c r="F690" t="inlineStr">
        <is>
          <t>design/package-v5/11 s7</t>
        </is>
      </c>
      <c r="G690" t="inlineStr">
        <is>
          <t>INT-T-011 / V5</t>
        </is>
      </c>
      <c r="H690" t="inlineStr">
        <is>
          <t>Claude</t>
        </is>
      </c>
    </row>
    <row r="691">
      <c r="A691" t="inlineStr">
        <is>
          <t>2026-10-27</t>
        </is>
      </c>
      <c r="B691" t="inlineStr">
        <is>
          <t>N-39</t>
        </is>
      </c>
      <c r="C691" t="inlineStr">
        <is>
          <t>Status date</t>
        </is>
      </c>
      <c r="D691" t="inlineStr">
        <is>
          <t>2026-10-27</t>
        </is>
      </c>
      <c r="E691" t="inlineStr">
        <is>
          <t>2026-10-27</t>
        </is>
      </c>
      <c r="F691" t="inlineStr">
        <is>
          <t>INT-T-011</t>
        </is>
      </c>
      <c r="G691" t="inlineStr">
        <is>
          <t>INT-T-011 / V5</t>
        </is>
      </c>
      <c r="H691" t="inlineStr">
        <is>
          <t>Claude</t>
        </is>
      </c>
    </row>
    <row r="692">
      <c r="A692" t="inlineStr">
        <is>
          <t>2026-10-27</t>
        </is>
      </c>
      <c r="B692" t="inlineStr">
        <is>
          <t>N-39</t>
        </is>
      </c>
      <c r="C692" t="inlineStr">
        <is>
          <t>Status basis (evidence pointer)</t>
        </is>
      </c>
      <c r="D692" t="inlineStr">
        <is>
          <t>DPR-0006 s1; design/package-v5/10 s2</t>
        </is>
      </c>
      <c r="E692" t="inlineStr">
        <is>
          <t>design/package-v5/11-price-ranges.md; design/package-v5/calc/price_sensitivity.stdout.txt</t>
        </is>
      </c>
      <c r="F692" t="inlineStr">
        <is>
          <t>INT-T-011</t>
        </is>
      </c>
      <c r="G692" t="inlineStr">
        <is>
          <t>INT-T-011 / V5</t>
        </is>
      </c>
      <c r="H692" t="inlineStr">
        <is>
          <t>Claude</t>
        </is>
      </c>
    </row>
    <row r="693">
      <c r="A693" t="inlineStr">
        <is>
          <t>2026-10-27</t>
        </is>
      </c>
      <c r="B693" t="inlineStr">
        <is>
          <t>N-37</t>
        </is>
      </c>
      <c r="C693" t="inlineStr">
        <is>
          <t>What is known now</t>
        </is>
      </c>
      <c r="D693" t="inlineStr">
        <is>
          <t>(appended)</t>
        </is>
      </c>
      <c r="E693" t="inlineStr">
        <is>
          <t>readiness for experiments assessed in design/package-v5/12 (P5 ready once authorized; third probe advised first)</t>
        </is>
      </c>
      <c r="F693" t="inlineStr">
        <is>
          <t>design/package-v5/11</t>
        </is>
      </c>
      <c r="G693" t="inlineStr">
        <is>
          <t>INT-T-011 / V5</t>
        </is>
      </c>
      <c r="H693" t="inlineStr">
        <is>
          <t>Claude</t>
        </is>
      </c>
    </row>
    <row r="694">
      <c r="A694" t="inlineStr">
        <is>
          <t>2026-10-27</t>
        </is>
      </c>
      <c r="B694" t="inlineStr">
        <is>
          <t>N-37</t>
        </is>
      </c>
      <c r="C694" t="inlineStr">
        <is>
          <t>Status date</t>
        </is>
      </c>
      <c r="D694" t="inlineStr">
        <is>
          <t>2026-10-27</t>
        </is>
      </c>
      <c r="E694" t="inlineStr">
        <is>
          <t>2026-10-27</t>
        </is>
      </c>
      <c r="F694" t="inlineStr">
        <is>
          <t>INT-T-011</t>
        </is>
      </c>
      <c r="G694" t="inlineStr">
        <is>
          <t>INT-T-011 / V5</t>
        </is>
      </c>
      <c r="H694" t="inlineStr">
        <is>
          <t>Claude</t>
        </is>
      </c>
    </row>
    <row r="695">
      <c r="A695" t="inlineStr">
        <is>
          <t>2026-10-27</t>
        </is>
      </c>
      <c r="B695" t="inlineStr">
        <is>
          <t>N-37</t>
        </is>
      </c>
      <c r="C695" t="inlineStr">
        <is>
          <t>What is known now</t>
        </is>
      </c>
      <c r="D695" t="inlineStr">
        <is>
          <t>(appended)</t>
        </is>
      </c>
      <c r="E695" t="inlineStr">
        <is>
          <t>third probe (run by the human, nonce-marked variants): GLM-5.3 and MiniMax-M3 are plain prefix caches (a change rewrites everything after it; the tools-first and system-first templ</t>
        </is>
      </c>
      <c r="F695" t="inlineStr">
        <is>
          <t>design/package-v5/10 s9</t>
        </is>
      </c>
      <c r="G695" t="inlineStr">
        <is>
          <t>INT-T-012 / V5</t>
        </is>
      </c>
      <c r="H695" t="inlineStr">
        <is>
          <t>Claude</t>
        </is>
      </c>
    </row>
    <row r="696">
      <c r="A696" t="inlineStr">
        <is>
          <t>2026-10-27</t>
        </is>
      </c>
      <c r="B696" t="inlineStr">
        <is>
          <t>N-37</t>
        </is>
      </c>
      <c r="C696" t="inlineStr">
        <is>
          <t>Next action</t>
        </is>
      </c>
      <c r="D696" t="inlineStr">
        <is>
          <t>Third probe: the human runs design/package-v5/tools/p0_api_probe_v3.py (nonce-marked variants; lifetime mode later; GLM-5.3 with --pause 35)</t>
        </is>
      </c>
      <c r="E696" t="inlineStr">
        <is>
          <t>Optional: lifetime mode after a longer gap; gpt-oss-120b's pattern is left unexplained</t>
        </is>
      </c>
      <c r="F696" t="inlineStr">
        <is>
          <t>design/package-v5/10 s9</t>
        </is>
      </c>
      <c r="G696" t="inlineStr">
        <is>
          <t>INT-T-012 / V5</t>
        </is>
      </c>
      <c r="H696" t="inlineStr">
        <is>
          <t>Claude</t>
        </is>
      </c>
    </row>
    <row r="697">
      <c r="A697" t="inlineStr">
        <is>
          <t>2026-10-27</t>
        </is>
      </c>
      <c r="B697" t="inlineStr">
        <is>
          <t>N-37</t>
        </is>
      </c>
      <c r="C697" t="inlineStr">
        <is>
          <t>Status date</t>
        </is>
      </c>
      <c r="D697" t="inlineStr">
        <is>
          <t>2026-10-27</t>
        </is>
      </c>
      <c r="E697" t="inlineStr">
        <is>
          <t>2026-10-27</t>
        </is>
      </c>
      <c r="F697" t="inlineStr">
        <is>
          <t>INT-T-012</t>
        </is>
      </c>
      <c r="G697" t="inlineStr">
        <is>
          <t>INT-T-012 / V5</t>
        </is>
      </c>
      <c r="H697" t="inlineStr">
        <is>
          <t>Claude</t>
        </is>
      </c>
    </row>
    <row r="698">
      <c r="A698" t="inlineStr">
        <is>
          <t>2026-10-27</t>
        </is>
      </c>
      <c r="B698" t="inlineStr">
        <is>
          <t>N-31</t>
        </is>
      </c>
      <c r="C698" t="inlineStr">
        <is>
          <t>What is known now</t>
        </is>
      </c>
      <c r="D698" t="inlineStr">
        <is>
          <t>(appended)</t>
        </is>
      </c>
      <c r="E698" t="inlineStr">
        <is>
          <t>cache lifetime: at least about 75 minutes on gpt-oss-120b, MiniMax-M3 and GLM-5.3; the base prefix was gone after about 5 hours on gpt-oss-120b and MiniMax-M3 and still cached afte</t>
        </is>
      </c>
      <c r="F698" t="inlineStr">
        <is>
          <t>design/package-v5/10 s9</t>
        </is>
      </c>
      <c r="G698" t="inlineStr">
        <is>
          <t>INT-T-012 / V5</t>
        </is>
      </c>
      <c r="H698" t="inlineStr">
        <is>
          <t>Claude</t>
        </is>
      </c>
    </row>
    <row r="699">
      <c r="A699" t="inlineStr">
        <is>
          <t>2026-10-27</t>
        </is>
      </c>
      <c r="B699" t="inlineStr">
        <is>
          <t>N-31</t>
        </is>
      </c>
      <c r="C699" t="inlineStr">
        <is>
          <t>Status date</t>
        </is>
      </c>
      <c r="D699" t="inlineStr">
        <is>
          <t>2026-10-27</t>
        </is>
      </c>
      <c r="E699" t="inlineStr">
        <is>
          <t>2026-10-27</t>
        </is>
      </c>
      <c r="F699" t="inlineStr">
        <is>
          <t>INT-T-012</t>
        </is>
      </c>
      <c r="G699" t="inlineStr">
        <is>
          <t>INT-T-012 / V5</t>
        </is>
      </c>
      <c r="H699" t="inlineStr">
        <is>
          <t>Claude</t>
        </is>
      </c>
    </row>
    <row r="700">
      <c r="A700" t="inlineStr">
        <is>
          <t>2026-10-27</t>
        </is>
      </c>
      <c r="B700" t="inlineStr">
        <is>
          <t>N-39</t>
        </is>
      </c>
      <c r="C700" t="inlineStr">
        <is>
          <t>What is known now</t>
        </is>
      </c>
      <c r="D700" t="inlineStr">
        <is>
          <t>(appended)</t>
        </is>
      </c>
      <c r="E700" t="inlineStr">
        <is>
          <t>the human asked for the price ranges, numbers and equations to be verified by a multi-agent literature review with scientific citations (REQ-U22-18, new row N-40)</t>
        </is>
      </c>
      <c r="F700" t="inlineStr">
        <is>
          <t>design/package-v5/10 s9</t>
        </is>
      </c>
      <c r="G700" t="inlineStr">
        <is>
          <t>INT-T-012 / V5</t>
        </is>
      </c>
      <c r="H700" t="inlineStr">
        <is>
          <t>Claude</t>
        </is>
      </c>
    </row>
    <row r="701">
      <c r="A701" t="inlineStr">
        <is>
          <t>2026-10-27</t>
        </is>
      </c>
      <c r="B701" t="inlineStr">
        <is>
          <t>N-40</t>
        </is>
      </c>
      <c r="C701" t="inlineStr">
        <is>
          <t>(new row)</t>
        </is>
      </c>
      <c r="E701" t="inlineStr">
        <is>
          <t>OPEN</t>
        </is>
      </c>
      <c r="F701" t="inlineStr">
        <is>
          <t>REQ-U22-18</t>
        </is>
      </c>
      <c r="G701" t="inlineStr">
        <is>
          <t>INT-T-012 / V5</t>
        </is>
      </c>
      <c r="H701" t="inlineStr">
        <is>
          <t>Claude</t>
        </is>
      </c>
    </row>
    <row r="702">
      <c r="A702" t="inlineStr">
        <is>
          <t>2026-10-27</t>
        </is>
      </c>
      <c r="B702" t="inlineStr">
        <is>
          <t>N-40</t>
        </is>
      </c>
      <c r="C702" t="inlineStr">
        <is>
          <t>What is known now</t>
        </is>
      </c>
      <c r="D702" t="inlineStr">
        <is>
          <t>(appended)</t>
        </is>
      </c>
      <c r="E702" t="inlineStr">
        <is>
          <t>literature verification done (scouts T-118, stewards FND-0043..0045, challenger RV-0024 with CH-0105..0114, all accepted and applied): the equation structure is printed in 2607.121</t>
        </is>
      </c>
      <c r="F702" t="inlineStr">
        <is>
          <t>design/package-v5/13</t>
        </is>
      </c>
      <c r="G702" t="inlineStr">
        <is>
          <t>INT-T-012 / V5</t>
        </is>
      </c>
      <c r="H702" t="inlineStr">
        <is>
          <t>Claude</t>
        </is>
      </c>
    </row>
    <row r="703">
      <c r="A703" t="inlineStr">
        <is>
          <t>2026-10-27</t>
        </is>
      </c>
      <c r="B703" t="inlineStr">
        <is>
          <t>N-40</t>
        </is>
      </c>
      <c r="C703" t="inlineStr">
        <is>
          <t>Current status</t>
        </is>
      </c>
      <c r="D703" t="inlineStr">
        <is>
          <t>OPEN</t>
        </is>
      </c>
      <c r="E703" t="inlineStr">
        <is>
          <t>PARTLY ANSWERED</t>
        </is>
      </c>
      <c r="F703" t="inlineStr">
        <is>
          <t>13 written; two items remain</t>
        </is>
      </c>
      <c r="G703" t="inlineStr">
        <is>
          <t>INT-T-012 / V5</t>
        </is>
      </c>
      <c r="H703" t="inlineStr">
        <is>
          <t>Claude</t>
        </is>
      </c>
    </row>
    <row r="704">
      <c r="A704" t="inlineStr">
        <is>
          <t>2026-10-27</t>
        </is>
      </c>
      <c r="B704" t="inlineStr">
        <is>
          <t>N-40</t>
        </is>
      </c>
      <c r="C704" t="inlineStr">
        <is>
          <t>Next action</t>
        </is>
      </c>
      <c r="D704" t="inlineStr">
        <is>
          <t>Scouts (T-20261027-118), stewards (T-119), challenger (T-120); revised 11 and new 13-literature-verification.md</t>
        </is>
      </c>
      <c r="E704" t="inlineStr">
        <is>
          <t>Optional, arithmetic only: add an uncached-core and a cold-cache column to D-04 (CH-0111); store the scouts' queries if the human wants the absence claims auditable (CH-0112)</t>
        </is>
      </c>
      <c r="F704" t="inlineStr">
        <is>
          <t>design/package-v5/13 s7</t>
        </is>
      </c>
      <c r="G704" t="inlineStr">
        <is>
          <t>INT-T-012 / V5</t>
        </is>
      </c>
      <c r="H704" t="inlineStr">
        <is>
          <t>Claude</t>
        </is>
      </c>
    </row>
    <row r="705">
      <c r="A705" t="inlineStr">
        <is>
          <t>2026-10-27</t>
        </is>
      </c>
      <c r="B705" t="inlineStr">
        <is>
          <t>N-40</t>
        </is>
      </c>
      <c r="C705" t="inlineStr">
        <is>
          <t>Status date</t>
        </is>
      </c>
      <c r="D705" t="inlineStr">
        <is>
          <t>2026-10-27</t>
        </is>
      </c>
      <c r="E705" t="inlineStr">
        <is>
          <t>2026-10-27</t>
        </is>
      </c>
      <c r="F705" t="inlineStr">
        <is>
          <t>RV-0024 applied</t>
        </is>
      </c>
      <c r="G705" t="inlineStr">
        <is>
          <t>INT-T-012 / V5</t>
        </is>
      </c>
      <c r="H705" t="inlineStr">
        <is>
          <t>Claude</t>
        </is>
      </c>
    </row>
    <row r="706">
      <c r="A706" t="inlineStr">
        <is>
          <t>2026-10-27</t>
        </is>
      </c>
      <c r="B706" t="inlineStr">
        <is>
          <t>N-40</t>
        </is>
      </c>
      <c r="C706" t="inlineStr">
        <is>
          <t>Status basis (evidence pointer)</t>
        </is>
      </c>
      <c r="D706" t="inlineStr">
        <is>
          <t>requirements/intake/2026-10-27-user-third-probe-done-literature-review-request.md; ops/AUTHORIZATIONS.md (AUTH-020 amendment)</t>
        </is>
      </c>
      <c r="E706" t="inlineStr">
        <is>
          <t>design/package-v5/13-literature-verification.md; findings/SUM-0045..0047; reviews/RV-0024.md</t>
        </is>
      </c>
      <c r="F706" t="inlineStr">
        <is>
          <t>RV-0024 applied</t>
        </is>
      </c>
      <c r="G706" t="inlineStr">
        <is>
          <t>INT-T-012 / V5</t>
        </is>
      </c>
      <c r="H706" t="inlineStr">
        <is>
          <t>Claude</t>
        </is>
      </c>
    </row>
    <row r="707">
      <c r="A707" t="inlineStr">
        <is>
          <t>2026-10-27</t>
        </is>
      </c>
      <c r="B707" t="inlineStr">
        <is>
          <t>N-39</t>
        </is>
      </c>
      <c r="C707" t="inlineStr">
        <is>
          <t>What is known now</t>
        </is>
      </c>
      <c r="D707" t="inlineStr">
        <is>
          <t>(appended)</t>
        </is>
      </c>
      <c r="E707" t="inlineStr">
        <is>
          <t>revised with official pages (11 rev 2): r 0.02-0.50 over the pages stored (some hosts list no cache price), w 1.0 (1.25 only Alibaba explicit), o 2.1-7.5, seven reference cases; D-</t>
        </is>
      </c>
      <c r="F707" t="inlineStr">
        <is>
          <t>design/package-v5/13</t>
        </is>
      </c>
      <c r="G707" t="inlineStr">
        <is>
          <t>INT-T-012 / V5</t>
        </is>
      </c>
      <c r="H707" t="inlineStr">
        <is>
          <t>Claude</t>
        </is>
      </c>
    </row>
    <row r="708"/>
    <row r="709">
      <c r="A709"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8"/>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row r="192">
      <c r="A192" t="inlineStr">
        <is>
          <t>Q-U33</t>
        </is>
      </c>
      <c r="B192" t="inlineStr">
        <is>
          <t>N-31</t>
        </is>
      </c>
      <c r="C192" t="inlineStr">
        <is>
          <t>CLOSES</t>
        </is>
      </c>
      <c r="D192">
        <f>IFERROR(IF(INDEX(Questions!$K$2:$K$300,MATCH(A192,Questions!$A$2:$A$300,0))&lt;&gt;"","Yes","No"),"?")</f>
        <v/>
      </c>
      <c r="E192">
        <f>IF(AND(D192="Yes",IFERROR(INDEX(Questions!$N$2:$N$300,MATCH(A192,Questions!$A$2:$A$300,0)),"")&lt;&gt;"REVIEWED"),"Yes","No")</f>
        <v/>
      </c>
    </row>
    <row r="193">
      <c r="A193" t="inlineStr">
        <is>
          <t>Q-U32</t>
        </is>
      </c>
      <c r="B193" t="inlineStr">
        <is>
          <t>N-34</t>
        </is>
      </c>
      <c r="C193" t="inlineStr">
        <is>
          <t>CLOSES</t>
        </is>
      </c>
      <c r="D193">
        <f>IFERROR(IF(INDEX(Questions!$K$2:$K$300,MATCH(A193,Questions!$A$2:$A$300,0))&lt;&gt;"","Yes","No"),"?")</f>
        <v/>
      </c>
      <c r="E193">
        <f>IF(AND(D193="Yes",IFERROR(INDEX(Questions!$N$2:$N$300,MATCH(A193,Questions!$A$2:$A$300,0)),"")&lt;&gt;"REVIEWED"),"Yes","No")</f>
        <v/>
      </c>
    </row>
    <row r="194">
      <c r="A194" t="inlineStr">
        <is>
          <t>Q-J33</t>
        </is>
      </c>
      <c r="B194" t="inlineStr">
        <is>
          <t>C-D08/EXEC</t>
        </is>
      </c>
      <c r="C194" t="inlineStr">
        <is>
          <t>NARROWS</t>
        </is>
      </c>
      <c r="D194">
        <f>IFERROR(IF(INDEX(Questions!$K$2:$K$300,MATCH(A194,Questions!$A$2:$A$300,0))&lt;&gt;"","Yes","No"),"?")</f>
        <v/>
      </c>
      <c r="E194">
        <f>IF(AND(D194="Yes",IFERROR(INDEX(Questions!$N$2:$N$300,MATCH(A194,Questions!$A$2:$A$300,0)),"")&lt;&gt;"REVIEWED"),"Yes","No")</f>
        <v/>
      </c>
    </row>
    <row r="195">
      <c r="A195" t="inlineStr">
        <is>
          <t>Q-U30</t>
        </is>
      </c>
      <c r="B195" t="inlineStr">
        <is>
          <t>N-30</t>
        </is>
      </c>
      <c r="C195" t="inlineStr">
        <is>
          <t>NARROWS</t>
        </is>
      </c>
      <c r="D195">
        <f>IFERROR(IF(INDEX(Questions!$K$2:$K$300,MATCH(A195,Questions!$A$2:$A$300,0))&lt;&gt;"","Yes","No"),"?")</f>
        <v/>
      </c>
      <c r="E195">
        <f>IF(AND(D195="Yes",IFERROR(INDEX(Questions!$N$2:$N$300,MATCH(A195,Questions!$A$2:$A$300,0)),"")&lt;&gt;"REVIEWED"),"Yes","No")</f>
        <v/>
      </c>
    </row>
    <row r="196">
      <c r="A196" t="inlineStr">
        <is>
          <t>Q-J31</t>
        </is>
      </c>
      <c r="B196" t="inlineStr">
        <is>
          <t>N-6</t>
        </is>
      </c>
      <c r="C196" t="inlineStr">
        <is>
          <t>INFORMS</t>
        </is>
      </c>
      <c r="D196">
        <f>IFERROR(IF(INDEX(Questions!$K$2:$K$300,MATCH(A196,Questions!$A$2:$A$300,0))&lt;&gt;"","Yes","No"),"?")</f>
        <v/>
      </c>
      <c r="E196">
        <f>IF(AND(D196="Yes",IFERROR(INDEX(Questions!$N$2:$N$300,MATCH(A196,Questions!$A$2:$A$300,0)),"")&lt;&gt;"REVIEWED"),"Yes","No")</f>
        <v/>
      </c>
    </row>
    <row r="197">
      <c r="A197" t="inlineStr">
        <is>
          <t>Q-J32</t>
        </is>
      </c>
      <c r="B197" t="inlineStr">
        <is>
          <t>C-D02</t>
        </is>
      </c>
      <c r="C197" t="inlineStr">
        <is>
          <t>NARROWS</t>
        </is>
      </c>
      <c r="D197">
        <f>IFERROR(IF(INDEX(Questions!$K$2:$K$300,MATCH(A197,Questions!$A$2:$A$300,0))&lt;&gt;"","Yes","No"),"?")</f>
        <v/>
      </c>
      <c r="E197">
        <f>IF(AND(D197="Yes",IFERROR(INDEX(Questions!$N$2:$N$300,MATCH(A197,Questions!$A$2:$A$300,0)),"")&lt;&gt;"REVIEWED"),"Yes","No")</f>
        <v/>
      </c>
    </row>
    <row r="198">
      <c r="A198" t="inlineStr">
        <is>
          <t>Q-U29</t>
        </is>
      </c>
      <c r="B198" t="inlineStr">
        <is>
          <t>N-16</t>
        </is>
      </c>
      <c r="C198" t="inlineStr">
        <is>
          <t>INFORMS</t>
        </is>
      </c>
      <c r="D198">
        <f>IFERROR(IF(INDEX(Questions!$K$2:$K$300,MATCH(A198,Questions!$A$2:$A$300,0))&lt;&gt;"","Yes","No"),"?")</f>
        <v/>
      </c>
      <c r="E198">
        <f>IF(AND(D198="Yes",IFERROR(INDEX(Questions!$N$2:$N$300,MATCH(A198,Questions!$A$2:$A$300,0)),"")&lt;&gt;"REVIEWED"),"Yes","No")</f>
        <v/>
      </c>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2026-10-27T18:02:01Z</dcterms:modified>
</cp:coreProperties>
</file>