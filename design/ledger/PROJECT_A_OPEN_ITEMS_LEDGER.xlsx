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'Ledger'!$A$1:$AL$192</definedName>
    <definedName name="_xlnm._FilterDatabase" localSheetId="4" hidden="1">'Archive'!$A$1:$AL$67</definedName>
    <definedName name="_xlnm._FilterDatabase" localSheetId="5" hidden="1">'Change log'!$A$1:$H$447</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257 unique rows (191 in Ledger, 66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is>
          <t>[Answered] 'your idea was never to filter out tools. your idea was to save tokens ... The problem was to save token' (INT-T-004 E524-E526); RQ wording kept with 'count of tools' (INT-T-003 L159); 'narrowing down from 100 to 10 ... reducing 90% of token' (L377).</t>
        </is>
      </c>
      <c r="L3" s="7" t="inlineStr">
        <is>
          <t>Joaa said</t>
        </is>
      </c>
      <c r="M3" s="7" t="inlineStr">
        <is>
          <t>2026-10-02 / 10-14 / 10-21 (meetings)</t>
        </is>
      </c>
      <c r="N3" s="7" t="inlineStr">
        <is>
          <t>REVIEWED</t>
        </is>
      </c>
      <c r="O3" s="7" t="inlineStr">
        <is>
          <t>Transcript lines in INT-T-002/003/004 (AUTH-018); mapping checked by FND-0035, FND-0036</t>
        </is>
      </c>
      <c r="P3" s="7" t="inlineStr">
        <is>
          <t>2026-10-21 / Claude</t>
        </is>
      </c>
      <c r="Q3" s="7" t="inlineStr">
        <is>
          <t>see the Change log of 2026-10-21</t>
        </is>
      </c>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is>
          <t>[Partly] Money cost per turn, tokens and response time averaged over turns (INT-T-002 L275, L302, L354); 'we will not drop the cost' (INT-T-004 E697). No single primary estimand or price table named.</t>
        </is>
      </c>
      <c r="L4" s="7" t="inlineStr">
        <is>
          <t>Joaa said</t>
        </is>
      </c>
      <c r="M4" s="7" t="inlineStr">
        <is>
          <t>2026-10-02 / 10-14 / 10-21 (meetings)</t>
        </is>
      </c>
      <c r="N4" s="7" t="inlineStr">
        <is>
          <t>NEEDS FOLLOW-UP</t>
        </is>
      </c>
      <c r="O4" s="7" t="inlineStr">
        <is>
          <t>Transcript lines in INT-T-002/003/004 (AUTH-018); mapping checked by FND-0035, FND-0036</t>
        </is>
      </c>
      <c r="P4" s="7" t="inlineStr">
        <is>
          <t>2026-10-21 / Claude</t>
        </is>
      </c>
      <c r="Q4" s="7" t="inlineStr">
        <is>
          <t>see the Change log of 2026-10-21</t>
        </is>
      </c>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is>
          <t>[Answered] Average over many turns, a few failing turns may cost more (INT-T-002 L306-L320); a return 'tomorrow' should start from a short summary (L369-L384); 'save token for a number of turns' (INT-T-004 E778).</t>
        </is>
      </c>
      <c r="L5" s="7" t="inlineStr">
        <is>
          <t>Joaa said</t>
        </is>
      </c>
      <c r="M5" s="7" t="inlineStr">
        <is>
          <t>2026-10-02 / 10-14 / 10-21 (meetings)</t>
        </is>
      </c>
      <c r="N5" s="7" t="inlineStr">
        <is>
          <t>REVIEWED</t>
        </is>
      </c>
      <c r="O5" s="7" t="inlineStr">
        <is>
          <t>Transcript lines in INT-T-002/003/004 (AUTH-018); mapping checked by FND-0035, FND-0036</t>
        </is>
      </c>
      <c r="P5" s="7" t="inlineStr">
        <is>
          <t>2026-10-21 / Claude</t>
        </is>
      </c>
      <c r="Q5" s="7" t="inlineStr">
        <is>
          <t>see the Change log of 2026-10-21</t>
        </is>
      </c>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is>
          <t>[Answered] 'it depends on what you are building' (INT-T-002 L146); 'you can do only memory and tool calls. Forget about knowledge ... memory should help tool calls' (L223-L225); summary of interaction and tool calls, relevant part first (L245, L375-L384); 'tools and memory' (L390).</t>
        </is>
      </c>
      <c r="L6" s="7" t="inlineStr">
        <is>
          <t>Joaa said</t>
        </is>
      </c>
      <c r="M6" s="7" t="inlineStr">
        <is>
          <t>2026-10-02 / 10-14 / 10-21 (meetings)</t>
        </is>
      </c>
      <c r="N6" s="7" t="inlineStr">
        <is>
          <t>REVIEWED</t>
        </is>
      </c>
      <c r="O6" s="7" t="inlineStr">
        <is>
          <t>Transcript lines in INT-T-002/003/004 (AUTH-018); mapping checked by FND-0035, FND-0036</t>
        </is>
      </c>
      <c r="P6" s="7" t="inlineStr">
        <is>
          <t>2026-10-21 / Claude</t>
        </is>
      </c>
      <c r="Q6" s="7" t="inlineStr">
        <is>
          <t>see the Change log of 2026-10-21</t>
        </is>
      </c>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is>
          <t>[Partly] Explicit cache 'applicable for memory ... knowledge' (INT-T-002 L197) in the 'all in theory' part (L221); practical scope tools and memory only (L223-L225).</t>
        </is>
      </c>
      <c r="L7" s="7" t="inlineStr">
        <is>
          <t>Joaa said</t>
        </is>
      </c>
      <c r="M7" s="7" t="inlineStr">
        <is>
          <t>2026-10-02 / 10-14 / 10-21 (meetings)</t>
        </is>
      </c>
      <c r="N7" s="7" t="inlineStr">
        <is>
          <t>NEEDS FOLLOW-UP</t>
        </is>
      </c>
      <c r="O7" s="7" t="inlineStr">
        <is>
          <t>Transcript lines in INT-T-002/003/004 (AUTH-018); mapping checked by FND-0035, FND-0036</t>
        </is>
      </c>
      <c r="P7" s="7" t="inlineStr">
        <is>
          <t>2026-10-21 / Claude</t>
        </is>
      </c>
      <c r="Q7" s="7" t="inlineStr">
        <is>
          <t>see the Change log of 2026-10-21</t>
        </is>
      </c>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is>
          <t>[Answered] 'each step is there to save some token' (INT-T-004 E774); saving judged over a number of turns, one dearer turn 'doesn't matter' (E778-E790).</t>
        </is>
      </c>
      <c r="L8" s="7" t="inlineStr">
        <is>
          <t>Joaa said</t>
        </is>
      </c>
      <c r="M8" s="7" t="inlineStr">
        <is>
          <t>2026-10-02 / 10-14 / 10-21 (meetings)</t>
        </is>
      </c>
      <c r="N8" s="7" t="inlineStr">
        <is>
          <t>REVIEWED</t>
        </is>
      </c>
      <c r="O8" s="7" t="inlineStr">
        <is>
          <t>Transcript lines in INT-T-002/003/004 (AUTH-018); mapping checked by FND-0035, FND-0036</t>
        </is>
      </c>
      <c r="P8" s="7" t="inlineStr">
        <is>
          <t>2026-10-21 / Claude</t>
        </is>
      </c>
      <c r="Q8" s="7" t="inlineStr">
        <is>
          <t>see the Change log of 2026-10-21</t>
        </is>
      </c>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is>
          <t>[Partly] 14 Oct: a staged graph with re-adding, 'that is your novelty' (INT-T-003 L386-L404); 21 Oct: scope memory and tool calls, graph not mentioned (INT-T-002 L223-L225).</t>
        </is>
      </c>
      <c r="L9" s="7" t="inlineStr">
        <is>
          <t>Joaa said</t>
        </is>
      </c>
      <c r="M9" s="7" t="inlineStr">
        <is>
          <t>2026-10-02 / 10-14 / 10-21 (meetings)</t>
        </is>
      </c>
      <c r="N9" s="7" t="inlineStr">
        <is>
          <t>NEEDS FOLLOW-UP</t>
        </is>
      </c>
      <c r="O9" s="7" t="inlineStr">
        <is>
          <t>Transcript lines in INT-T-002/003/004 (AUTH-018); mapping checked by FND-0035, FND-0036</t>
        </is>
      </c>
      <c r="P9" s="7" t="inlineStr">
        <is>
          <t>2026-10-21 / Claude</t>
        </is>
      </c>
      <c r="Q9" s="7" t="inlineStr">
        <is>
          <t>see the Change log of 2026-10-21</t>
        </is>
      </c>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is>
          <t>[Partly] 14 Oct: who invokes the agent (INT-T-003 L261); 21 Oct: what the model is given, tools, knowledge, memory, settings, modalities (INT-T-002 L176-L190).</t>
        </is>
      </c>
      <c r="L10" s="7" t="inlineStr">
        <is>
          <t>Joaa said</t>
        </is>
      </c>
      <c r="M10" s="7" t="inlineStr">
        <is>
          <t>2026-10-02 / 10-14 / 10-21 (meetings)</t>
        </is>
      </c>
      <c r="N10" s="7" t="inlineStr">
        <is>
          <t>NEEDS FOLLOW-UP</t>
        </is>
      </c>
      <c r="O10" s="7" t="inlineStr">
        <is>
          <t>Transcript lines in INT-T-002/003/004 (AUTH-018); mapping checked by FND-0035, FND-0036</t>
        </is>
      </c>
      <c r="P10" s="7" t="inlineStr">
        <is>
          <t>2026-10-21 / Claude</t>
        </is>
      </c>
      <c r="Q10" s="7" t="inlineStr">
        <is>
          <t>see the Change log of 2026-10-21</t>
        </is>
      </c>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is>
          <t>[Answered] 'which one applies at which stage. You will have different stages' (INT-T-003 L306-L308); 'At each step you have to ask yourself one question' (L390).</t>
        </is>
      </c>
      <c r="L11" s="7" t="inlineStr">
        <is>
          <t>Joaa said</t>
        </is>
      </c>
      <c r="M11" s="7" t="inlineStr">
        <is>
          <t>2026-10-02 / 10-14 / 10-21 (meetings)</t>
        </is>
      </c>
      <c r="N11" s="7" t="inlineStr">
        <is>
          <t>REVIEWED</t>
        </is>
      </c>
      <c r="O11" s="7" t="inlineStr">
        <is>
          <t>Transcript lines in INT-T-002/003/004 (AUTH-018); mapping checked by FND-0035, FND-0036</t>
        </is>
      </c>
      <c r="P11" s="7" t="inlineStr">
        <is>
          <t>2026-10-21 / Claude</t>
        </is>
      </c>
      <c r="Q11" s="7" t="inlineStr">
        <is>
          <t>see the Change log of 2026-10-21</t>
        </is>
      </c>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is>
          <t>[Partly] Stage one from who invokes (INT-T-003 L261); later stage Executor-style or semantic narrowing, 'You have to figure it out' (L306-L308).</t>
        </is>
      </c>
      <c r="L12" s="7" t="inlineStr">
        <is>
          <t>Joaa said</t>
        </is>
      </c>
      <c r="M12" s="7" t="inlineStr">
        <is>
          <t>2026-10-02 / 10-14 / 10-21 (meetings)</t>
        </is>
      </c>
      <c r="N12" s="7" t="inlineStr">
        <is>
          <t>NEEDS FOLLOW-UP</t>
        </is>
      </c>
      <c r="O12" s="7" t="inlineStr">
        <is>
          <t>Transcript lines in INT-T-002/003/004 (AUTH-018); mapping checked by FND-0035, FND-0036</t>
        </is>
      </c>
      <c r="P12" s="7" t="inlineStr">
        <is>
          <t>2026-10-21 / Claude</t>
        </is>
      </c>
      <c r="Q12" s="7" t="inlineStr">
        <is>
          <t>see the Change log of 2026-10-21</t>
        </is>
      </c>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is>
          <t>[Partly] Partial information as 'this lens', 'not saying this is the best way', numbers 'not rigid' (INT-T-004 E550-E570, E774).</t>
        </is>
      </c>
      <c r="L13" s="7" t="inlineStr">
        <is>
          <t>Joaa said</t>
        </is>
      </c>
      <c r="M13" s="7" t="inlineStr">
        <is>
          <t>2026-10-02 / 10-14 / 10-21 (meetings)</t>
        </is>
      </c>
      <c r="N13" s="7" t="inlineStr">
        <is>
          <t>NEEDS FOLLOW-UP</t>
        </is>
      </c>
      <c r="O13" s="7" t="inlineStr">
        <is>
          <t>Transcript lines in INT-T-002/003/004 (AUTH-018); mapping checked by FND-0035, FND-0036</t>
        </is>
      </c>
      <c r="P13" s="7" t="inlineStr">
        <is>
          <t>2026-10-21 / Claude</t>
        </is>
      </c>
      <c r="Q13" s="7" t="inlineStr">
        <is>
          <t>see the Change log of 2026-10-21</t>
        </is>
      </c>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is>
          <t>[Partly] 'match the baseline accuracy while giving lesser and lesser tool' (INT-T-004 E206); 'accuracy as high as possible' (INT-T-003 L159); no margin.</t>
        </is>
      </c>
      <c r="L15" s="7" t="inlineStr">
        <is>
          <t>Joaa said</t>
        </is>
      </c>
      <c r="M15" s="7" t="inlineStr">
        <is>
          <t>2026-10-02 / 10-14 / 10-21 (meetings)</t>
        </is>
      </c>
      <c r="N15" s="7" t="inlineStr">
        <is>
          <t>NEEDS FOLLOW-UP</t>
        </is>
      </c>
      <c r="O15" s="7" t="inlineStr">
        <is>
          <t>Transcript lines in INT-T-002/003/004 (AUTH-018); mapping checked by FND-0035, FND-0036</t>
        </is>
      </c>
      <c r="P15" s="7" t="inlineStr">
        <is>
          <t>2026-10-21 / Claude</t>
        </is>
      </c>
      <c r="Q15" s="7" t="inlineStr">
        <is>
          <t>see the Change log of 2026-10-21</t>
        </is>
      </c>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is>
          <t>[Answered] 'even if the result is negative it's a thesis ... can you write a paper ... have to do it systematically' (INT-T-003 L363-L365).</t>
        </is>
      </c>
      <c r="L16" s="7" t="inlineStr">
        <is>
          <t>Joaa said</t>
        </is>
      </c>
      <c r="M16" s="7" t="inlineStr">
        <is>
          <t>2026-10-02 / 10-14 / 10-21 (meetings)</t>
        </is>
      </c>
      <c r="N16" s="7" t="inlineStr">
        <is>
          <t>REVIEWED</t>
        </is>
      </c>
      <c r="O16" s="7" t="inlineStr">
        <is>
          <t>Transcript lines in INT-T-002/003/004 (AUTH-018); mapping checked by FND-0035, FND-0036</t>
        </is>
      </c>
      <c r="P16" s="7" t="inlineStr">
        <is>
          <t>2026-10-21 / Claude</t>
        </is>
      </c>
      <c r="Q16" s="7" t="inlineStr">
        <is>
          <t>see the Change log of 2026-10-21</t>
        </is>
      </c>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is>
          <t>[Answered] Executor: 'download this run this ... benchmark it ... This is your baseline. You should have multiple baselines' (INT-T-004 E622-E626); identity: the startup he shared (E583-E612).</t>
        </is>
      </c>
      <c r="L17" s="7" t="inlineStr">
        <is>
          <t>Joaa said</t>
        </is>
      </c>
      <c r="M17" s="7" t="inlineStr">
        <is>
          <t>2026-10-02 / 10-14 / 10-21 (meetings)</t>
        </is>
      </c>
      <c r="N17" s="7" t="inlineStr">
        <is>
          <t>REVIEWED</t>
        </is>
      </c>
      <c r="O17" s="7" t="inlineStr">
        <is>
          <t>Transcript lines in INT-T-002/003/004 (AUTH-018); mapping checked by FND-0035, FND-0036</t>
        </is>
      </c>
      <c r="P17" s="7" t="inlineStr">
        <is>
          <t>2026-10-21 / Claude</t>
        </is>
      </c>
      <c r="Q17" s="7" t="inlineStr">
        <is>
          <t>see the Change log of 2026-10-21</t>
        </is>
      </c>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is>
          <t>[Answered] For 21 Oct: no implementation (INT-T-003 L439); after 21 Oct: experiments with a text-file memory, no engineering, many goals, settings, repeated runs (INT-T-002 L426-L458).</t>
        </is>
      </c>
      <c r="L18" s="7" t="inlineStr">
        <is>
          <t>Joaa said</t>
        </is>
      </c>
      <c r="M18" s="7" t="inlineStr">
        <is>
          <t>2026-10-02 / 10-14 / 10-21 (meetings)</t>
        </is>
      </c>
      <c r="N18" s="7" t="inlineStr">
        <is>
          <t>REVIEWED</t>
        </is>
      </c>
      <c r="O18" s="7" t="inlineStr">
        <is>
          <t>Transcript lines in INT-T-002/003/004 (AUTH-018); mapping checked by FND-0035, FND-0036</t>
        </is>
      </c>
      <c r="P18" s="7" t="inlineStr">
        <is>
          <t>2026-10-21 / Claude</t>
        </is>
      </c>
      <c r="Q18" s="7" t="inlineStr">
        <is>
          <t>see the Change log of 2026-10-21</t>
        </is>
      </c>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is>
          <t>[Partly] 2 Oct: 'write the draft version of uh your policy' (INT-T-004 E804); 14 Oct: 'You need to give me this policy' (INT-T-003 L429-L447). Delivery of the 2 Oct draft not stated.</t>
        </is>
      </c>
      <c r="L19" s="7" t="inlineStr">
        <is>
          <t>Joaa said</t>
        </is>
      </c>
      <c r="M19" s="7" t="inlineStr">
        <is>
          <t>2026-10-02 / 10-14 / 10-21 (meetings)</t>
        </is>
      </c>
      <c r="N19" s="7" t="inlineStr">
        <is>
          <t>NEEDS FOLLOW-UP</t>
        </is>
      </c>
      <c r="O19" s="7" t="inlineStr">
        <is>
          <t>Transcript lines in INT-T-002/003/004 (AUTH-018); mapping checked by FND-0035, FND-0036</t>
        </is>
      </c>
      <c r="P19" s="7" t="inlineStr">
        <is>
          <t>2026-10-21 / Claude</t>
        </is>
      </c>
      <c r="Q19" s="7" t="inlineStr">
        <is>
          <t>see the Change log of 2026-10-21</t>
        </is>
      </c>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is>
          <t>[Partly] 'if you use many many more token to filter out the tools then there is no value' (INT-T-004 E230-E232); amortisation not discussed.</t>
        </is>
      </c>
      <c r="L20" s="7" t="inlineStr">
        <is>
          <t>Joaa said</t>
        </is>
      </c>
      <c r="M20" s="7" t="inlineStr">
        <is>
          <t>2026-10-02 / 10-14 / 10-21 (meetings)</t>
        </is>
      </c>
      <c r="N20" s="7" t="inlineStr">
        <is>
          <t>NEEDS FOLLOW-UP</t>
        </is>
      </c>
      <c r="O20" s="7" t="inlineStr">
        <is>
          <t>Transcript lines in INT-T-002/003/004 (AUTH-018); mapping checked by FND-0035, FND-0036</t>
        </is>
      </c>
      <c r="P20" s="7" t="inlineStr">
        <is>
          <t>2026-10-21 / Claude</t>
        </is>
      </c>
      <c r="Q20" s="7" t="inlineStr">
        <is>
          <t>see the Change log of 2026-10-21</t>
        </is>
      </c>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is>
          <t>[Partly] Tier sizes 'not rigid' (INT-T-004 E552-E560); start with about 20 samples (E749); delta, epsilon, N_dep not addressed.</t>
        </is>
      </c>
      <c r="L21" s="7" t="inlineStr">
        <is>
          <t>Joaa said</t>
        </is>
      </c>
      <c r="M21" s="7" t="inlineStr">
        <is>
          <t>2026-10-02 / 10-14 / 10-21 (meetings)</t>
        </is>
      </c>
      <c r="N21" s="7" t="inlineStr">
        <is>
          <t>NEEDS FOLLOW-UP</t>
        </is>
      </c>
      <c r="O21" s="7" t="inlineStr">
        <is>
          <t>Transcript lines in INT-T-002/003/004 (AUTH-018); mapping checked by FND-0035, FND-0036</t>
        </is>
      </c>
      <c r="P21" s="7" t="inlineStr">
        <is>
          <t>2026-10-21 / Claude</t>
        </is>
      </c>
      <c r="Q21" s="7" t="inlineStr">
        <is>
          <t>see the Change log of 2026-10-21</t>
        </is>
      </c>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is>
          <t>[Partly] Multiple goals, settings, repeated runs (INT-T-002 L441-L443); number of models not given.</t>
        </is>
      </c>
      <c r="L22" s="7" t="inlineStr">
        <is>
          <t>Joaa said</t>
        </is>
      </c>
      <c r="M22" s="7" t="inlineStr">
        <is>
          <t>2026-10-02 / 10-14 / 10-21 (meetings)</t>
        </is>
      </c>
      <c r="N22" s="7" t="inlineStr">
        <is>
          <t>NEEDS FOLLOW-UP</t>
        </is>
      </c>
      <c r="O22" s="7" t="inlineStr">
        <is>
          <t>Transcript lines in INT-T-002/003/004 (AUTH-018); mapping checked by FND-0035, FND-0036</t>
        </is>
      </c>
      <c r="P22" s="7" t="inlineStr">
        <is>
          <t>2026-10-21 / Claude</t>
        </is>
      </c>
      <c r="Q22" s="7" t="inlineStr">
        <is>
          <t>see the Change log of 2026-10-21</t>
        </is>
      </c>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is>
          <t>[Partly] 'nothing is noble [novel] ... that is actually the novelty. You have to just sell it as a novely' (INT-T-003 L227-L233); monthly search not to reinvent the wheel (INT-T-004 E591-E605).</t>
        </is>
      </c>
      <c r="L23" s="7" t="inlineStr">
        <is>
          <t>Joaa said</t>
        </is>
      </c>
      <c r="M23" s="7" t="inlineStr">
        <is>
          <t>2026-10-02 / 10-14 / 10-21 (meetings)</t>
        </is>
      </c>
      <c r="N23" s="7" t="inlineStr">
        <is>
          <t>NEEDS FOLLOW-UP</t>
        </is>
      </c>
      <c r="O23" s="7" t="inlineStr">
        <is>
          <t>Transcript lines in INT-T-002/003/004 (AUTH-018); mapping checked by FND-0035, FND-0036</t>
        </is>
      </c>
      <c r="P23" s="7" t="inlineStr">
        <is>
          <t>2026-10-21 / Claude</t>
        </is>
      </c>
      <c r="Q23" s="7" t="inlineStr">
        <is>
          <t>see the Change log of 2026-10-21</t>
        </is>
      </c>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is>
          <t>[Answered] 'What you have found and narrowed down is some methodologies ... So, we have some mechanism families' (INT-T-003 L159-L161).</t>
        </is>
      </c>
      <c r="L24" s="7" t="inlineStr">
        <is>
          <t>Joaa said</t>
        </is>
      </c>
      <c r="M24" s="7" t="inlineStr">
        <is>
          <t>2026-10-02 / 10-14 / 10-21 (meetings)</t>
        </is>
      </c>
      <c r="N24" s="7" t="inlineStr">
        <is>
          <t>REVIEWED</t>
        </is>
      </c>
      <c r="O24" s="7" t="inlineStr">
        <is>
          <t>Transcript lines in INT-T-002/003/004 (AUTH-018); mapping checked by FND-0035, FND-0036</t>
        </is>
      </c>
      <c r="P24" s="7" t="inlineStr">
        <is>
          <t>2026-10-21 / Claude</t>
        </is>
      </c>
      <c r="Q24" s="7" t="inlineStr">
        <is>
          <t>see the Change log of 2026-10-21</t>
        </is>
      </c>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is>
          <t>'also the 27 retreival methods keep it but take care where you use it ... never let it contaminate our work' (human, 2026-10-21, ops/AUTHORIZATIONS.md AUTH-018 section).</t>
        </is>
      </c>
      <c r="L28" s="7" t="inlineStr">
        <is>
          <t>You decided</t>
        </is>
      </c>
      <c r="M28" s="7" t="inlineStr">
        <is>
          <t>2026-10-21</t>
        </is>
      </c>
      <c r="N28" s="7" t="inlineStr">
        <is>
          <t>REVIEWED</t>
        </is>
      </c>
      <c r="O28" s="7" t="inlineStr">
        <is>
          <t>verbatim, chat 2026-10-21</t>
        </is>
      </c>
      <c r="P28" s="7" t="inlineStr">
        <is>
          <t>2026-10-21 / Claude</t>
        </is>
      </c>
      <c r="Q28" s="7" t="inlineStr">
        <is>
          <t>C-D11 closed by decision; N-11 deferred</t>
        </is>
      </c>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is>
          <t>[Answered from the record] INT-T-003 L363 (14 Oct, 00:25:36): 'even if the result is negative it's a thesis'.</t>
        </is>
      </c>
      <c r="L44" s="7" t="inlineStr">
        <is>
          <t>Document provided</t>
        </is>
      </c>
      <c r="M44" s="7" t="inlineStr">
        <is>
          <t>2026-10-21</t>
        </is>
      </c>
      <c r="N44" s="7" t="inlineStr">
        <is>
          <t>REVIEWED</t>
        </is>
      </c>
      <c r="O44" s="7" t="inlineStr">
        <is>
          <t>INT-T-003 (AUTH-018)</t>
        </is>
      </c>
      <c r="P44" s="7" t="inlineStr">
        <is>
          <t>2026-10-21 / Claude</t>
        </is>
      </c>
      <c r="Q44" s="7" t="inlineStr">
        <is>
          <t>N-20 closed</t>
        </is>
      </c>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is>
          <t>[Partly] 'The same problem is applicable for any kind of agent ... a salesman ... a recruiter ... marketing' (INT-T-002 L345-L354); no scenario chosen.</t>
        </is>
      </c>
      <c r="L51" s="7" t="inlineStr">
        <is>
          <t>Joaa said</t>
        </is>
      </c>
      <c r="M51" s="7" t="inlineStr">
        <is>
          <t>2026-10-02 / 10-14 / 10-21 (meetings)</t>
        </is>
      </c>
      <c r="N51" s="7" t="inlineStr">
        <is>
          <t>NEEDS FOLLOW-UP</t>
        </is>
      </c>
      <c r="O51" s="7" t="inlineStr">
        <is>
          <t>Transcript lines in INT-T-002/003/004 (AUTH-018); mapping checked by FND-0035, FND-0036</t>
        </is>
      </c>
      <c r="P51" s="7" t="inlineStr">
        <is>
          <t>2026-10-21 / Claude</t>
        </is>
      </c>
      <c r="Q51" s="7" t="inlineStr">
        <is>
          <t>see the Change log of 2026-10-21</t>
        </is>
      </c>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is>
          <t>[Partly] 'keep them in the explicit cache and that's negligible cost' (INT-T-002 L207-L209), in the 'all in theory' part (L221).</t>
        </is>
      </c>
      <c r="L52" s="7" t="inlineStr">
        <is>
          <t>Joaa said</t>
        </is>
      </c>
      <c r="M52" s="7" t="inlineStr">
        <is>
          <t>2026-10-02 / 10-14 / 10-21 (meetings)</t>
        </is>
      </c>
      <c r="N52" s="7" t="inlineStr">
        <is>
          <t>NEEDS FOLLOW-UP</t>
        </is>
      </c>
      <c r="O52" s="7" t="inlineStr">
        <is>
          <t>Transcript lines in INT-T-002/003/004 (AUTH-018); mapping checked by FND-0035, FND-0036</t>
        </is>
      </c>
      <c r="P52" s="7" t="inlineStr">
        <is>
          <t>2026-10-21 / Claude</t>
        </is>
      </c>
      <c r="Q52" s="7" t="inlineStr">
        <is>
          <t>see the Change log of 2026-10-21</t>
        </is>
      </c>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is>
          <t>[Partly] Relevant part of memory first, more when asked (INT-T-002 L384); not all context 'just by saying hello' (L211-L216, theory part).</t>
        </is>
      </c>
      <c r="L53" s="7" t="inlineStr">
        <is>
          <t>Joaa said</t>
        </is>
      </c>
      <c r="M53" s="7" t="inlineStr">
        <is>
          <t>2026-10-02 / 10-14 / 10-21 (meetings)</t>
        </is>
      </c>
      <c r="N53" s="7" t="inlineStr">
        <is>
          <t>NEEDS FOLLOW-UP</t>
        </is>
      </c>
      <c r="O53" s="7" t="inlineStr">
        <is>
          <t>Transcript lines in INT-T-002/003/004 (AUTH-018); mapping checked by FND-0035, FND-0036</t>
        </is>
      </c>
      <c r="P53" s="7" t="inlineStr">
        <is>
          <t>2026-10-21 / Claude</t>
        </is>
      </c>
      <c r="Q53" s="7" t="inlineStr">
        <is>
          <t>see the Change log of 2026-10-21</t>
        </is>
      </c>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inlineStr">
        <is>
          <t>[Partly] 'this partial thingy ... cames out from someone else ... I just read their doc' (INT-T-004 E593); Executor 'doing the same thing' (E605-E607); not named.</t>
        </is>
      </c>
      <c r="L54" s="7" t="inlineStr">
        <is>
          <t>Joaa said</t>
        </is>
      </c>
      <c r="M54" s="7" t="inlineStr">
        <is>
          <t>2026-10-02 / 10-14 / 10-21 (meetings)</t>
        </is>
      </c>
      <c r="N54" s="7" t="inlineStr">
        <is>
          <t>NEEDS FOLLOW-UP</t>
        </is>
      </c>
      <c r="O54" s="7" t="inlineStr">
        <is>
          <t>Transcript lines in INT-T-002/003/004 (AUTH-018); mapping checked by FND-0035, FND-0036</t>
        </is>
      </c>
      <c r="P54" s="7" t="inlineStr">
        <is>
          <t>2026-10-21 / Claude</t>
        </is>
      </c>
      <c r="Q54" s="7" t="inlineStr">
        <is>
          <t>see the Change log of 2026-10-21</t>
        </is>
      </c>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row r="56">
      <c r="A56" s="5" t="inlineStr">
        <is>
          <t>Q-U26</t>
        </is>
      </c>
      <c r="B56" s="6" t="inlineStr">
        <is>
          <t>You</t>
        </is>
      </c>
      <c r="C56" s="6" t="inlineStr">
        <is>
          <t>Do you authorize a desk simulation, with arithmetic only (no model calls, no external services), of (a) the v3 greedy-core simulation, rerun to compare with its recorded results, and (b) the error rates of the arm-selection procedure (E6)? AUTH-016 excludes implementation, and a simulation is code, so it needs your authorization.</t>
        </is>
      </c>
      <c r="D56" s="6" t="inlineStr">
        <is>
          <t>Authorize (a) | Authorize (b) | Authorize both | No | Later</t>
        </is>
      </c>
      <c r="E56" s="6" t="inlineStr">
        <is>
          <t>Closes or narrows C-R03/C20 (no computational rerun), C-R03/C26 (cost algebra), C-X06 and C-S14 (error of the selection procedure) without waiting for any model run; the code of the v3 simulation is not in the repo, so (a) would be a re-implementation from its description.</t>
        </is>
      </c>
      <c r="F56" s="6" t="inlineStr">
        <is>
          <t>ledger C-R03/C20, C-X06</t>
        </is>
      </c>
      <c r="G56" s="6" t="inlineStr">
        <is>
          <t>S12</t>
        </is>
      </c>
      <c r="H56" s="6" t="inlineStr">
        <is>
          <t>C-R03/C20 (narrows), C-X06 (narrows), C-S14 (narrows)</t>
        </is>
      </c>
      <c r="I56" s="6" t="inlineStr">
        <is>
          <t>C-R03/C26</t>
        </is>
      </c>
      <c r="J56" s="6">
        <f>COUNTIFS(Links!$A$2:$A$600,A56,Links!$C$2:$C$600,"&lt;&gt;INFORMS")</f>
        <v/>
      </c>
      <c r="K56" s="7" t="n"/>
      <c r="L56" s="7" t="n"/>
      <c r="M56" s="7" t="n"/>
      <c r="N56" s="7" t="n"/>
      <c r="O56" s="7" t="n"/>
      <c r="P56" s="7" t="n"/>
      <c r="Q56" s="7" t="n"/>
    </row>
    <row r="57">
      <c r="A57" s="5" t="inlineStr">
        <is>
          <t>Q-U27</t>
        </is>
      </c>
      <c r="B57" s="6" t="inlineStr">
        <is>
          <t>You</t>
        </is>
      </c>
      <c r="C57" s="6" t="inlineStr">
        <is>
          <t>Do you accept as a stated limitation that the steward summaries (findings SUM and FND) stay 'unverified until a human checks' while their key quotes and numbers have been second-read by the lead and by reviewers of the same model family, or do you want to check chosen summaries yourself?</t>
        </is>
      </c>
      <c r="D57" s="6" t="inlineStr">
        <is>
          <t>Accept as a limitation | I will check these: ... | Other</t>
        </is>
      </c>
      <c r="E57" s="6" t="inlineStr">
        <is>
          <t>A limitation is closed by being stated; the alternative is a human check of 36 summaries.</t>
        </is>
      </c>
      <c r="F57" s="6" t="inlineStr">
        <is>
          <t>ledger C-R03/C25</t>
        </is>
      </c>
      <c r="G57" s="6" t="inlineStr">
        <is>
          <t>S25</t>
        </is>
      </c>
      <c r="H57" s="6" t="inlineStr">
        <is>
          <t>C-R03/C25 (closes)</t>
        </is>
      </c>
      <c r="I57" s="6" t="inlineStr"/>
      <c r="J57" s="6">
        <f>COUNTIFS(Links!$A$2:$A$600,A57,Links!$C$2:$C$600,"&lt;&gt;INFORMS")</f>
        <v/>
      </c>
      <c r="K57" s="7" t="n"/>
      <c r="L57" s="7" t="n"/>
      <c r="M57" s="7" t="n"/>
      <c r="N57" s="7" t="n"/>
      <c r="O57" s="7" t="n"/>
      <c r="P57" s="7" t="n"/>
      <c r="Q57" s="7" t="n"/>
    </row>
    <row r="58">
      <c r="A58" s="5" t="inlineStr">
        <is>
          <t>Q-J30</t>
        </is>
      </c>
      <c r="B58" s="6" t="inlineStr">
        <is>
          <t>Joaa</t>
        </is>
      </c>
      <c r="C58" s="6" t="inlineStr">
        <is>
          <t>On 14 October you asked for a staged graph that filters tools (one question per stage, tools can be added back); on 21 October you narrowed the practical scope to memory and tool calls. How do the two fit: is tool filtering one part of a memory-and-tools policy (memory deciding which tools are offered), does the staged graph remain the form of the policy, and which comparison should be the thesis's main one?</t>
        </is>
      </c>
      <c r="D58" s="6" t="inlineStr">
        <is>
          <t>Graph stays, memory is one stage | Memory-and-tools replaces the graph | Both, with this main comparison: ... | Other</t>
        </is>
      </c>
      <c r="E58" s="6" t="inlineStr">
        <is>
          <t>Every pilot and the evaluation contract depend on it (N-28, C-D03, C-D08).</t>
        </is>
      </c>
      <c r="F58" s="6" t="inlineStr">
        <is>
          <t>REGISTER H.2; INT-T-003 L386-L404; INT-T-002 L223-L225</t>
        </is>
      </c>
      <c r="G58" s="6" t="inlineStr">
        <is>
          <t>S05</t>
        </is>
      </c>
      <c r="H58" s="6" t="inlineStr">
        <is>
          <t>N-28 (closes), C-D03 (narrows), C-D08 (narrows)</t>
        </is>
      </c>
      <c r="I58" s="6" t="inlineStr">
        <is>
          <t>N-29, N-6</t>
        </is>
      </c>
      <c r="J58" s="6">
        <f>COUNTIFS(Links!$A$2:$A$600,A58,Links!$C$2:$C$600,"&lt;&gt;INFORMS")</f>
        <v/>
      </c>
      <c r="K58" s="7" t="n"/>
      <c r="L58" s="7" t="n"/>
      <c r="M58" s="7" t="n"/>
      <c r="N58" s="7" t="n"/>
      <c r="O58" s="7" t="n"/>
      <c r="P58" s="7" t="n"/>
      <c r="Q58" s="7" t="n"/>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65.5" customHeight="1">
      <c r="A2" s="5" t="inlineStr">
        <is>
          <t>N-8</t>
        </is>
      </c>
      <c r="B2" s="6" t="inlineStr">
        <is>
          <t>What exactly did Joaa receive as 'V3'?</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K1 Scope: what Project A is</t>
        </is>
      </c>
      <c r="I2" s="6" t="inlineStr">
        <is>
          <t>G5 Housekeeping / no block</t>
        </is>
      </c>
      <c r="J2" s="6" t="inlineStr">
        <is>
          <t>Low</t>
        </is>
      </c>
      <c r="K2" s="6" t="n">
        <v>2</v>
      </c>
      <c r="L2" s="6" t="inlineStr">
        <is>
          <t>W0 Orient (no AUTH)</t>
        </is>
      </c>
      <c r="M2" s="6" t="inlineStr">
        <is>
          <t>S01</t>
        </is>
      </c>
      <c r="N2" s="6" t="inlineStr">
        <is>
          <t>You</t>
        </is>
      </c>
      <c r="O2" s="6" t="inlineStr">
        <is>
          <t>You record what you sent and when</t>
        </is>
      </c>
      <c r="P2" s="6" t="inlineStr">
        <is>
          <t>No</t>
        </is>
      </c>
      <c r="Q2" s="6" t="inlineStr">
        <is>
          <t>Record fix</t>
        </is>
      </c>
      <c r="R2" s="6" t="inlineStr">
        <is>
          <t>Item</t>
        </is>
      </c>
      <c r="S2" s="6" t="inlineStr"/>
      <c r="T2" s="6" t="inlineStr">
        <is>
          <t>What exactly did Joaa receive as 'V3'? The intermediate presentation is not in the repository, and v4 postdates v3.</t>
        </is>
      </c>
      <c r="U2" s="6" t="inlineStr">
        <is>
          <t>Unknown from the repo. 2026-10-21 (AUTH-018): the 21 October transcript has the student asking 'Do you like the policy? Um you didn't like it?' (INT-T-002 L135) and no comment on the policy follows; what was sent is still not recorded.</t>
        </is>
      </c>
      <c r="V2" s="6" t="inlineStr">
        <is>
          <t>The file(s) you sent and the date are recorded.</t>
        </is>
      </c>
      <c r="W2" s="6" t="inlineStr"/>
      <c r="X2" s="6" t="inlineStr"/>
      <c r="Y2" s="6" t="inlineStr">
        <is>
          <t>Q-U07</t>
        </is>
      </c>
      <c r="Z2" s="6" t="inlineStr"/>
      <c r="AA2" s="6" t="inlineStr"/>
      <c r="AB2" s="6" t="inlineStr"/>
      <c r="AC2" s="6" t="inlineStr">
        <is>
          <t>n/a (new)</t>
        </is>
      </c>
      <c r="AD2" s="6" t="inlineStr">
        <is>
          <t>NEW</t>
        </is>
      </c>
      <c r="AE2" s="6" t="inlineStr">
        <is>
          <t>2026-10-21</t>
        </is>
      </c>
      <c r="AF2" s="6" t="inlineStr">
        <is>
          <t>INT-T-002 (requirements/intake/2026-10-21-supervisor-meeting-2026-10-21-notes-and-transcript.md); mapping design/ledger/notes/MEETINGS-MAPPING-20261021.md checked line by line by FND-0035 and FND-0036; REGISTER section H</t>
        </is>
      </c>
      <c r="AG2" s="6" t="inlineStr"/>
      <c r="AH2" s="6" t="inlineStr">
        <is>
          <t>No</t>
        </is>
      </c>
      <c r="AI2" s="6" t="inlineStr"/>
      <c r="AJ2" s="6" t="inlineStr">
        <is>
          <t>Review 19 Oct (section 5)</t>
        </is>
      </c>
      <c r="AK2" s="6" t="inlineStr">
        <is>
          <t>WD-021</t>
        </is>
      </c>
      <c r="AL2" s="6" t="inlineStr">
        <is>
          <t>S01</t>
        </is>
      </c>
    </row>
    <row r="3" ht="53" customHeight="1">
      <c r="A3" s="5" t="inlineStr">
        <is>
          <t>N-9</t>
        </is>
      </c>
      <c r="B3" s="6" t="inlineStr">
        <is>
          <t>Joaa's 19 Oct messages: verbatim now stored in this workbook; tracked copy in requirements/ pending</t>
        </is>
      </c>
      <c r="C3" s="6" t="inlineStr">
        <is>
          <t>PARTLY ANSWERED</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3</v>
      </c>
      <c r="L3" s="6" t="inlineStr">
        <is>
          <t>W0 Orient (no AUTH)</t>
        </is>
      </c>
      <c r="M3" s="6" t="inlineStr">
        <is>
          <t>S01</t>
        </is>
      </c>
      <c r="N3" s="6" t="inlineStr">
        <is>
          <t>You</t>
        </is>
      </c>
      <c r="O3" s="6" t="inlineStr">
        <is>
          <t>Lead drafts the fix; you approve</t>
        </is>
      </c>
      <c r="P3" s="6" t="inlineStr">
        <is>
          <t>Partly</t>
        </is>
      </c>
      <c r="Q3" s="6" t="inlineStr">
        <is>
          <t>Record fix</t>
        </is>
      </c>
      <c r="R3" s="6" t="inlineStr">
        <is>
          <t>Item</t>
        </is>
      </c>
      <c r="S3" s="6" t="inlineStr"/>
      <c r="T3" s="6" t="inlineStr">
        <is>
          <t>The student pasted Joaa's six 19 Oct messages; they are stored verbatim with provenance in the 'Supervisor statements' sheet. Not yet recorded in the repo's requirements/ area with provenance and hash (a tracked change that needs approval).</t>
        </is>
      </c>
      <c r="U3" s="6" t="inlineStr">
        <is>
          <t>Verbatim text stored (S-J-001..006). The repo's earlier paraphrase of the caching message ('1/10 of input token for an hour') matches his wording.</t>
        </is>
      </c>
      <c r="V3" s="6" t="inlineStr">
        <is>
          <t>Verbatim text recorded in requirements/ with provenance and hash (after your approval), or you decide the workbook copy is enough.</t>
        </is>
      </c>
      <c r="W3" s="6" t="inlineStr"/>
      <c r="X3" s="6" t="inlineStr"/>
      <c r="Y3" s="6" t="inlineStr">
        <is>
          <t>Q-U08</t>
        </is>
      </c>
      <c r="Z3" s="6" t="inlineStr"/>
      <c r="AA3" s="6" t="inlineStr">
        <is>
          <t>K2 Objective &amp; accounting</t>
        </is>
      </c>
      <c r="AB3" s="6" t="inlineStr"/>
      <c r="AC3" s="6" t="inlineStr">
        <is>
          <t>n/a (new)</t>
        </is>
      </c>
      <c r="AD3" s="6" t="inlineStr">
        <is>
          <t>NEW</t>
        </is>
      </c>
      <c r="AE3" s="6" t="inlineStr">
        <is>
          <t>2026-10-19</t>
        </is>
      </c>
      <c r="AF3" s="6" t="inlineStr">
        <is>
          <t>Supervisor statements sheet; Questions Q-U08 answer</t>
        </is>
      </c>
      <c r="AG3" s="6" t="inlineStr"/>
      <c r="AH3" s="6" t="inlineStr">
        <is>
          <t>No</t>
        </is>
      </c>
      <c r="AI3" s="6" t="inlineStr"/>
      <c r="AJ3" s="6" t="inlineStr">
        <is>
          <t>Review 19 Oct (section 5)</t>
        </is>
      </c>
      <c r="AK3" s="6" t="inlineStr">
        <is>
          <t>WhatsApp 19 Oct</t>
        </is>
      </c>
      <c r="AL3" s="6" t="inlineStr">
        <is>
          <t>S01</t>
        </is>
      </c>
    </row>
    <row r="4" ht="28" customHeight="1">
      <c r="A4" s="5" t="inlineStr">
        <is>
          <t>C-P03/P11</t>
        </is>
      </c>
      <c r="B4" s="6" t="inlineStr">
        <is>
          <t>First-session reconciliation not executed</t>
        </is>
      </c>
      <c r="C4" s="6" t="inlineStr">
        <is>
          <t>OPEN</t>
        </is>
      </c>
      <c r="D4" s="6">
        <f>IFERROR(INDEX(Lists!$B$2:$B$14,MATCH(C4,Lists!$A$2:$A$14,0)),"?")</f>
        <v/>
      </c>
      <c r="E4" s="6">
        <f>IF(COUNTIFS(Links!$B$2:$B$600,A4,Links!$E$2:$E$600,"Yes")&gt;0,"REVISE","")</f>
        <v/>
      </c>
      <c r="F4" s="6">
        <f>COUNTIFS(Links!$B$2:$B$600,A4,Links!$D$2:$D$600,"No",Links!$C$2:$C$600,"&lt;&gt;INFORMS")</f>
        <v/>
      </c>
      <c r="G4" s="9" t="inlineStr">
        <is>
          <t>USER-DECISION</t>
        </is>
      </c>
      <c r="H4" s="6" t="inlineStr">
        <is>
          <t>K16 Limits &amp; provenance</t>
        </is>
      </c>
      <c r="I4" s="6" t="inlineStr">
        <is>
          <t>G5 Housekeeping / no block</t>
        </is>
      </c>
      <c r="J4" s="6" t="inlineStr">
        <is>
          <t>Low</t>
        </is>
      </c>
      <c r="K4" s="6" t="n">
        <v>5</v>
      </c>
      <c r="L4" s="6" t="inlineStr">
        <is>
          <t>W0 Orient (no AUTH)</t>
        </is>
      </c>
      <c r="M4" s="6" t="inlineStr">
        <is>
          <t>S02</t>
        </is>
      </c>
      <c r="N4" s="6" t="inlineStr">
        <is>
          <t>You</t>
        </is>
      </c>
      <c r="O4" s="6" t="inlineStr">
        <is>
          <t>You decide (Q-U03)</t>
        </is>
      </c>
      <c r="P4" s="6" t="inlineStr">
        <is>
          <t>No</t>
        </is>
      </c>
      <c r="Q4" s="6" t="inlineStr">
        <is>
          <t>Record fix</t>
        </is>
      </c>
      <c r="R4" s="6" t="inlineStr">
        <is>
          <t>Sub-item</t>
        </is>
      </c>
      <c r="S4" s="6" t="inlineStr">
        <is>
          <t>C-P03</t>
        </is>
      </c>
      <c r="T4" s="6" t="inlineStr">
        <is>
          <t>SRC-06 P11: the first-session reconciliation with the origin was not executed.</t>
        </is>
      </c>
      <c r="U4" s="6" t="inlineStr">
        <is>
          <t>Out of scope until a separate human authorization.</t>
        </is>
      </c>
      <c r="V4" s="6" t="inlineStr">
        <is>
          <t>Repaired or disclosed.</t>
        </is>
      </c>
      <c r="W4" s="6" t="inlineStr"/>
      <c r="X4" s="6" t="inlineStr"/>
      <c r="Y4" s="6" t="inlineStr">
        <is>
          <t>Q-U03</t>
        </is>
      </c>
      <c r="Z4" s="6" t="inlineStr"/>
      <c r="AA4" s="6" t="inlineStr"/>
      <c r="AB4" s="6" t="inlineStr">
        <is>
          <t>RECORD+DEC</t>
        </is>
      </c>
      <c r="AC4" s="6" t="inlineStr">
        <is>
          <t>n/a (sub-item)</t>
        </is>
      </c>
      <c r="AD4" s="6" t="inlineStr">
        <is>
          <t>NEW (SRC-11 sub-row)</t>
        </is>
      </c>
      <c r="AE4" s="6" t="inlineStr">
        <is>
          <t>2026-10-19</t>
        </is>
      </c>
      <c r="AF4" s="6" t="inlineStr">
        <is>
          <t>CLAUDE.md; WD-009; CAVEATS row 14</t>
        </is>
      </c>
      <c r="AG4" s="6" t="inlineStr"/>
      <c r="AH4" s="6" t="inlineStr">
        <is>
          <t>Yes (reconciliation)</t>
        </is>
      </c>
      <c r="AI4" s="6" t="inlineStr"/>
      <c r="AJ4" s="6" t="inlineStr">
        <is>
          <t>SRC-11 section D5</t>
        </is>
      </c>
      <c r="AK4" s="6" t="inlineStr">
        <is>
          <t>SRC-06 P11, WD-009</t>
        </is>
      </c>
      <c r="AL4" s="6" t="inlineStr">
        <is>
          <t>S02</t>
        </is>
      </c>
    </row>
    <row r="5" ht="53" customHeight="1">
      <c r="A5" s="5" t="inlineStr">
        <is>
          <t>N-11</t>
        </is>
      </c>
      <c r="B5" s="6" t="inlineStr">
        <is>
          <t>Executor 426-slot comparison: status after 3 October unknown</t>
        </is>
      </c>
      <c r="C5" s="6" t="inlineStr">
        <is>
          <t>DEFERRED</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G2 Before the affected pilot/arm</t>
        </is>
      </c>
      <c r="J5" s="6" t="inlineStr">
        <is>
          <t>High</t>
        </is>
      </c>
      <c r="K5" s="6" t="n">
        <v>6</v>
      </c>
      <c r="L5" s="6" t="inlineStr">
        <is>
          <t>W0 Orient (no AUTH)</t>
        </is>
      </c>
      <c r="M5" s="6" t="inlineStr">
        <is>
          <t>S02</t>
        </is>
      </c>
      <c r="N5" s="6" t="inlineStr">
        <is>
          <t>You</t>
        </is>
      </c>
      <c r="O5" s="6" t="inlineStr">
        <is>
          <t>none until the trigger fires</t>
        </is>
      </c>
      <c r="P5" s="6" t="inlineStr">
        <is>
          <t>No</t>
        </is>
      </c>
      <c r="Q5" s="6" t="inlineStr">
        <is>
          <t>Decision</t>
        </is>
      </c>
      <c r="R5" s="6" t="inlineStr">
        <is>
          <t>Item</t>
        </is>
      </c>
      <c r="S5" s="6" t="inlineStr"/>
      <c r="T5" s="6" t="inlineStr">
        <is>
          <t>SRC-12 Phase 0 step 2: INT-01 says the Executor 426-slot full comparison had not started at its 3 Oct snapshot; whether it later ran is unknown; the 'quiet-period' date passing does not establish it ran.</t>
        </is>
      </c>
      <c r="U5" s="6" t="inlineStr">
        <is>
          <t>Unknown. 2026-10-21 (AUTH-018): deferred: the Executor 426-slot comparison belongs to the earlier work that the human decided to keep outside this work (C-D11).</t>
        </is>
      </c>
      <c r="V5" s="6" t="inlineStr">
        <is>
          <t>You supply the later run record or confirm it did not run.</t>
        </is>
      </c>
      <c r="W5" s="6" t="inlineStr"/>
      <c r="X5" s="6" t="inlineStr"/>
      <c r="Y5" s="6" t="inlineStr">
        <is>
          <t>Q-U02, Q-U04</t>
        </is>
      </c>
      <c r="Z5" s="6" t="inlineStr">
        <is>
          <t>RECORDS-AT-HAND</t>
        </is>
      </c>
      <c r="AA5" s="6" t="inlineStr"/>
      <c r="AB5" s="6" t="inlineStr">
        <is>
          <t>ACCESS</t>
        </is>
      </c>
      <c r="AC5" s="6" t="inlineStr">
        <is>
          <t>n/a (new)</t>
        </is>
      </c>
      <c r="AD5" s="6" t="inlineStr">
        <is>
          <t>NEW (repo sweep)</t>
        </is>
      </c>
      <c r="AE5" s="6" t="inlineStr">
        <is>
          <t>2026-10-21</t>
        </is>
      </c>
      <c r="AF5" s="6" t="inlineStr">
        <is>
          <t>ops/AUTHORIZATIONS.md (AUTH-018)</t>
        </is>
      </c>
      <c r="AG5" s="6" t="inlineStr">
        <is>
          <t>The human decides to use the earlier work</t>
        </is>
      </c>
      <c r="AH5" s="6" t="inlineStr">
        <is>
          <t>No</t>
        </is>
      </c>
      <c r="AI5" s="6" t="inlineStr"/>
      <c r="AJ5" s="6" t="inlineStr">
        <is>
          <t>SRC-12 Phase 0</t>
        </is>
      </c>
      <c r="AK5" s="6" t="inlineStr">
        <is>
          <t>SRC-12 Phase 0 step 2</t>
        </is>
      </c>
      <c r="AL5" s="6" t="inlineStr">
        <is>
          <t>S02</t>
        </is>
      </c>
    </row>
    <row r="6" ht="40.5" customHeight="1">
      <c r="A6" s="5" t="inlineStr">
        <is>
          <t>N-14</t>
        </is>
      </c>
      <c r="B6" s="6" t="inlineStr">
        <is>
          <t>Independent Phase 1/2/2b results: should they inform the 21 Oct meeting?</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K0 Earlier results</t>
        </is>
      </c>
      <c r="I6" s="6" t="inlineStr">
        <is>
          <t>G5 Housekeeping / no block</t>
        </is>
      </c>
      <c r="J6" s="6" t="inlineStr">
        <is>
          <t>Low</t>
        </is>
      </c>
      <c r="K6" s="6" t="n">
        <v>7</v>
      </c>
      <c r="L6" s="6" t="inlineStr">
        <is>
          <t>W0 Orient (no AUTH)</t>
        </is>
      </c>
      <c r="M6" s="6" t="inlineStr">
        <is>
          <t>S02</t>
        </is>
      </c>
      <c r="N6" s="6" t="inlineStr">
        <is>
          <t>You</t>
        </is>
      </c>
      <c r="O6" s="6" t="inlineStr">
        <is>
          <t>Answer Q-U13</t>
        </is>
      </c>
      <c r="P6" s="6" t="inlineStr">
        <is>
          <t>No</t>
        </is>
      </c>
      <c r="Q6" s="6" t="inlineStr">
        <is>
          <t>Decision</t>
        </is>
      </c>
      <c r="R6" s="6" t="inlineStr">
        <is>
          <t>Item</t>
        </is>
      </c>
      <c r="S6" s="6" t="inlineStr"/>
      <c r="T6" s="6" t="inlineStr">
        <is>
          <t>STATE open item 4: the human holds Phase 1 / Phase 2 / Phase 2b results outside the repo; admitting them would need a new AUTH; the lead cannot read them.</t>
        </is>
      </c>
      <c r="U6" s="6" t="inlineStr">
        <is>
          <t>Held outside; not read.</t>
        </is>
      </c>
      <c r="V6" s="6" t="inlineStr">
        <is>
          <t>Admitted under a new AUTH with labelled provenance, or explicitly kept out.</t>
        </is>
      </c>
      <c r="W6" s="6" t="inlineStr"/>
      <c r="X6" s="6" t="inlineStr"/>
      <c r="Y6" s="6" t="inlineStr">
        <is>
          <t>Q-U13</t>
        </is>
      </c>
      <c r="Z6" s="6" t="inlineStr"/>
      <c r="AA6" s="6" t="inlineStr"/>
      <c r="AB6" s="6" t="inlineStr">
        <is>
          <t>ACCESS+DEC</t>
        </is>
      </c>
      <c r="AC6" s="6" t="inlineStr">
        <is>
          <t>n/a (new)</t>
        </is>
      </c>
      <c r="AD6" s="6" t="inlineStr">
        <is>
          <t>NEW (repo sweep)</t>
        </is>
      </c>
      <c r="AE6" s="6" t="inlineStr">
        <is>
          <t>2026-10-19</t>
        </is>
      </c>
      <c r="AF6" s="6" t="inlineStr">
        <is>
          <t>STATE; AUTH-007..009</t>
        </is>
      </c>
      <c r="AG6" s="6" t="inlineStr"/>
      <c r="AH6" s="6" t="inlineStr">
        <is>
          <t>Yes (to admit)</t>
        </is>
      </c>
      <c r="AI6" s="6" t="inlineStr"/>
      <c r="AJ6" s="6" t="inlineStr">
        <is>
          <t>repo: STATE open item 4</t>
        </is>
      </c>
      <c r="AK6" s="6" t="inlineStr">
        <is>
          <t>STATE open item 4, AUTH-007..009</t>
        </is>
      </c>
      <c r="AL6" s="6" t="inlineStr">
        <is>
          <t>S02</t>
        </is>
      </c>
    </row>
    <row r="7" ht="165.5" customHeight="1">
      <c r="A7" s="5" t="inlineStr">
        <is>
          <t>C-D13</t>
        </is>
      </c>
      <c r="B7" s="6" t="inlineStr">
        <is>
          <t>Workspace safeguards (hooks, deny rules, no sandbox) have known limits; the remote, web tools and fetch hel...</t>
        </is>
      </c>
      <c r="C7" s="6" t="inlineStr">
        <is>
          <t>PARTLY ANSWERED</t>
        </is>
      </c>
      <c r="D7" s="6">
        <f>IFERROR(INDEX(Lists!$B$2:$B$14,MATCH(C7,Lists!$A$2:$A$14,0)),"?")</f>
        <v/>
      </c>
      <c r="E7" s="6">
        <f>IF(COUNTIFS(Links!$B$2:$B$600,A7,Links!$E$2:$E$600,"Yes")&gt;0,"REVISE","")</f>
        <v/>
      </c>
      <c r="F7" s="6">
        <f>COUNTIFS(Links!$B$2:$B$600,A7,Links!$D$2:$D$600,"No",Links!$C$2:$C$600,"&lt;&gt;INFORMS")</f>
        <v/>
      </c>
      <c r="G7" s="9" t="inlineStr">
        <is>
          <t>USER-DECISION</t>
        </is>
      </c>
      <c r="H7" s="6" t="inlineStr">
        <is>
          <t>K16 Limits &amp; provenance</t>
        </is>
      </c>
      <c r="I7" s="6" t="inlineStr">
        <is>
          <t>G1 Before any implementation</t>
        </is>
      </c>
      <c r="J7" s="6" t="inlineStr">
        <is>
          <t>High</t>
        </is>
      </c>
      <c r="K7" s="6" t="n">
        <v>8</v>
      </c>
      <c r="L7" s="6" t="inlineStr">
        <is>
          <t>W0 Orient (no AUTH)</t>
        </is>
      </c>
      <c r="M7" s="6" t="inlineStr">
        <is>
          <t>S03</t>
        </is>
      </c>
      <c r="N7" s="6" t="inlineStr">
        <is>
          <t>You</t>
        </is>
      </c>
      <c r="O7" s="6" t="inlineStr">
        <is>
          <t>Answer the second part of Q-U11; decide on C-D13/WEBTOOLS</t>
        </is>
      </c>
      <c r="P7" s="6" t="inlineStr">
        <is>
          <t>Partly</t>
        </is>
      </c>
      <c r="Q7" s="6" t="inlineStr">
        <is>
          <t>Decision</t>
        </is>
      </c>
      <c r="R7" s="6" t="inlineStr">
        <is>
          <t>Item</t>
        </is>
      </c>
      <c r="S7" s="6" t="inlineStr"/>
      <c r="T7" s="6" t="inlineStr">
        <is>
          <t>Workspace safeguards (hooks, deny rules, no sandbox) have known limits; the remote, web tools and fetch helper changed the surface; two safeguard texts are stale.</t>
        </is>
      </c>
      <c r="U7"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7" s="6" t="inlineStr">
        <is>
          <t>Limits accepted or fixed; stale text updated (pinned files need your review).</t>
        </is>
      </c>
      <c r="W7" s="6" t="inlineStr"/>
      <c r="X7" s="6" t="inlineStr"/>
      <c r="Y7" s="6" t="inlineStr">
        <is>
          <t>Q-U11</t>
        </is>
      </c>
      <c r="Z7" s="6" t="inlineStr">
        <is>
          <t>RECORDS-AT-HAND</t>
        </is>
      </c>
      <c r="AA7" s="6" t="inlineStr"/>
      <c r="AB7" s="6" t="inlineStr">
        <is>
          <t>RECORD+DEC</t>
        </is>
      </c>
      <c r="AC7" s="6" t="inlineStr">
        <is>
          <t>BOUNDARY - OPEN</t>
        </is>
      </c>
      <c r="AD7" s="6" t="inlineStr">
        <is>
          <t>RE-CHARACTERISED</t>
        </is>
      </c>
      <c r="AE7" s="6" t="inlineStr">
        <is>
          <t>2026-10-20</t>
        </is>
      </c>
      <c r="AF7" s="6" t="inlineStr">
        <is>
          <t>Questions Q-U11; chat message of 2026-10-20</t>
        </is>
      </c>
      <c r="AG7" s="6" t="inlineStr"/>
      <c r="AH7" s="6" t="inlineStr">
        <is>
          <t>No</t>
        </is>
      </c>
      <c r="AI7" s="6" t="inlineStr"/>
      <c r="AJ7" s="6" t="inlineStr">
        <is>
          <t>SRC-11 canonical</t>
        </is>
      </c>
      <c r="AK7" s="6" t="inlineStr">
        <is>
          <t>SRC-06 D16, SRC-06 P12, STATE open item 7</t>
        </is>
      </c>
      <c r="AL7" s="6" t="inlineStr">
        <is>
          <t>S03</t>
        </is>
      </c>
    </row>
    <row r="8" ht="40.5" customHeight="1">
      <c r="A8" s="5" t="inlineStr">
        <is>
          <t>C-D13/WEBTOOLS</t>
        </is>
      </c>
      <c r="B8" s="6" t="inlineStr">
        <is>
          <t>WebSearch/WebFetch and the fetch helper are now allow-listed; scope rests on the AUTH text only</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K16 Limits &amp; provenance</t>
        </is>
      </c>
      <c r="I8" s="6" t="inlineStr">
        <is>
          <t>G1 Before any implementation</t>
        </is>
      </c>
      <c r="J8" s="6" t="inlineStr">
        <is>
          <t>High</t>
        </is>
      </c>
      <c r="K8" s="6" t="n">
        <v>17</v>
      </c>
      <c r="L8" s="6" t="inlineStr">
        <is>
          <t>W0 Orient (no AUTH)</t>
        </is>
      </c>
      <c r="M8" s="6" t="inlineStr">
        <is>
          <t>S03</t>
        </is>
      </c>
      <c r="N8" s="6" t="inlineStr">
        <is>
          <t>You</t>
        </is>
      </c>
      <c r="O8" s="6" t="inlineStr">
        <is>
          <t>You decide (Q-U11)</t>
        </is>
      </c>
      <c r="P8" s="6" t="inlineStr">
        <is>
          <t>Answered (see basis)</t>
        </is>
      </c>
      <c r="Q8" s="6" t="inlineStr">
        <is>
          <t>Safeguard limit</t>
        </is>
      </c>
      <c r="R8" s="6" t="inlineStr">
        <is>
          <t>Sub-item</t>
        </is>
      </c>
      <c r="S8" s="6" t="inlineStr">
        <is>
          <t>C-D13</t>
        </is>
      </c>
      <c r="T8" s="6" t="inlineStr">
        <is>
          <t>AUTH-014 moved WebSearch/WebFetch to allow; AUTH-015 added a pinned fetch helper rule. Scope limits are instructions, not mechanisms.</t>
        </is>
      </c>
      <c r="U8" s="6" t="inlineStr">
        <is>
          <t>Documented limit.</t>
        </is>
      </c>
      <c r="V8" s="6" t="inlineStr">
        <is>
          <t>Accepted, or fixed (OS sandbox, separate account).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2026-10-19</t>
        </is>
      </c>
      <c r="AF8" s="6" t="inlineStr">
        <is>
          <t>AUTH-014, AUTH-015; commits bde0cdd, d791135</t>
        </is>
      </c>
      <c r="AG8" s="6" t="inlineStr"/>
      <c r="AH8" s="6" t="inlineStr">
        <is>
          <t>No</t>
        </is>
      </c>
      <c r="AI8" s="6" t="inlineStr"/>
      <c r="AJ8" s="6" t="inlineStr">
        <is>
          <t>repo: AUTHORIZATIONS</t>
        </is>
      </c>
      <c r="AK8" s="6" t="inlineStr"/>
      <c r="AL8" s="6" t="inlineStr">
        <is>
          <t>S03</t>
        </is>
      </c>
    </row>
    <row r="9" ht="40.5" customHeight="1">
      <c r="A9" s="5" t="inlineStr">
        <is>
          <t>C-P03/P12</t>
        </is>
      </c>
      <c r="B9" s="6" t="inlineStr">
        <is>
          <t>Safeguards untested</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G5 Housekeeping / no block</t>
        </is>
      </c>
      <c r="J9" s="6" t="inlineStr">
        <is>
          <t>Low</t>
        </is>
      </c>
      <c r="K9" s="6" t="n">
        <v>18</v>
      </c>
      <c r="L9" s="6" t="inlineStr">
        <is>
          <t>W0 Orient (no AUTH)</t>
        </is>
      </c>
      <c r="M9" s="6" t="inlineStr">
        <is>
          <t>S03</t>
        </is>
      </c>
      <c r="N9" s="6" t="inlineStr">
        <is>
          <t>You</t>
        </is>
      </c>
      <c r="O9" s="6" t="inlineStr">
        <is>
          <t>You decide</t>
        </is>
      </c>
      <c r="P9" s="6" t="inlineStr">
        <is>
          <t>Partly</t>
        </is>
      </c>
      <c r="Q9" s="6" t="inlineStr">
        <is>
          <t>Record fix</t>
        </is>
      </c>
      <c r="R9" s="6" t="inlineStr">
        <is>
          <t>Sub-item</t>
        </is>
      </c>
      <c r="S9" s="6" t="inlineStr">
        <is>
          <t>C-P03</t>
        </is>
      </c>
      <c r="T9" s="6" t="inlineStr">
        <is>
          <t>SRC-06 P12: safeguards were untested.</t>
        </is>
      </c>
      <c r="U9" s="6" t="inlineStr">
        <is>
          <t>Deterministic tests exist; interactive/VS Code and adversarial behaviour are untested (see C-D13 children).</t>
        </is>
      </c>
      <c r="V9" s="6" t="inlineStr">
        <is>
          <t>Repaired or disclosed.</t>
        </is>
      </c>
      <c r="W9" s="6" t="inlineStr"/>
      <c r="X9" s="6" t="inlineStr"/>
      <c r="Y9" s="6" t="inlineStr"/>
      <c r="Z9" s="6" t="inlineStr"/>
      <c r="AA9" s="6" t="inlineStr"/>
      <c r="AB9" s="6" t="inlineStr">
        <is>
          <t>RECORD+DEC</t>
        </is>
      </c>
      <c r="AC9" s="6" t="inlineStr">
        <is>
          <t>n/a (sub-item)</t>
        </is>
      </c>
      <c r="AD9" s="6" t="inlineStr">
        <is>
          <t>NEW (SRC-11 sub-row)</t>
        </is>
      </c>
      <c r="AE9" s="6" t="inlineStr">
        <is>
          <t>2026-10-19</t>
        </is>
      </c>
      <c r="AF9" s="6" t="inlineStr">
        <is>
          <t>ops/SAFEGUARDS.md test index (A1..C8, guard_cases.py 57 cases, R2); known bypasses list</t>
        </is>
      </c>
      <c r="AG9" s="6" t="inlineStr"/>
      <c r="AH9" s="6" t="inlineStr">
        <is>
          <t>Yes (reconciliation)</t>
        </is>
      </c>
      <c r="AI9" s="6" t="inlineStr"/>
      <c r="AJ9" s="6" t="inlineStr">
        <is>
          <t>SRC-11 section D5</t>
        </is>
      </c>
      <c r="AK9" s="6" t="inlineStr">
        <is>
          <t>SRC-06 P12</t>
        </is>
      </c>
      <c r="AL9" s="6" t="inlineStr">
        <is>
          <t>S03</t>
        </is>
      </c>
    </row>
    <row r="10" ht="40.5" customHeight="1">
      <c r="A10" s="5" t="inlineStr">
        <is>
          <t>N-15</t>
        </is>
      </c>
      <c r="B10" s="6" t="inlineStr">
        <is>
          <t>Untracked 19 Oct draft and EXT-0067..0073: keep or remove (author unknown)</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G5 Housekeeping / no block</t>
        </is>
      </c>
      <c r="J10" s="6" t="inlineStr">
        <is>
          <t>Low</t>
        </is>
      </c>
      <c r="K10" s="6" t="n">
        <v>19</v>
      </c>
      <c r="L10" s="6" t="inlineStr">
        <is>
          <t>W0 Orient (no AUTH)</t>
        </is>
      </c>
      <c r="M10" s="6" t="inlineStr">
        <is>
          <t>S03</t>
        </is>
      </c>
      <c r="N10" s="6" t="inlineStr">
        <is>
          <t>You</t>
        </is>
      </c>
      <c r="O10" s="6" t="inlineStr">
        <is>
          <t>Answer Q-U12</t>
        </is>
      </c>
      <c r="P10" s="6" t="inlineStr">
        <is>
          <t>n/a</t>
        </is>
      </c>
      <c r="Q10" s="6" t="inlineStr">
        <is>
          <t>Decision</t>
        </is>
      </c>
      <c r="R10" s="6" t="inlineStr">
        <is>
          <t>Item</t>
        </is>
      </c>
      <c r="S10" s="6" t="inlineStr"/>
      <c r="T10" s="6" t="inlineStr">
        <is>
          <t>design/tool-exposure-policy-proposal.md and EXT-0067..0073 were committed with a provenance banner; author and authorization unrecorded.</t>
        </is>
      </c>
      <c r="U10" s="6" t="inlineStr">
        <is>
          <t>Not adopted as a record; flagged.</t>
        </is>
      </c>
      <c r="V10" s="6" t="inlineStr">
        <is>
          <t>Kept (with provenance) or removed.</t>
        </is>
      </c>
      <c r="W10" s="6" t="inlineStr"/>
      <c r="X10" s="6" t="inlineStr"/>
      <c r="Y10" s="6" t="inlineStr">
        <is>
          <t>Q-U12</t>
        </is>
      </c>
      <c r="Z10" s="6" t="inlineStr"/>
      <c r="AA10" s="6" t="inlineStr"/>
      <c r="AB10" s="6" t="inlineStr">
        <is>
          <t>RECORD+DEC</t>
        </is>
      </c>
      <c r="AC10" s="6" t="inlineStr">
        <is>
          <t>n/a (new)</t>
        </is>
      </c>
      <c r="AD10" s="6" t="inlineStr">
        <is>
          <t>NEW (repo sweep)</t>
        </is>
      </c>
      <c r="AE10" s="6" t="inlineStr">
        <is>
          <t>2026-10-19</t>
        </is>
      </c>
      <c r="AF10" s="6" t="inlineStr">
        <is>
          <t>v4-03 section 4</t>
        </is>
      </c>
      <c r="AG10" s="6" t="inlineStr"/>
      <c r="AH10" s="6" t="inlineStr">
        <is>
          <t>No</t>
        </is>
      </c>
      <c r="AI10" s="6" t="inlineStr"/>
      <c r="AJ10" s="6" t="inlineStr">
        <is>
          <t>repo: STATE open item 6; v4-03 section 4</t>
        </is>
      </c>
      <c r="AK10" s="6" t="inlineStr">
        <is>
          <t>STATE open item 6</t>
        </is>
      </c>
      <c r="AL10" s="6" t="inlineStr">
        <is>
          <t>S03</t>
        </is>
      </c>
    </row>
    <row r="11" ht="53" customHeight="1">
      <c r="A11" s="5" t="inlineStr">
        <is>
          <t>N-13</t>
        </is>
      </c>
      <c r="B11" s="6" t="inlineStr">
        <is>
          <t>Thesis question not supplied</t>
        </is>
      </c>
      <c r="C11" s="6" t="inlineStr">
        <is>
          <t>OPEN</t>
        </is>
      </c>
      <c r="D11" s="6">
        <f>IFERROR(INDEX(Lists!$B$2:$B$14,MATCH(C11,Lists!$A$2:$A$14,0)),"?")</f>
        <v/>
      </c>
      <c r="E11" s="6">
        <f>IF(COUNTIFS(Links!$B$2:$B$600,A11,Links!$E$2:$E$600,"Yes")&gt;0,"REVISE","")</f>
        <v/>
      </c>
      <c r="F11" s="6">
        <f>COUNTIFS(Links!$B$2:$B$600,A11,Links!$D$2:$D$600,"No",Links!$C$2:$C$600,"&lt;&gt;INFORMS")</f>
        <v/>
      </c>
      <c r="G11" s="9" t="inlineStr">
        <is>
          <t>USER-DECISION</t>
        </is>
      </c>
      <c r="H11" s="6" t="inlineStr">
        <is>
          <t>K1 Scope: what Project A is</t>
        </is>
      </c>
      <c r="I11" s="6" t="inlineStr">
        <is>
          <t>G3 Before confirmatory study</t>
        </is>
      </c>
      <c r="J11" s="6" t="inlineStr">
        <is>
          <t>Normal</t>
        </is>
      </c>
      <c r="K11" s="6" t="n">
        <v>22</v>
      </c>
      <c r="L11" s="6" t="inlineStr">
        <is>
          <t>W1 Decide</t>
        </is>
      </c>
      <c r="M11" s="6" t="inlineStr">
        <is>
          <t>S05</t>
        </is>
      </c>
      <c r="N11" s="6" t="inlineStr">
        <is>
          <t>You (verbatim text, who, when), Joaa if wording is contested</t>
        </is>
      </c>
      <c r="O11" s="6" t="inlineStr">
        <is>
          <t>Answer Q-U09</t>
        </is>
      </c>
      <c r="P11" s="6" t="inlineStr">
        <is>
          <t>No</t>
        </is>
      </c>
      <c r="Q11" s="6" t="inlineStr">
        <is>
          <t>Decision</t>
        </is>
      </c>
      <c r="R11" s="6" t="inlineStr">
        <is>
          <t>Item</t>
        </is>
      </c>
      <c r="S11" s="6" t="inlineStr"/>
      <c r="T11" s="6" t="inlineStr">
        <is>
          <t>requirements/THESIS_QUESTION.md is a placeholder (status awaiting-user); excerpt E1 is a mid-sentence fragment and was not entered; Q3 asks whether and in what exact wording E1 may be entered.</t>
        </is>
      </c>
      <c r="U11" s="6" t="inlineStr">
        <is>
          <t>Not supplied.</t>
        </is>
      </c>
      <c r="V11" s="6" t="inlineStr">
        <is>
          <t>The question is entered verbatim with provenance and hash.</t>
        </is>
      </c>
      <c r="W11" s="6" t="inlineStr"/>
      <c r="X11" s="6" t="inlineStr"/>
      <c r="Y11" s="6" t="inlineStr">
        <is>
          <t>Q-J01, Q-J02, Q-U01, Q-U09</t>
        </is>
      </c>
      <c r="Z11" s="6" t="inlineStr">
        <is>
          <t>JOAA-DECISION</t>
        </is>
      </c>
      <c r="AA11" s="6" t="inlineStr"/>
      <c r="AB11" s="6" t="inlineStr">
        <is>
          <t>DEC+ACCESS</t>
        </is>
      </c>
      <c r="AC11" s="6" t="inlineStr">
        <is>
          <t>n/a (new)</t>
        </is>
      </c>
      <c r="AD11" s="6" t="inlineStr">
        <is>
          <t>NEW (repo sweep)</t>
        </is>
      </c>
      <c r="AE11" s="6" t="inlineStr">
        <is>
          <t>2026-10-19</t>
        </is>
      </c>
      <c r="AF11" s="6" t="inlineStr">
        <is>
          <t>THESIS_QUESTION.md; CAVEATS 17</t>
        </is>
      </c>
      <c r="AG11" s="6" t="inlineStr"/>
      <c r="AH11" s="6" t="inlineStr">
        <is>
          <t>No</t>
        </is>
      </c>
      <c r="AI11" s="6" t="inlineStr"/>
      <c r="AJ11" s="6" t="inlineStr">
        <is>
          <t>repo: STATE; REGISTER F and G.3 Q3</t>
        </is>
      </c>
      <c r="AK11" s="6" t="inlineStr">
        <is>
          <t>REGISTER G.3 Q3, CAVEATS 17, STATE open item 3</t>
        </is>
      </c>
      <c r="AL11" s="6" t="inlineStr">
        <is>
          <t>S01</t>
        </is>
      </c>
    </row>
    <row r="12" ht="40.5" customHeight="1">
      <c r="A12" s="5" t="inlineStr">
        <is>
          <t>C-D01</t>
        </is>
      </c>
      <c r="B12" s="6" t="inlineStr">
        <is>
          <t>Which text governs Project A: the June expose, the October staged-policy wording, or V3?</t>
        </is>
      </c>
      <c r="C12" s="6" t="inlineStr">
        <is>
          <t>PARTLY ANSWERED</t>
        </is>
      </c>
      <c r="D12" s="6">
        <f>IFERROR(INDEX(Lists!$B$2:$B$14,MATCH(C12,Lists!$A$2:$A$14,0)),"?")</f>
        <v/>
      </c>
      <c r="E12" s="6">
        <f>IF(COUNTIFS(Links!$B$2:$B$600,A12,Links!$E$2:$E$600,"Yes")&gt;0,"REVISE","")</f>
        <v/>
      </c>
      <c r="F12" s="6">
        <f>COUNTIFS(Links!$B$2:$B$600,A12,Links!$D$2:$D$600,"No",Links!$C$2:$C$600,"&lt;&gt;INFORMS")</f>
        <v/>
      </c>
      <c r="G12" s="10" t="inlineStr">
        <is>
          <t>JOAA-DECISION</t>
        </is>
      </c>
      <c r="H12" s="6" t="inlineStr">
        <is>
          <t>K1 Scope: what Project A is</t>
        </is>
      </c>
      <c r="I12" s="6" t="inlineStr">
        <is>
          <t>G1 Before any implementation</t>
        </is>
      </c>
      <c r="J12" s="6" t="inlineStr">
        <is>
          <t>High</t>
        </is>
      </c>
      <c r="K12" s="6" t="n">
        <v>23</v>
      </c>
      <c r="L12" s="6" t="inlineStr">
        <is>
          <t>W1 Decide</t>
        </is>
      </c>
      <c r="M12" s="6" t="inlineStr">
        <is>
          <t>S05</t>
        </is>
      </c>
      <c r="N12" s="6" t="inlineStr">
        <is>
          <t>Joaa (you supply SRC-03 and the acceptance record)</t>
        </is>
      </c>
      <c r="O12" s="6" t="inlineStr">
        <is>
          <t>Gather SRC-03 and acceptance record (Q-U01), then ask Joaa (Q-J01)</t>
        </is>
      </c>
      <c r="P12" s="6" t="inlineStr">
        <is>
          <t>No</t>
        </is>
      </c>
      <c r="Q12" s="6" t="inlineStr">
        <is>
          <t>Decision</t>
        </is>
      </c>
      <c r="R12" s="6" t="inlineStr">
        <is>
          <t>Item</t>
        </is>
      </c>
      <c r="S12" s="6" t="inlineStr"/>
      <c r="T12" s="6" t="inlineStr">
        <is>
          <t>Which text governs Project A: the June expose, the October staged-policy wording, or V3? Joaa's acceptance of the June expose is only your account.</t>
        </is>
      </c>
      <c r="U12" s="6" t="inlineStr">
        <is>
          <t>Repo has Oct 14 E1 (a fragment) and a placeholder thesis question; June expose and acceptance record absent.</t>
        </is>
      </c>
      <c r="V12" s="6" t="inlineStr">
        <is>
          <t>A dated, recorded answer: June governs, and which clauses October/V3 amended.</t>
        </is>
      </c>
      <c r="W12" s="6" t="inlineStr">
        <is>
          <t>N-8, N-9</t>
        </is>
      </c>
      <c r="X12" s="6" t="inlineStr"/>
      <c r="Y12" s="6" t="inlineStr">
        <is>
          <t>Q-J01, Q-U01, Q-U09, Q-U24</t>
        </is>
      </c>
      <c r="Z12" s="6" t="inlineStr">
        <is>
          <t>USER-DECISION, RECORDS-AT-HAND</t>
        </is>
      </c>
      <c r="AA12" s="6" t="inlineStr">
        <is>
          <t>K3 Policy form</t>
        </is>
      </c>
      <c r="AB12" s="6" t="inlineStr">
        <is>
          <t>DEC+ACCESS</t>
        </is>
      </c>
      <c r="AC12" s="6" t="inlineStr">
        <is>
          <t>PARTLY ANSWERED - OPEN</t>
        </is>
      </c>
      <c r="AD12" s="6" t="inlineStr">
        <is>
          <t>NO EVIDENCE IN REPO</t>
        </is>
      </c>
      <c r="AE12" s="6" t="inlineStr">
        <is>
          <t>2026-10-19</t>
        </is>
      </c>
      <c r="AF12" s="6" t="inlineStr">
        <is>
          <t>REGISTER G.3 Q1,Q3; THESIS_QUESTION.md; intake E1</t>
        </is>
      </c>
      <c r="AG12" s="6" t="inlineStr"/>
      <c r="AH12" s="6" t="inlineStr">
        <is>
          <t>No</t>
        </is>
      </c>
      <c r="AI12" s="6" t="inlineStr"/>
      <c r="AJ12" s="6" t="inlineStr">
        <is>
          <t>SRC-11 canonical</t>
        </is>
      </c>
      <c r="AK12" s="6" t="inlineStr">
        <is>
          <t>REGISTER G.3 Q1, REGISTER G.3 Q3</t>
        </is>
      </c>
      <c r="AL12" s="6" t="inlineStr">
        <is>
          <t>S01</t>
        </is>
      </c>
    </row>
    <row r="13" ht="240.5" customHeight="1">
      <c r="A13" s="5" t="inlineStr">
        <is>
          <t>C-D05</t>
        </is>
      </c>
      <c r="B13" s="6" t="inlineStr">
        <is>
          <t>What is due next, and does 'implement' include writing the evaluation script?</t>
        </is>
      </c>
      <c r="C13" s="6" t="inlineStr">
        <is>
          <t>PARTLY ANSWERED</t>
        </is>
      </c>
      <c r="D13" s="6">
        <f>IFERROR(INDEX(Lists!$B$2:$B$14,MATCH(C13,Lists!$A$2:$A$14,0)),"?")</f>
        <v/>
      </c>
      <c r="E13" s="6">
        <f>IF(COUNTIFS(Links!$B$2:$B$600,A13,Links!$E$2:$E$600,"Yes")&gt;0,"REVISE","")</f>
        <v/>
      </c>
      <c r="F13" s="6">
        <f>COUNTIFS(Links!$B$2:$B$600,A13,Links!$D$2:$D$600,"No",Links!$C$2:$C$600,"&lt;&gt;INFORMS")</f>
        <v/>
      </c>
      <c r="G13" s="10" t="inlineStr">
        <is>
          <t>JOAA-DECISION</t>
        </is>
      </c>
      <c r="H13" s="6" t="inlineStr">
        <is>
          <t>K6 Deliverable &amp; authorization</t>
        </is>
      </c>
      <c r="I13" s="6" t="inlineStr">
        <is>
          <t>G1 Before any implementation</t>
        </is>
      </c>
      <c r="J13" s="6" t="inlineStr">
        <is>
          <t>High</t>
        </is>
      </c>
      <c r="K13" s="6" t="n">
        <v>24</v>
      </c>
      <c r="L13" s="6" t="inlineStr">
        <is>
          <t>W1 Decide</t>
        </is>
      </c>
      <c r="M13" s="6" t="inlineStr">
        <is>
          <t>S05</t>
        </is>
      </c>
      <c r="N13" s="6" t="inlineStr">
        <is>
          <t>Joaa</t>
        </is>
      </c>
      <c r="O13" s="6" t="inlineStr">
        <is>
          <t>Experiments need your authorization (C-D09, Q-U14)</t>
        </is>
      </c>
      <c r="P13" s="6" t="inlineStr">
        <is>
          <t>No</t>
        </is>
      </c>
      <c r="Q13" s="6" t="inlineStr">
        <is>
          <t>Decision</t>
        </is>
      </c>
      <c r="R13" s="6" t="inlineStr">
        <is>
          <t>Item</t>
        </is>
      </c>
      <c r="S13" s="6" t="inlineStr"/>
      <c r="T13" s="6" t="inlineStr">
        <is>
          <t>What is due next, and does 'implement' include writing the evaluation script? Was the 2 Oct deliverable delivered?</t>
        </is>
      </c>
      <c r="U13" s="6" t="inlineStr">
        <is>
          <t>Oct 14 excerpt E9: 'I don't want you to implement anything'; Q5/Q6 open. 2026-10-21 (AUTH-018): REGISTER Q5: the 21 October deliverable was the policy without implementation ('I don't want you to implement anything', INT-T-003 L439); after 21 October the next step is experiments with a minimal memory ('even a text file ... is good enough', 'don't engineer it at all', a 'very big experiment' with multiple goals, settings and repeated runs, INT-T-002 L426-L458). REGISTER Q6: the 21 October deadline continues the 2 October request for a draft policy (INT-T-004 E804); whether the 2 October draft was delivered is not stated, and on 14 October he still asked for the policy (INT-T-003 L429). The thesis timeline: send the thesis to Michael and Simon three or four weeks before submission; meetings online (INT-T-002 L481-L500; the 18 February deadline is the student's statement).</t>
        </is>
      </c>
      <c r="V13" s="6" t="inlineStr">
        <is>
          <t>Answers to REGISTER Q5 and Q6.</t>
        </is>
      </c>
      <c r="W13" s="6" t="inlineStr"/>
      <c r="X13" s="6" t="inlineStr"/>
      <c r="Y13" s="6" t="inlineStr">
        <is>
          <t>Q-J17, Q-J18, Q-U05</t>
        </is>
      </c>
      <c r="Z13" s="6" t="inlineStr">
        <is>
          <t>USER-DECISION</t>
        </is>
      </c>
      <c r="AA13" s="6" t="inlineStr"/>
      <c r="AB13" s="6" t="inlineStr">
        <is>
          <t>DEC+ACCESS</t>
        </is>
      </c>
      <c r="AC13" s="6" t="inlineStr">
        <is>
          <t>PARTLY ANSWERED - OPEN</t>
        </is>
      </c>
      <c r="AD13" s="6" t="inlineStr">
        <is>
          <t>UNCHANGED</t>
        </is>
      </c>
      <c r="AE13" s="6" t="inlineStr">
        <is>
          <t>2026-10-21</t>
        </is>
      </c>
      <c r="AF13" s="6" t="inlineStr">
        <is>
          <t>INT-T-002 (requirements/intake/2026-10-21-supervisor-meeting-2026-10-21-notes-and-transcript.md); INT-T-003 (requirements/intake/2026-10-21-supervisor-meeting-2026-10-14-notes-and-transcript.md); INT-T-004 (requirements/intake/2026-10-21-supervisor-meeting-2026-10-02-excerpts.md); mapping design/ledger/notes/MEETINGS-MAPPING-20261021.md checked line by line by FND-0035 and FND-0036; REGISTER section H</t>
        </is>
      </c>
      <c r="AG13" s="6" t="inlineStr"/>
      <c r="AH13" s="6" t="inlineStr">
        <is>
          <t>No</t>
        </is>
      </c>
      <c r="AI13" s="6" t="inlineStr"/>
      <c r="AJ13" s="6" t="inlineStr">
        <is>
          <t>SRC-11 canonical</t>
        </is>
      </c>
      <c r="AK13" s="6" t="inlineStr">
        <is>
          <t>REGISTER G.3 Q5, REGISTER G.3 Q6, COMPARISON C3, SRC-06 D05, SRC-06 D06, SRC-07 05, SRC-07 06, REQ-O14-10, REQ-O14-18</t>
        </is>
      </c>
      <c r="AL13" s="6" t="inlineStr">
        <is>
          <t>S04</t>
        </is>
      </c>
    </row>
    <row r="14" ht="128" customHeight="1">
      <c r="A14" s="5" t="inlineStr">
        <is>
          <t>C-D07/GRADED</t>
        </is>
      </c>
      <c r="B14" s="6" t="inlineStr">
        <is>
          <t>Is graded/partial exposure ('as a lens', June L0-L3) still required?</t>
        </is>
      </c>
      <c r="C14" s="6" t="inlineStr">
        <is>
          <t>PARTLY ANSWERED</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25</v>
      </c>
      <c r="L14" s="6" t="inlineStr">
        <is>
          <t>W1 Decide</t>
        </is>
      </c>
      <c r="M14" s="6" t="inlineStr">
        <is>
          <t>S05</t>
        </is>
      </c>
      <c r="N14" s="6" t="inlineStr">
        <is>
          <t>Joaa</t>
        </is>
      </c>
      <c r="O14" s="6" t="inlineStr">
        <is>
          <t>Treat as a candidate arm, not a requirement, unless he says otherwise</t>
        </is>
      </c>
      <c r="P14" s="6" t="inlineStr">
        <is>
          <t>No</t>
        </is>
      </c>
      <c r="Q14" s="6" t="inlineStr">
        <is>
          <t>Decision</t>
        </is>
      </c>
      <c r="R14" s="6" t="inlineStr">
        <is>
          <t>Sub-item</t>
        </is>
      </c>
      <c r="S14" s="6" t="inlineStr">
        <is>
          <t>C-D07</t>
        </is>
      </c>
      <c r="T14" s="6" t="inlineStr">
        <is>
          <t>REQ-D1 R9 / REQ-M1 R9 (graded exposure as a lens) and the 2 Oct tier example are not echoed in the 14 Oct excerpts, which describe filtering and re-adding.</t>
        </is>
      </c>
      <c r="U14" s="6" t="inlineStr">
        <is>
          <t>Open. 2026-10-21 (AUTH-018): on 2 October partial information is offered as one lens and one possible step two ('I'm not saying this is the best way but you have to look it from this lens ... You can also give partial information', INT-T-004 E550-E570, E774; the numbers 'not rigid', E552-E560); on 14 October Executor-style listing that 'these capabilities are present' is one option for a later stage (INT-T-003 L269, L306-L308). Not stated as a requirement.</t>
        </is>
      </c>
      <c r="V14" s="6" t="inlineStr">
        <is>
          <t>Joaa's answer recorded in his words.</t>
        </is>
      </c>
      <c r="W14" s="6" t="inlineStr"/>
      <c r="X14" s="6" t="inlineStr"/>
      <c r="Y14" s="6" t="inlineStr">
        <is>
          <t>Q-J12</t>
        </is>
      </c>
      <c r="Z14" s="6" t="inlineStr"/>
      <c r="AA14" s="6" t="inlineStr"/>
      <c r="AB14" s="6" t="inlineStr">
        <is>
          <t>DEC</t>
        </is>
      </c>
      <c r="AC14" s="6" t="inlineStr">
        <is>
          <t>n/a (sub-item)</t>
        </is>
      </c>
      <c r="AD14" s="6" t="inlineStr">
        <is>
          <t>NEW (repo sweep)</t>
        </is>
      </c>
      <c r="AE14" s="6" t="inlineStr">
        <is>
          <t>2026-10-21</t>
        </is>
      </c>
      <c r="AF14" s="6" t="inlineStr">
        <is>
          <t>INT-T-004 (requirements/intake/2026-10-21-supervisor-meeting-2026-10-02-excerpts.md); INT-T-003 (requirements/intake/2026-10-21-supervisor-meeting-2026-10-14-notes-and-transcript.md); mapping design/ledger/notes/MEETINGS-MAPPING-20261021.md checked line by line by FND-0035 and FND-0036; REGISTER section H</t>
        </is>
      </c>
      <c r="AG14" s="6" t="inlineStr"/>
      <c r="AH14" s="6" t="inlineStr">
        <is>
          <t>No</t>
        </is>
      </c>
      <c r="AI14" s="6" t="inlineStr"/>
      <c r="AJ14" s="6" t="inlineStr">
        <is>
          <t>repo: REGISTER / COMPARISON</t>
        </is>
      </c>
      <c r="AK14" s="6" t="inlineStr">
        <is>
          <t>COMPARISON C5, REQ-D1 R9, REQ-M1 R9</t>
        </is>
      </c>
      <c r="AL14" s="6" t="inlineStr">
        <is>
          <t>S04</t>
        </is>
      </c>
    </row>
    <row r="15" ht="103" customHeight="1">
      <c r="A15" s="5" t="inlineStr">
        <is>
          <t>C-D07</t>
        </is>
      </c>
      <c r="B15" s="6" t="inlineStr">
        <is>
          <t>Which parts belong to Project A: lifecycle/removal, June L0-L3 interfaces, October staged graph, session wo...</t>
        </is>
      </c>
      <c r="C15" s="6" t="inlineStr">
        <is>
          <t>PARTLY ANSWERED</t>
        </is>
      </c>
      <c r="D15" s="6">
        <f>IFERROR(INDEX(Lists!$B$2:$B$14,MATCH(C15,Lists!$A$2:$A$14,0)),"?")</f>
        <v/>
      </c>
      <c r="E15" s="6">
        <f>IF(COUNTIFS(Links!$B$2:$B$600,A15,Links!$E$2:$E$600,"Yes")&gt;0,"REVISE","")</f>
        <v/>
      </c>
      <c r="F15" s="6">
        <f>COUNTIFS(Links!$B$2:$B$600,A15,Links!$D$2:$D$600,"No",Links!$C$2:$C$600,"&lt;&gt;INFORMS")</f>
        <v/>
      </c>
      <c r="G15" s="10" t="inlineStr">
        <is>
          <t>JOAA-DECISION</t>
        </is>
      </c>
      <c r="H15" s="6" t="inlineStr">
        <is>
          <t>K1 Scope: what Project A is</t>
        </is>
      </c>
      <c r="I15" s="6" t="inlineStr">
        <is>
          <t>G1 Before any implementation</t>
        </is>
      </c>
      <c r="J15" s="6" t="inlineStr">
        <is>
          <t>High</t>
        </is>
      </c>
      <c r="K15" s="6" t="n">
        <v>26</v>
      </c>
      <c r="L15" s="6" t="inlineStr">
        <is>
          <t>W1 Decide</t>
        </is>
      </c>
      <c r="M15" s="6" t="inlineStr">
        <is>
          <t>S05</t>
        </is>
      </c>
      <c r="N15" s="6" t="inlineStr">
        <is>
          <t>Joaa + you</t>
        </is>
      </c>
      <c r="O15" s="6" t="inlineStr">
        <is>
          <t>Q-J01 (June text) still open</t>
        </is>
      </c>
      <c r="P15" s="6" t="inlineStr">
        <is>
          <t>Partly</t>
        </is>
      </c>
      <c r="Q15" s="6" t="inlineStr">
        <is>
          <t>Decision</t>
        </is>
      </c>
      <c r="R15" s="6" t="inlineStr">
        <is>
          <t>Item</t>
        </is>
      </c>
      <c r="S15" s="6" t="inlineStr"/>
      <c r="T15" s="6" t="inlineStr">
        <is>
          <t>Which parts belong to Project A: lifecycle/removal, June L0-L3 interfaces, October staged graph, session working set (F8), validation, baselines, metrics?</t>
        </is>
      </c>
      <c r="U15" s="6" t="inlineStr">
        <is>
          <t>v4 omits F8 (session working set); memory scopes M-a/M-b/M-c laid out; June expose not in repo so the clause map cannot be built here. 2026-10-21 (AUTH-018): scope on 21 October: memory and tool calls; knowledge and the other parts of context out (INT-T-002 L223-L225, L390). The June expose and its clauses are not mentioned in any of the three meetings.</t>
        </is>
      </c>
      <c r="V15" s="6" t="inlineStr">
        <is>
          <t>Clause-by-clause scope map with a yes/no per clause from Joaa.</t>
        </is>
      </c>
      <c r="W15" s="6" t="inlineStr">
        <is>
          <t>C-D01</t>
        </is>
      </c>
      <c r="X15" s="6" t="inlineStr"/>
      <c r="Y15" s="6" t="inlineStr">
        <is>
          <t>Q-J01, Q-J05, Q-J06, Q-J12, Q-U24</t>
        </is>
      </c>
      <c r="Z15" s="6" t="inlineStr">
        <is>
          <t>RECORDS-AT-HAND</t>
        </is>
      </c>
      <c r="AA15" s="6" t="inlineStr">
        <is>
          <t>K4 Memory &amp; sessions</t>
        </is>
      </c>
      <c r="AB15" s="6" t="inlineStr">
        <is>
          <t>DEC</t>
        </is>
      </c>
      <c r="AC15" s="6" t="inlineStr">
        <is>
          <t>PARTLY ANSWERED - OPEN</t>
        </is>
      </c>
      <c r="AD15" s="6" t="inlineStr">
        <is>
          <t>RE-CHARACTERISED</t>
        </is>
      </c>
      <c r="AE15" s="6" t="inlineStr">
        <is>
          <t>2026-10-21</t>
        </is>
      </c>
      <c r="AF15" s="6" t="inlineStr">
        <is>
          <t>INT-T-002 (requirements/intake/2026-10-21-supervisor-meeting-2026-10-21-notes-and-transcript.md); mapping design/ledger/notes/MEETINGS-MAPPING-20261021.md checked line by line by FND-0035 and FND-0036; REGISTER section H</t>
        </is>
      </c>
      <c r="AG15" s="6" t="inlineStr"/>
      <c r="AH15" s="6" t="inlineStr">
        <is>
          <t>No</t>
        </is>
      </c>
      <c r="AI15" s="6" t="inlineStr"/>
      <c r="AJ15" s="6" t="inlineStr">
        <is>
          <t>SRC-11 canonical</t>
        </is>
      </c>
      <c r="AK15" s="6" t="inlineStr">
        <is>
          <t>SRC-06 D08, COMPARISON C5</t>
        </is>
      </c>
      <c r="AL15" s="6" t="inlineStr">
        <is>
          <t>S04</t>
        </is>
      </c>
    </row>
    <row r="16" ht="240.5" customHeight="1">
      <c r="A16" s="5" t="inlineStr">
        <is>
          <t>C-D02</t>
        </is>
      </c>
      <c r="B16" s="6" t="inlineStr">
        <is>
          <t>What is primarily minimised or reported: tool count, model-visible input tokens, billed cost, or a stated c...</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K2 Objective &amp; accounting</t>
        </is>
      </c>
      <c r="I16" s="6" t="inlineStr">
        <is>
          <t>G2 Before the affected pilot/arm</t>
        </is>
      </c>
      <c r="J16" s="6" t="inlineStr">
        <is>
          <t>High</t>
        </is>
      </c>
      <c r="K16" s="6" t="n">
        <v>27</v>
      </c>
      <c r="L16" s="6" t="inlineStr">
        <is>
          <t>W1 Decide</t>
        </is>
      </c>
      <c r="M16" s="6" t="inlineStr">
        <is>
          <t>S06</t>
        </is>
      </c>
      <c r="N16" s="6" t="inlineStr">
        <is>
          <t>Joaa, then you record it</t>
        </is>
      </c>
      <c r="O16" s="6" t="inlineStr">
        <is>
          <t>You decide whether the working criterion (tokens, bill recorded separately) stays or becomes billed cost, with his words in hand</t>
        </is>
      </c>
      <c r="P16" s="6" t="inlineStr">
        <is>
          <t>Partly</t>
        </is>
      </c>
      <c r="Q16" s="6" t="inlineStr">
        <is>
          <t>Decision</t>
        </is>
      </c>
      <c r="R16" s="6" t="inlineStr">
        <is>
          <t>Item</t>
        </is>
      </c>
      <c r="S16" s="6" t="inlineStr"/>
      <c r="T16" s="6" t="inlineStr">
        <is>
          <t>What is primarily minimised or reported: tool count, model-visible input tokens, billed cost, or a stated combination? Joaa's 19 Oct feedback points to the bill; the working objective is still tokens.</t>
        </is>
      </c>
      <c r="U16" s="6" t="inlineStr">
        <is>
          <t>Decision now concrete (v4-04 sections 6-8); STATE records it as pending; the 2 Oct record already allowed 'tokens or money' (EXT-0002 line 26). 2026-10-21 (AUTH-018): unit: tokens are the objective and the tool count the means ('your idea was never to filter out tools. your idea was to save tokens ... The problem was to save token', INT-T-004 E524-E526; 'saving token and mary [maintaining] accuracy', E542; on 14 Oct the research-question wording keeps 'count of tools', INT-T-003 L159, and 'narrowing down from 100 to 10. So I am reducing 90% of token', L377). What to report: money cost per turn ('save around 80% of the cost', INT-T-002 L275; 'the problem is the cost per turn', L354), tokens and response time averaged over turns (L302); the cost constraint stays ('we will not drop the cost', INT-T-004 E697). He does not name one primary estimand or a price table.</t>
        </is>
      </c>
      <c r="V16" s="6" t="inlineStr">
        <is>
          <t>A stated primary estimand plus secondaries; a recorded entry replaces the AUTH-006 working objective if it changes.</t>
        </is>
      </c>
      <c r="W16" s="6" t="inlineStr"/>
      <c r="X16" s="6" t="inlineStr">
        <is>
          <t>C-D07</t>
        </is>
      </c>
      <c r="Y16" s="6" t="inlineStr">
        <is>
          <t>Q-J02, Q-J03, Q-J04, Q-J14</t>
        </is>
      </c>
      <c r="Z16" s="6" t="inlineStr">
        <is>
          <t>USER-DECISION</t>
        </is>
      </c>
      <c r="AA16" s="6" t="inlineStr">
        <is>
          <t>K4 Memory &amp; sessions</t>
        </is>
      </c>
      <c r="AB16" s="6" t="inlineStr">
        <is>
          <t>DEC</t>
        </is>
      </c>
      <c r="AC16" s="6" t="inlineStr">
        <is>
          <t>PARTLY ANSWERED - OPEN</t>
        </is>
      </c>
      <c r="AD16" s="6" t="inlineStr">
        <is>
          <t>RE-CHARACTERISED</t>
        </is>
      </c>
      <c r="AE16" s="6" t="inlineStr">
        <is>
          <t>2026-10-21</t>
        </is>
      </c>
      <c r="AF16" s="6" t="inlineStr">
        <is>
          <t>INT-T-002 (requirements/intake/2026-10-21-supervisor-meeting-2026-10-21-notes-and-transcript.md); INT-T-003 (requirements/intake/2026-10-21-supervisor-meeting-2026-10-14-notes-and-transcript.md); INT-T-004 (requirements/intake/2026-10-21-supervisor-meeting-2026-10-02-excerpts.md); mapping design/ledger/notes/MEETINGS-MAPPING-20261021.md checked line by line by FND-0035 and FND-0036; REGISTER section H</t>
        </is>
      </c>
      <c r="AG16" s="6" t="inlineStr"/>
      <c r="AH16" s="6" t="inlineStr">
        <is>
          <t>No</t>
        </is>
      </c>
      <c r="AI16" s="6" t="inlineStr"/>
      <c r="AJ16" s="6" t="inlineStr">
        <is>
          <t>SRC-11 canonical</t>
        </is>
      </c>
      <c r="AK16" s="6" t="inlineStr">
        <is>
          <t>REGISTER G.3 Q1, COMPARISON C1, SRC-06 D02, SRC-06 D09, SRC-07 01, SRC-07 10, v2-06 C1 (O1/O2)</t>
        </is>
      </c>
      <c r="AL16" s="6" t="inlineStr">
        <is>
          <t>S04</t>
        </is>
      </c>
    </row>
    <row r="17" ht="65.5" customHeight="1">
      <c r="A17" s="5" t="inlineStr">
        <is>
          <t>N-1</t>
        </is>
      </c>
      <c r="B17" s="6" t="inlineStr">
        <is>
          <t>Bill vs tokens as the objective, with token classes (fresh input, cache write, cache read, output) and a na...</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K2 Objective &amp; accounting</t>
        </is>
      </c>
      <c r="I17" s="6" t="inlineStr">
        <is>
          <t>G2 Before the affected pilot/arm</t>
        </is>
      </c>
      <c r="J17" s="6" t="inlineStr">
        <is>
          <t>High</t>
        </is>
      </c>
      <c r="K17" s="6" t="n">
        <v>28</v>
      </c>
      <c r="L17" s="6" t="inlineStr">
        <is>
          <t>W1 Decide</t>
        </is>
      </c>
      <c r="M17" s="6" t="inlineStr">
        <is>
          <t>S06</t>
        </is>
      </c>
      <c r="N17" s="6" t="inlineStr">
        <is>
          <t>Joaa</t>
        </is>
      </c>
      <c r="O17" s="6" t="inlineStr">
        <is>
          <t>Your decision on the criterion (C-D02)</t>
        </is>
      </c>
      <c r="P17" s="6" t="inlineStr">
        <is>
          <t>Partly</t>
        </is>
      </c>
      <c r="Q17" s="6" t="inlineStr">
        <is>
          <t>Decision</t>
        </is>
      </c>
      <c r="R17" s="6" t="inlineStr">
        <is>
          <t>Item</t>
        </is>
      </c>
      <c r="S17" s="6" t="inlineStr"/>
      <c r="T17"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17" s="6" t="inlineStr">
        <is>
          <t>Pending; same decision as C-D02, posed as Joaa's 19 Oct point. 2026-10-21 (AUTH-018): the supervisor's words name money cost per turn, tokens and response time (INT-T-002 L275, L302, L354); token classes are not discussed; see C-D02.</t>
        </is>
      </c>
      <c r="V17" s="6" t="inlineStr">
        <is>
          <t>Chosen estimand and the token classes reported.</t>
        </is>
      </c>
      <c r="W17" s="6" t="inlineStr">
        <is>
          <t>N-9</t>
        </is>
      </c>
      <c r="X17" s="6" t="inlineStr"/>
      <c r="Y17" s="6" t="inlineStr">
        <is>
          <t>Q-J02, Q-J03, Q-J24, Q-J26</t>
        </is>
      </c>
      <c r="Z17" s="6" t="inlineStr">
        <is>
          <t>USER-DECISION</t>
        </is>
      </c>
      <c r="AA17" s="6" t="inlineStr"/>
      <c r="AB17" s="6" t="inlineStr"/>
      <c r="AC17" s="6" t="inlineStr">
        <is>
          <t>n/a (new)</t>
        </is>
      </c>
      <c r="AD17" s="6" t="inlineStr">
        <is>
          <t>NEW</t>
        </is>
      </c>
      <c r="AE17" s="6" t="inlineStr">
        <is>
          <t>2026-10-21</t>
        </is>
      </c>
      <c r="AF17" s="6" t="inlineStr">
        <is>
          <t>INT-T-002 (requirements/intake/2026-10-21-supervisor-meeting-2026-10-21-notes-and-transcript.md); mapping design/ledger/notes/MEETINGS-MAPPING-20261021.md checked line by line by FND-0035 and FND-0036; REGISTER section H</t>
        </is>
      </c>
      <c r="AG17" s="6" t="inlineStr"/>
      <c r="AH17" s="6" t="inlineStr">
        <is>
          <t>No</t>
        </is>
      </c>
      <c r="AI17" s="6" t="inlineStr"/>
      <c r="AJ17" s="6" t="inlineStr">
        <is>
          <t>Review 19 Oct (section 5)</t>
        </is>
      </c>
      <c r="AK17" s="6" t="inlineStr">
        <is>
          <t>WhatsApp 19 Oct (billing), Joaa 19 Oct 12:15 (three token types)</t>
        </is>
      </c>
      <c r="AL17" s="6" t="inlineStr">
        <is>
          <t>S04</t>
        </is>
      </c>
    </row>
    <row r="18" ht="103" customHeight="1">
      <c r="A18" s="5" t="inlineStr">
        <is>
          <t>N-4</t>
        </is>
      </c>
      <c r="B18" s="6" t="inlineStr">
        <is>
          <t>Do output tokens (discovery requests, wasted or false-positive calls) enter the accounting?</t>
        </is>
      </c>
      <c r="C18" s="6" t="inlineStr">
        <is>
          <t>PARTLY ANSWERED</t>
        </is>
      </c>
      <c r="D18" s="6">
        <f>IFERROR(INDEX(Lists!$B$2:$B$14,MATCH(C18,Lists!$A$2:$A$14,0)),"?")</f>
        <v/>
      </c>
      <c r="E18" s="6">
        <f>IF(COUNTIFS(Links!$B$2:$B$600,A18,Links!$E$2:$E$600,"Yes")&gt;0,"REVISE","")</f>
        <v/>
      </c>
      <c r="F18" s="6">
        <f>COUNTIFS(Links!$B$2:$B$600,A18,Links!$D$2:$D$600,"No",Links!$C$2:$C$600,"&lt;&gt;INFORMS")</f>
        <v/>
      </c>
      <c r="G18" s="10" t="inlineStr">
        <is>
          <t>JOAA-DECISION</t>
        </is>
      </c>
      <c r="H18" s="6" t="inlineStr">
        <is>
          <t>K2 Objective &amp; accounting</t>
        </is>
      </c>
      <c r="I18" s="6" t="inlineStr">
        <is>
          <t>G2 Before the affected pilot/arm</t>
        </is>
      </c>
      <c r="J18" s="6" t="inlineStr">
        <is>
          <t>High</t>
        </is>
      </c>
      <c r="K18" s="6" t="n">
        <v>31</v>
      </c>
      <c r="L18" s="6" t="inlineStr">
        <is>
          <t>W1 Decide</t>
        </is>
      </c>
      <c r="M18" s="6" t="inlineStr">
        <is>
          <t>S06</t>
        </is>
      </c>
      <c r="N18" s="6" t="inlineStr">
        <is>
          <t>Joaa / you</t>
        </is>
      </c>
      <c r="O18" s="6" t="inlineStr">
        <is>
          <t>Logging of output tokens is on either way; record the decision with C-D02</t>
        </is>
      </c>
      <c r="P18" s="6" t="inlineStr">
        <is>
          <t>Partly</t>
        </is>
      </c>
      <c r="Q18" s="6" t="inlineStr">
        <is>
          <t>Decision</t>
        </is>
      </c>
      <c r="R18" s="6" t="inlineStr">
        <is>
          <t>Item</t>
        </is>
      </c>
      <c r="S18" s="6" t="inlineStr"/>
      <c r="T18" s="6" t="inlineStr">
        <is>
          <t>Do output tokens (discovery requests, wasted or false-positive calls) enter the accounting?</t>
        </is>
      </c>
      <c r="U18" s="6" t="inlineStr">
        <is>
          <t>v4 criterion excludes output tokens. A harness can log them regardless. 2026-10-21 (AUTH-018): he counts every message of a tool-using turn as cost: human message, thinking, tool call, tool response, AI response (INT-T-002 L230-L245), so output and thinking tokens are part of what he wants reduced; no explicit decision on reporting output tokens separately.</t>
        </is>
      </c>
      <c r="V18" s="6" t="inlineStr">
        <is>
          <t>Decision recorded; logging of output tokens is on either way.</t>
        </is>
      </c>
      <c r="W18" s="6" t="inlineStr">
        <is>
          <t>C-D02</t>
        </is>
      </c>
      <c r="X18" s="6" t="inlineStr"/>
      <c r="Y18" s="6" t="inlineStr">
        <is>
          <t>Q-J03</t>
        </is>
      </c>
      <c r="Z18" s="6" t="inlineStr">
        <is>
          <t>USER-DECISION</t>
        </is>
      </c>
      <c r="AA18" s="6" t="inlineStr">
        <is>
          <t>K8 Search initiation &amp; recovery</t>
        </is>
      </c>
      <c r="AB18" s="6" t="inlineStr"/>
      <c r="AC18" s="6" t="inlineStr">
        <is>
          <t>n/a (new)</t>
        </is>
      </c>
      <c r="AD18" s="6" t="inlineStr">
        <is>
          <t>NEW</t>
        </is>
      </c>
      <c r="AE18" s="6" t="inlineStr">
        <is>
          <t>2026-10-21</t>
        </is>
      </c>
      <c r="AF18" s="6" t="inlineStr">
        <is>
          <t>INT-T-002 (requirements/intake/2026-10-21-supervisor-meeting-2026-10-21-notes-and-transcript.md); mapping design/ledger/notes/MEETINGS-MAPPING-20261021.md checked line by line by FND-0035 and FND-0036; REGISTER section H</t>
        </is>
      </c>
      <c r="AG18" s="6" t="inlineStr"/>
      <c r="AH18" s="6" t="inlineStr">
        <is>
          <t>No</t>
        </is>
      </c>
      <c r="AI18" s="6" t="inlineStr"/>
      <c r="AJ18" s="6" t="inlineStr">
        <is>
          <t>Review 19 Oct (section 5)</t>
        </is>
      </c>
      <c r="AK18" s="6" t="inlineStr"/>
      <c r="AL18" s="6" t="inlineStr">
        <is>
          <t>S04</t>
        </is>
      </c>
    </row>
    <row r="19" ht="165.5" customHeight="1">
      <c r="A19" s="5" t="inlineStr">
        <is>
          <t>N-25</t>
        </is>
      </c>
      <c r="B19" s="6" t="inlineStr">
        <is>
          <t>Which deployment scenarios should the policy target (e.g. automated bug-solving cloud agent, customer-support agent)?</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K4 Memory &amp; sessions</t>
        </is>
      </c>
      <c r="I19" s="6" t="inlineStr">
        <is>
          <t>G2 Before the affected pilot/arm</t>
        </is>
      </c>
      <c r="J19" s="6" t="inlineStr">
        <is>
          <t>High</t>
        </is>
      </c>
      <c r="K19" s="6" t="n">
        <v>32</v>
      </c>
      <c r="L19" s="6" t="inlineStr">
        <is>
          <t>W1 Decide</t>
        </is>
      </c>
      <c r="M19" s="6" t="inlineStr">
        <is>
          <t>S06</t>
        </is>
      </c>
      <c r="N19" s="6" t="inlineStr">
        <is>
          <t>Joaa</t>
        </is>
      </c>
      <c r="O19" s="6" t="inlineStr">
        <is>
          <t>Choose scenarios for the pilots (you, or ask him)</t>
        </is>
      </c>
      <c r="P19" s="6" t="inlineStr">
        <is>
          <t>No</t>
        </is>
      </c>
      <c r="Q19" s="6" t="inlineStr">
        <is>
          <t>Decision</t>
        </is>
      </c>
      <c r="R19" s="6" t="inlineStr">
        <is>
          <t>Item</t>
        </is>
      </c>
      <c r="S19" s="6" t="inlineStr"/>
      <c r="T19"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19" s="6" t="inlineStr">
        <is>
          <t>Not previously a row; v4-04 section 1 only notes that memory 'matters for deployed agents'. The closest benchmark has no sessions (CAVEATS row 3). 2026-10-21 (AUTH-018): 'what you are talking about is a coding agent. Okay. The same problem is applicable for any kind of agent ... It can be a salesman, it can be a recruiter ... marketing' and 'for any kind of agent, the problem is the cost per turn' (INT-T-002 L345-L354). The student's one-hour idle-gap proposal (L331-L345) gets no explicit yes or no (only 'Yes. Yes.' backchannel; the Gemini note's 'agreed' is a machine summary). No scenario is chosen.</t>
        </is>
      </c>
      <c r="V19" s="6" t="inlineStr">
        <is>
          <t>Scenario(s) named and the session pattern stated.</t>
        </is>
      </c>
      <c r="W19" s="6" t="inlineStr"/>
      <c r="X19" s="6" t="inlineStr"/>
      <c r="Y19" s="6" t="inlineStr">
        <is>
          <t>Q-J25</t>
        </is>
      </c>
      <c r="Z19" s="6" t="inlineStr">
        <is>
          <t>USER-DECISION</t>
        </is>
      </c>
      <c r="AA19" s="6" t="inlineStr">
        <is>
          <t>K3 Policy form</t>
        </is>
      </c>
      <c r="AB19" s="6" t="inlineStr">
        <is>
          <t>DEC</t>
        </is>
      </c>
      <c r="AC19" s="6" t="inlineStr">
        <is>
          <t>n/a (new)</t>
        </is>
      </c>
      <c r="AD19" s="6" t="inlineStr">
        <is>
          <t>NEW</t>
        </is>
      </c>
      <c r="AE19" s="6" t="inlineStr">
        <is>
          <t>2026-10-21</t>
        </is>
      </c>
      <c r="AF19" s="6" t="inlineStr">
        <is>
          <t>INT-T-002 (requirements/intake/2026-10-21-supervisor-meeting-2026-10-21-notes-and-transcript.md); mapping design/ledger/notes/MEETINGS-MAPPING-20261021.md checked line by line by FND-0035 and FND-0036; REGISTER section H</t>
        </is>
      </c>
      <c r="AG19" s="6" t="inlineStr"/>
      <c r="AH19" s="6" t="inlineStr">
        <is>
          <t>No</t>
        </is>
      </c>
      <c r="AI19" s="6" t="inlineStr"/>
      <c r="AJ19" s="6" t="inlineStr">
        <is>
          <t>Joaa 19 Oct (Supervisor statements sheet)</t>
        </is>
      </c>
      <c r="AK19" s="6" t="inlineStr">
        <is>
          <t>Joaa 19 Oct 12:16 (deployed systems), Joaa 19 Oct 12:16 (deployed systems)</t>
        </is>
      </c>
      <c r="AL19" s="6" t="inlineStr">
        <is>
          <t>S06</t>
        </is>
      </c>
    </row>
    <row r="20" ht="300" customHeight="1">
      <c r="A20" s="5" t="inlineStr">
        <is>
          <t>N-26</t>
        </is>
      </c>
      <c r="B20" s="6" t="inlineStr">
        <is>
          <t>Caching mechanisms as policy variables: implicit, explicit (breakpoints, retention) or recorded only?</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K9 Cache &amp; billing</t>
        </is>
      </c>
      <c r="I20" s="6" t="inlineStr">
        <is>
          <t>G2 Before the affected pilot/arm</t>
        </is>
      </c>
      <c r="J20" s="6" t="inlineStr">
        <is>
          <t>High</t>
        </is>
      </c>
      <c r="K20" s="6" t="n">
        <v>33</v>
      </c>
      <c r="L20" s="6" t="inlineStr">
        <is>
          <t>W1 Decide</t>
        </is>
      </c>
      <c r="M20" s="6" t="inlineStr">
        <is>
          <t>S06</t>
        </is>
      </c>
      <c r="N20" s="6" t="inlineStr">
        <is>
          <t>Joaa</t>
        </is>
      </c>
      <c r="O20" s="6" t="inlineStr">
        <is>
          <t>AS-15; the contract lists caching variables once the scope (N-28) is settled</t>
        </is>
      </c>
      <c r="P20" s="6" t="inlineStr">
        <is>
          <t>Partly</t>
        </is>
      </c>
      <c r="Q20" s="6" t="inlineStr">
        <is>
          <t>Decision</t>
        </is>
      </c>
      <c r="R20" s="6" t="inlineStr">
        <is>
          <t>Item</t>
        </is>
      </c>
      <c r="S20" s="6" t="inlineStr"/>
      <c r="T20"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0"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 2026-10-21 (AUTH-018): his statement that added information can stay in the explicit cache for the whole conversation at 'negligible cost' (INT-T-002 L207-L209) is in the 'in theory' part (L221); it is recorded as an assertion to test (AS-15).</t>
        </is>
      </c>
      <c r="V20" s="6" t="inlineStr">
        <is>
          <t>Variables and recorded-only items listed in the evaluation contract.</t>
        </is>
      </c>
      <c r="W20" s="6" t="inlineStr"/>
      <c r="X20" s="6" t="inlineStr">
        <is>
          <t>C-S03, N-5, C-D02</t>
        </is>
      </c>
      <c r="Y20" s="6" t="inlineStr">
        <is>
          <t>Q-J26</t>
        </is>
      </c>
      <c r="Z20" s="6" t="inlineStr">
        <is>
          <t>DESK-ANALYSIS</t>
        </is>
      </c>
      <c r="AA20" s="6" t="inlineStr">
        <is>
          <t>K2 Objective &amp; accounting</t>
        </is>
      </c>
      <c r="AB20" s="6" t="inlineStr">
        <is>
          <t>DEC</t>
        </is>
      </c>
      <c r="AC20" s="6" t="inlineStr">
        <is>
          <t>n/a (new)</t>
        </is>
      </c>
      <c r="AD20" s="6" t="inlineStr">
        <is>
          <t>NEW</t>
        </is>
      </c>
      <c r="AE20" s="6" t="inlineStr">
        <is>
          <t>2026-10-21</t>
        </is>
      </c>
      <c r="AF20" s="6" t="inlineStr">
        <is>
          <t>INT-T-002 (requirements/intake/2026-10-21-supervisor-meeting-2026-10-21-notes-and-transcript.md); mapping design/ledger/notes/MEETINGS-MAPPING-20261021.md checked line by line by FND-0035 and FND-0036; REGISTER section H</t>
        </is>
      </c>
      <c r="AG20" s="6" t="inlineStr"/>
      <c r="AH20" s="6" t="inlineStr">
        <is>
          <t>No</t>
        </is>
      </c>
      <c r="AI20" s="6" t="inlineStr"/>
      <c r="AJ20" s="6" t="inlineStr">
        <is>
          <t>Joaa 19 Oct (Supervisor statements sheet)</t>
        </is>
      </c>
      <c r="AK20" s="6" t="inlineStr">
        <is>
          <t>Joaa 19 Oct 12:15 (implicit and explicit caching), Joaa 19 Oct 12:15 (implicit and explicit caching)</t>
        </is>
      </c>
      <c r="AL20" s="6" t="inlineStr">
        <is>
          <t>S06</t>
        </is>
      </c>
    </row>
    <row r="21" ht="128" customHeight="1">
      <c r="A21" s="5" t="inlineStr">
        <is>
          <t>N-27</t>
        </is>
      </c>
      <c r="B21" s="6" t="inlineStr">
        <is>
          <t>Anticipating needs before the first request: new user (role/deployment) vs returning user (memory)</t>
        </is>
      </c>
      <c r="C21" s="6" t="inlineStr">
        <is>
          <t>PARTLY ANSWERED</t>
        </is>
      </c>
      <c r="D21" s="6">
        <f>IFERROR(INDEX(Lists!$B$2:$B$14,MATCH(C21,Lists!$A$2:$A$14,0)),"?")</f>
        <v/>
      </c>
      <c r="E21" s="6">
        <f>IF(COUNTIFS(Links!$B$2:$B$600,A21,Links!$E$2:$E$600,"Yes")&gt;0,"REVISE","")</f>
        <v/>
      </c>
      <c r="F21" s="6">
        <f>COUNTIFS(Links!$B$2:$B$600,A21,Links!$D$2:$D$600,"No",Links!$C$2:$C$600,"&lt;&gt;INFORMS")</f>
        <v/>
      </c>
      <c r="G21" s="10" t="inlineStr">
        <is>
          <t>JOAA-DECISION</t>
        </is>
      </c>
      <c r="H21" s="6" t="inlineStr">
        <is>
          <t>K4 Memory &amp; sessions</t>
        </is>
      </c>
      <c r="I21" s="6" t="inlineStr">
        <is>
          <t>G2 Before the affected pilot/arm</t>
        </is>
      </c>
      <c r="J21" s="6" t="inlineStr">
        <is>
          <t>High</t>
        </is>
      </c>
      <c r="K21" s="6" t="n">
        <v>34</v>
      </c>
      <c r="L21" s="6" t="inlineStr">
        <is>
          <t>W1 Decide</t>
        </is>
      </c>
      <c r="M21" s="6" t="inlineStr">
        <is>
          <t>S06</t>
        </is>
      </c>
      <c r="N21" s="6" t="inlineStr">
        <is>
          <t>Joaa</t>
        </is>
      </c>
      <c r="O21" s="6" t="inlineStr">
        <is>
          <t>Define the arm with the contract</t>
        </is>
      </c>
      <c r="P21" s="6" t="inlineStr">
        <is>
          <t>Partly</t>
        </is>
      </c>
      <c r="Q21" s="6" t="inlineStr">
        <is>
          <t>Decision</t>
        </is>
      </c>
      <c r="R21" s="6" t="inlineStr">
        <is>
          <t>Item</t>
        </is>
      </c>
      <c r="S21" s="6" t="inlineStr"/>
      <c r="T21"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1" s="6" t="inlineStr">
        <is>
          <t>v4 already starts small and appends on demand; role- or memory-seeded tools are listed as an arm candidate (C-D08/ARMS-CACHE); anticipating a new user had no row until now. 2026-10-21 (AUTH-018): in the practical part he describes giving the relevant part of memory first and more when asked (INT-T-002 L384), and in the theory part not giving all the context 'just by saying hello' (L211-L216); in scope as relevant-memory-first loading; no arm set defined.</t>
        </is>
      </c>
      <c r="V21" s="6" t="inlineStr">
        <is>
          <t>In or out of scope; if in, an arm set is defined.</t>
        </is>
      </c>
      <c r="W21" s="6" t="inlineStr"/>
      <c r="X21" s="6" t="inlineStr">
        <is>
          <t>N-2, C-S15</t>
        </is>
      </c>
      <c r="Y21" s="6" t="inlineStr">
        <is>
          <t>Q-J27</t>
        </is>
      </c>
      <c r="Z21" s="6" t="inlineStr">
        <is>
          <t>TEST-PILOT</t>
        </is>
      </c>
      <c r="AA21" s="6" t="inlineStr">
        <is>
          <t>K3 Policy form</t>
        </is>
      </c>
      <c r="AB21" s="6" t="inlineStr">
        <is>
          <t>DEC+DATA</t>
        </is>
      </c>
      <c r="AC21" s="6" t="inlineStr">
        <is>
          <t>n/a (new)</t>
        </is>
      </c>
      <c r="AD21" s="6" t="inlineStr">
        <is>
          <t>NEW</t>
        </is>
      </c>
      <c r="AE21" s="6" t="inlineStr">
        <is>
          <t>2026-10-21</t>
        </is>
      </c>
      <c r="AF21" s="6" t="inlineStr">
        <is>
          <t>INT-T-002 (requirements/intake/2026-10-21-supervisor-meeting-2026-10-21-notes-and-transcript.md); mapping design/ledger/notes/MEETINGS-MAPPING-20261021.md checked line by line by FND-0035 and FND-0036; REGISTER section H</t>
        </is>
      </c>
      <c r="AG21" s="6" t="inlineStr"/>
      <c r="AH21" s="6" t="inlineStr">
        <is>
          <t>No</t>
        </is>
      </c>
      <c r="AI21" s="6" t="inlineStr"/>
      <c r="AJ21" s="6" t="inlineStr">
        <is>
          <t>Joaa 19 Oct (Supervisor statements sheet)</t>
        </is>
      </c>
      <c r="AK21" s="6" t="inlineStr">
        <is>
          <t>Joaa 19 Oct 12:22 (probably best: mimic context); Joaa 19 Oct 12:25 (context grows), Joaa 19 Oct 12:22 (probably best: mimic context), Joaa 19 Oct 12:25 (context grows)</t>
        </is>
      </c>
      <c r="AL21" s="6" t="inlineStr">
        <is>
          <t>S06</t>
        </is>
      </c>
    </row>
    <row r="22" ht="128" customHeight="1">
      <c r="A22" s="5" t="inlineStr">
        <is>
          <t>N-22</t>
        </is>
      </c>
      <c r="B22" s="6" t="inlineStr">
        <is>
          <t>Joaa's proposal: combine MCP server context, memory and explicit caching to find the best policy</t>
        </is>
      </c>
      <c r="C22" s="6" t="inlineStr">
        <is>
          <t>PARTLY ANSWERED</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35</v>
      </c>
      <c r="L22" s="6" t="inlineStr">
        <is>
          <t>W1 Decide</t>
        </is>
      </c>
      <c r="M22" s="6" t="inlineStr">
        <is>
          <t>S06</t>
        </is>
      </c>
      <c r="N22" s="6" t="inlineStr">
        <is>
          <t>Joaa</t>
        </is>
      </c>
      <c r="O22" s="6" t="inlineStr">
        <is>
          <t>N-28 and AS-15</t>
        </is>
      </c>
      <c r="P22" s="6" t="inlineStr">
        <is>
          <t>Partly</t>
        </is>
      </c>
      <c r="Q22" s="6" t="inlineStr">
        <is>
          <t>Decision</t>
        </is>
      </c>
      <c r="R22" s="6" t="inlineStr">
        <is>
          <t>Sub-item</t>
        </is>
      </c>
      <c r="S22" s="6" t="inlineStr">
        <is>
          <t>C-D07</t>
        </is>
      </c>
      <c r="T22"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2" s="6" t="inlineStr">
        <is>
          <t>Each of the three has separate evidence in the repo; their combination has not been tested. 2026-10-21 (AUTH-018): explicit caching 'is also applicable for memory ... for knowledge' (INT-T-002 L197), said in the part he calls 'all in theory' (L221); 'back to practical' he keeps memory and tool calls only (L223-L225) and does not return to caching. The combination is narrowed to tools and memory; whether explicit caching is part of the practical scope is not said.</t>
        </is>
      </c>
      <c r="V22" s="6" t="inlineStr">
        <is>
          <t>In or out of scope; if in, an arm set is defined.</t>
        </is>
      </c>
      <c r="W22" s="6" t="inlineStr">
        <is>
          <t>N-9</t>
        </is>
      </c>
      <c r="X22" s="6" t="inlineStr"/>
      <c r="Y22" s="6" t="inlineStr">
        <is>
          <t>Q-J05, Q-J06</t>
        </is>
      </c>
      <c r="Z22" s="6" t="inlineStr">
        <is>
          <t>TEST-PILOT</t>
        </is>
      </c>
      <c r="AA22" s="6" t="inlineStr"/>
      <c r="AB22" s="6" t="inlineStr">
        <is>
          <t>DEC+DATA</t>
        </is>
      </c>
      <c r="AC22" s="6" t="inlineStr">
        <is>
          <t>n/a (new)</t>
        </is>
      </c>
      <c r="AD22" s="6" t="inlineStr">
        <is>
          <t>NEW (repo sweep)</t>
        </is>
      </c>
      <c r="AE22" s="6" t="inlineStr">
        <is>
          <t>2026-10-21</t>
        </is>
      </c>
      <c r="AF22" s="6" t="inlineStr">
        <is>
          <t>INT-T-002 (requirements/intake/2026-10-21-supervisor-meeting-2026-10-21-notes-and-transcript.md); mapping design/ledger/notes/MEETINGS-MAPPING-20261021.md checked line by line by FND-0035 and FND-0036; REGISTER section H</t>
        </is>
      </c>
      <c r="AG22" s="6" t="inlineStr"/>
      <c r="AH22" s="6" t="inlineStr">
        <is>
          <t>No</t>
        </is>
      </c>
      <c r="AI22" s="6" t="inlineStr"/>
      <c r="AJ22" s="6" t="inlineStr">
        <is>
          <t>review 19 Oct section 3.2</t>
        </is>
      </c>
      <c r="AK22" s="6" t="inlineStr">
        <is>
          <t>Joaa 19 Oct 12:22 (combine all three)</t>
        </is>
      </c>
      <c r="AL22" s="6" t="inlineStr">
        <is>
          <t>S06</t>
        </is>
      </c>
    </row>
    <row r="23" ht="78" customHeight="1">
      <c r="A23" s="5" t="inlineStr">
        <is>
          <t>C-D03/ANSWERER</t>
        </is>
      </c>
      <c r="B23" s="6" t="inlineStr">
        <is>
          <t>Who or what answers each stage's question (model, rule, score)?</t>
        </is>
      </c>
      <c r="C23" s="6" t="inlineStr">
        <is>
          <t>PARTLY ANSWERED</t>
        </is>
      </c>
      <c r="D23" s="6">
        <f>IFERROR(INDEX(Lists!$B$2:$B$14,MATCH(C23,Lists!$A$2:$A$14,0)),"?")</f>
        <v/>
      </c>
      <c r="E23" s="6">
        <f>IF(COUNTIFS(Links!$B$2:$B$600,A23,Links!$E$2:$E$600,"Yes")&gt;0,"REVISE","")</f>
        <v/>
      </c>
      <c r="F23" s="6">
        <f>COUNTIFS(Links!$B$2:$B$600,A23,Links!$D$2:$D$600,"No",Links!$C$2:$C$600,"&lt;&gt;INFORMS")</f>
        <v/>
      </c>
      <c r="G23" s="10" t="inlineStr">
        <is>
          <t>JOAA-DECISION</t>
        </is>
      </c>
      <c r="H23" s="6" t="inlineStr">
        <is>
          <t>K3 Policy form</t>
        </is>
      </c>
      <c r="I23" s="6" t="inlineStr">
        <is>
          <t>G2 Before the affected pilot/arm</t>
        </is>
      </c>
      <c r="J23" s="6" t="inlineStr">
        <is>
          <t>High</t>
        </is>
      </c>
      <c r="K23" s="6" t="n">
        <v>36</v>
      </c>
      <c r="L23" s="6" t="inlineStr">
        <is>
          <t>W1 Decide</t>
        </is>
      </c>
      <c r="M23" s="6" t="inlineStr">
        <is>
          <t>S07</t>
        </is>
      </c>
      <c r="N23" s="6" t="inlineStr">
        <is>
          <t>Joaa</t>
        </is>
      </c>
      <c r="O23" s="6" t="inlineStr">
        <is>
          <t>Decided by evaluation (pilot design)</t>
        </is>
      </c>
      <c r="P23" s="6" t="inlineStr">
        <is>
          <t>No</t>
        </is>
      </c>
      <c r="Q23" s="6" t="inlineStr">
        <is>
          <t>Decision</t>
        </is>
      </c>
      <c r="R23" s="6" t="inlineStr">
        <is>
          <t>Sub-item</t>
        </is>
      </c>
      <c r="S23" s="6" t="inlineStr">
        <is>
          <t>C-D03</t>
        </is>
      </c>
      <c r="T23" s="6" t="inlineStr">
        <is>
          <t>The excerpt does not say; v4 treats system-vs-model as an empirical question.</t>
        </is>
      </c>
      <c r="U23" s="6" t="inlineStr">
        <is>
          <t>v4 leaves it empirical. 2026-10-21 (AUTH-018): stage one is decided from context, who invokes the agent (INT-T-003 L261); for a later stage he names Executor-style capability listing or semantic narrowing, 'which one is better ... You have to figure it out' (L306-L308).</t>
        </is>
      </c>
      <c r="V23" s="6" t="inlineStr">
        <is>
          <t>Joaa's answer recorded in his words.</t>
        </is>
      </c>
      <c r="W23" s="6" t="inlineStr"/>
      <c r="X23" s="6" t="inlineStr"/>
      <c r="Y23" s="6" t="inlineStr">
        <is>
          <t>Q-J11</t>
        </is>
      </c>
      <c r="Z23" s="6" t="inlineStr"/>
      <c r="AA23" s="6" t="inlineStr"/>
      <c r="AB23" s="6" t="inlineStr">
        <is>
          <t>DEC</t>
        </is>
      </c>
      <c r="AC23" s="6" t="inlineStr">
        <is>
          <t>n/a (sub-item)</t>
        </is>
      </c>
      <c r="AD23" s="6" t="inlineStr">
        <is>
          <t>NEW (repo sweep)</t>
        </is>
      </c>
      <c r="AE23" s="6" t="inlineStr">
        <is>
          <t>2026-10-21</t>
        </is>
      </c>
      <c r="AF23" s="6" t="inlineStr">
        <is>
          <t>INT-T-003 (requirements/intake/2026-10-21-supervisor-meeting-2026-10-14-notes-and-transcript.md); mapping design/ledger/notes/MEETINGS-MAPPING-20261021.md checked line by line by FND-0035 and FND-0036; REGISTER section H</t>
        </is>
      </c>
      <c r="AG23" s="6" t="inlineStr"/>
      <c r="AH23" s="6" t="inlineStr">
        <is>
          <t>No</t>
        </is>
      </c>
      <c r="AI23" s="6" t="inlineStr"/>
      <c r="AJ23" s="6" t="inlineStr">
        <is>
          <t>repo: REGISTER / COMPARISON</t>
        </is>
      </c>
      <c r="AK23" s="6" t="inlineStr">
        <is>
          <t>COMPARISON section 4</t>
        </is>
      </c>
      <c r="AL23" s="6" t="inlineStr">
        <is>
          <t>S05</t>
        </is>
      </c>
    </row>
    <row r="24" ht="115.5" customHeight="1">
      <c r="A24" s="5" t="inlineStr">
        <is>
          <t>C-D03/CONTEXT</t>
        </is>
      </c>
      <c r="B24" s="6" t="inlineStr">
        <is>
          <t>What do 'context' and 'scenario' mean (the request, the trajectory so far, the deployment)?</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K3 Policy form</t>
        </is>
      </c>
      <c r="I24" s="6" t="inlineStr">
        <is>
          <t>G2 Before the affected pilot/arm</t>
        </is>
      </c>
      <c r="J24" s="6" t="inlineStr">
        <is>
          <t>High</t>
        </is>
      </c>
      <c r="K24" s="6" t="n">
        <v>37</v>
      </c>
      <c r="L24" s="6" t="inlineStr">
        <is>
          <t>W1 Decide</t>
        </is>
      </c>
      <c r="M24" s="6" t="inlineStr">
        <is>
          <t>S07</t>
        </is>
      </c>
      <c r="N24" s="6" t="inlineStr">
        <is>
          <t>Joaa</t>
        </is>
      </c>
      <c r="O24" s="6" t="inlineStr">
        <is>
          <t>Use both senses explicitly in the contract; ask only if a choice depends on it</t>
        </is>
      </c>
      <c r="P24" s="6" t="inlineStr">
        <is>
          <t>No</t>
        </is>
      </c>
      <c r="Q24" s="6" t="inlineStr">
        <is>
          <t>Decision</t>
        </is>
      </c>
      <c r="R24" s="6" t="inlineStr">
        <is>
          <t>Sub-item</t>
        </is>
      </c>
      <c r="S24" s="6" t="inlineStr">
        <is>
          <t>C-D03</t>
        </is>
      </c>
      <c r="T24" s="6" t="inlineStr">
        <is>
          <t>REQ-O14-09 / brief Q2: 'based on the context and based on the scenario it will be different' are undefined; the excerpt may be prescriptive or a prediction.</t>
        </is>
      </c>
      <c r="U24" s="6" t="inlineStr">
        <is>
          <t>Open. 2026-10-21 (AUTH-018): two senses in his words: on 14 October context is the situation, who invokes the agent and in what role ('based on who is invoking ... you will change the tools', INT-T-003 L261); on 21 October context is what the model is given: tools, knowledge, memory, invocation settings, input and output modalities (INT-T-002 L176-L190). 'Scenario' is not defined separately.</t>
        </is>
      </c>
      <c r="V24" s="6" t="inlineStr">
        <is>
          <t>Joaa's answer recorded in his words.</t>
        </is>
      </c>
      <c r="W24" s="6" t="inlineStr"/>
      <c r="X24" s="6" t="inlineStr"/>
      <c r="Y24" s="6" t="inlineStr">
        <is>
          <t>Q-J09, Q-J25</t>
        </is>
      </c>
      <c r="Z24" s="6" t="inlineStr"/>
      <c r="AA24" s="6" t="inlineStr"/>
      <c r="AB24" s="6" t="inlineStr">
        <is>
          <t>DEC</t>
        </is>
      </c>
      <c r="AC24" s="6" t="inlineStr">
        <is>
          <t>n/a (sub-item)</t>
        </is>
      </c>
      <c r="AD24" s="6" t="inlineStr">
        <is>
          <t>NEW (repo sweep)</t>
        </is>
      </c>
      <c r="AE24" s="6" t="inlineStr">
        <is>
          <t>2026-10-21</t>
        </is>
      </c>
      <c r="AF24"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24" s="6" t="inlineStr"/>
      <c r="AH24" s="6" t="inlineStr">
        <is>
          <t>No</t>
        </is>
      </c>
      <c r="AI24" s="6" t="inlineStr"/>
      <c r="AJ24" s="6" t="inlineStr">
        <is>
          <t>repo: REGISTER / COMPARISON</t>
        </is>
      </c>
      <c r="AK24" s="6" t="inlineStr">
        <is>
          <t>REQ-O14-09, v4-01 Q2</t>
        </is>
      </c>
      <c r="AL24" s="6" t="inlineStr">
        <is>
          <t>S05</t>
        </is>
      </c>
    </row>
    <row r="25" ht="53" customHeight="1">
      <c r="A25" s="5" t="inlineStr">
        <is>
          <t>C-R02/C10-13</t>
        </is>
      </c>
      <c r="B25" s="6" t="inlineStr">
        <is>
          <t>Offline/runtime label, D-node presentation, G vs C-A, A1-A5 disagreements</t>
        </is>
      </c>
      <c r="C25" s="6" t="inlineStr">
        <is>
          <t>PARTLY ANSWERED</t>
        </is>
      </c>
      <c r="D25" s="6">
        <f>IFERROR(INDEX(Lists!$B$2:$B$14,MATCH(C25,Lists!$A$2:$A$14,0)),"?")</f>
        <v/>
      </c>
      <c r="E25" s="6">
        <f>IF(COUNTIFS(Links!$B$2:$B$600,A25,Links!$E$2:$E$600,"Yes")&gt;0,"REVISE","")</f>
        <v/>
      </c>
      <c r="F25" s="6">
        <f>COUNTIFS(Links!$B$2:$B$600,A25,Links!$D$2:$D$600,"No",Links!$C$2:$C$600,"&lt;&gt;INFORMS")</f>
        <v/>
      </c>
      <c r="G25" s="8" t="inlineStr">
        <is>
          <t>RECORDS-AT-HAND</t>
        </is>
      </c>
      <c r="H25" s="6" t="inlineStr">
        <is>
          <t>K17 Record repair &amp; procedure error</t>
        </is>
      </c>
      <c r="I25" s="6" t="inlineStr">
        <is>
          <t>G5 Housekeeping / no block</t>
        </is>
      </c>
      <c r="J25" s="6" t="inlineStr">
        <is>
          <t>Low</t>
        </is>
      </c>
      <c r="K25" s="6" t="n">
        <v>39</v>
      </c>
      <c r="L25" s="6" t="inlineStr">
        <is>
          <t>W1 Decide</t>
        </is>
      </c>
      <c r="M25" s="6" t="inlineStr">
        <is>
          <t>S07</t>
        </is>
      </c>
      <c r="N25" s="6" t="inlineStr">
        <is>
          <t>You (presentation); team (E6)</t>
        </is>
      </c>
      <c r="O25" s="6" t="inlineStr">
        <is>
          <t>Lead drafts the fix; you approve</t>
        </is>
      </c>
      <c r="P25" s="6" t="inlineStr">
        <is>
          <t>Partly</t>
        </is>
      </c>
      <c r="Q25" s="6" t="inlineStr">
        <is>
          <t>Disagreement</t>
        </is>
      </c>
      <c r="R25" s="6" t="inlineStr">
        <is>
          <t>Sub-item</t>
        </is>
      </c>
      <c r="S25" s="6" t="inlineStr">
        <is>
          <t>C-R02</t>
        </is>
      </c>
      <c r="T25" s="6" t="inlineStr">
        <is>
          <t>SRC-06 C10-C13 (grouped in SRC-11 D4): label accepted as accurate; D-node presentation is the user's decision; G vs C-A has no winner and selection inflation is unmeasured; A1-A5 disagreements persist; A6 withdrawn in v3.</t>
        </is>
      </c>
      <c r="U25" s="6" t="inlineStr">
        <is>
          <t>Presentation decided by the lead (AUTH-010); retained disagreements listed in v2-06 and v3-04.</t>
        </is>
      </c>
      <c r="V25" s="6" t="inlineStr">
        <is>
          <t>Independent re-check and a dated fix.</t>
        </is>
      </c>
      <c r="W25" s="6" t="inlineStr"/>
      <c r="X25" s="6" t="inlineStr"/>
      <c r="Y25" s="6" t="inlineStr">
        <is>
          <t>Q-U10</t>
        </is>
      </c>
      <c r="Z25" s="6" t="inlineStr"/>
      <c r="AA25" s="6" t="inlineStr"/>
      <c r="AB25" s="6" t="inlineStr">
        <is>
          <t>RECORD+DATA</t>
        </is>
      </c>
      <c r="AC25" s="6" t="inlineStr">
        <is>
          <t>n/a (sub-item)</t>
        </is>
      </c>
      <c r="AD25" s="6" t="inlineStr">
        <is>
          <t>NEW (SRC-11 sub-row)</t>
        </is>
      </c>
      <c r="AE25" s="6" t="inlineStr">
        <is>
          <t>2026-10-19</t>
        </is>
      </c>
      <c r="AF25" s="6" t="inlineStr">
        <is>
          <t>WD-019/020; v2-06 section A; v3-04 section 3</t>
        </is>
      </c>
      <c r="AG25" s="6" t="inlineStr"/>
      <c r="AH25" s="6" t="inlineStr">
        <is>
          <t>No for presentation</t>
        </is>
      </c>
      <c r="AI25" s="6" t="inlineStr"/>
      <c r="AJ25" s="6" t="inlineStr">
        <is>
          <t>SRC-11 section D4</t>
        </is>
      </c>
      <c r="AK25" s="6" t="inlineStr">
        <is>
          <t>SRC-06 C10-C13, v2-06 A1-A5</t>
        </is>
      </c>
      <c r="AL25" s="6" t="inlineStr">
        <is>
          <t>S05</t>
        </is>
      </c>
    </row>
    <row r="26" ht="103" customHeight="1">
      <c r="A26" s="5" t="inlineStr">
        <is>
          <t>N-28</t>
        </is>
      </c>
      <c r="B26" s="6" t="inlineStr">
        <is>
          <t>How the 21 Oct scope (memory and tool calls) relates to the 14 Oct staged tool-filtering graph</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K3 Policy form</t>
        </is>
      </c>
      <c r="I26" s="6" t="inlineStr">
        <is>
          <t>G1 Before any implementation</t>
        </is>
      </c>
      <c r="J26" s="6" t="inlineStr">
        <is>
          <t>High</t>
        </is>
      </c>
      <c r="K26" s="6" t="n">
        <v>40</v>
      </c>
      <c r="L26" s="6" t="inlineStr">
        <is>
          <t>W1 Decide</t>
        </is>
      </c>
      <c r="M26" s="6" t="inlineStr">
        <is>
          <t>S07</t>
        </is>
      </c>
      <c r="N26" s="6" t="inlineStr">
        <is>
          <t>Joaa and you</t>
        </is>
      </c>
      <c r="O26" s="6" t="inlineStr">
        <is>
          <t>Ask Q-J30, or decide and tell him</t>
        </is>
      </c>
      <c r="P26" s="6" t="inlineStr">
        <is>
          <t>No</t>
        </is>
      </c>
      <c r="Q26" s="6" t="inlineStr">
        <is>
          <t>Decision</t>
        </is>
      </c>
      <c r="R26" s="6" t="inlineStr">
        <is>
          <t>Item</t>
        </is>
      </c>
      <c r="S26" s="6" t="inlineStr"/>
      <c r="T26" s="6" t="inlineStr">
        <is>
          <t>On 14 October the supervisor prescribed a staged graph that filters tools, with re-adding (INT-T-003 L386-L404); on 21 October he narrowed the practical scope to memory and tool calls, memory in service of tool calls (INT-T-002 L223-L225, L390), without mentioning the graph. Open: is tool filtering one part of a memory-and-tools policy (memory deciding which tools are offered), does the graph remain the policy's form, and which comparison is the thesis's primary one.</t>
        </is>
      </c>
      <c r="U26" s="6" t="inlineStr">
        <is>
          <t>Both statements are recorded (REGISTER H.2). Nothing in the transcripts says the graph was dropped or kept.</t>
        </is>
      </c>
      <c r="V26" s="6" t="inlineStr">
        <is>
          <t>The supervisor's answer, or your decision, recorded in words.</t>
        </is>
      </c>
      <c r="W26" s="6" t="inlineStr"/>
      <c r="X26" s="6" t="inlineStr"/>
      <c r="Y26" s="6" t="inlineStr">
        <is>
          <t>Q-J30</t>
        </is>
      </c>
      <c r="Z26" s="6" t="inlineStr"/>
      <c r="AA26" s="6" t="inlineStr"/>
      <c r="AB26" s="6" t="inlineStr">
        <is>
          <t>DEC</t>
        </is>
      </c>
      <c r="AC26" s="6" t="inlineStr">
        <is>
          <t>n/a (new, 21 Oct meeting)</t>
        </is>
      </c>
      <c r="AD26" s="6" t="inlineStr">
        <is>
          <t>NEW (supervisor meeting 2026-10-21)</t>
        </is>
      </c>
      <c r="AE26" s="6" t="inlineStr">
        <is>
          <t>2026-10-21</t>
        </is>
      </c>
      <c r="AF26"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26" s="6" t="inlineStr"/>
      <c r="AH26" s="6" t="inlineStr">
        <is>
          <t>No</t>
        </is>
      </c>
      <c r="AI26" s="6" t="inlineStr"/>
      <c r="AJ26" s="6" t="inlineStr">
        <is>
          <t>Supervisor meetings intake (AUTH-018)</t>
        </is>
      </c>
      <c r="AK26" s="6" t="inlineStr"/>
      <c r="AL26" s="6" t="inlineStr">
        <is>
          <t>S05</t>
        </is>
      </c>
    </row>
    <row r="27" ht="153" customHeight="1">
      <c r="A27" s="5" t="inlineStr">
        <is>
          <t>C-D03</t>
        </is>
      </c>
      <c r="B27" s="6" t="inlineStr">
        <is>
          <t>Is the staged question-per-step form binding, or is a policy whose stages appear only where a test justifie...</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K3 Policy form</t>
        </is>
      </c>
      <c r="I27" s="6" t="inlineStr">
        <is>
          <t>G2 Before the affected pilot/arm</t>
        </is>
      </c>
      <c r="J27" s="6" t="inlineStr">
        <is>
          <t>High</t>
        </is>
      </c>
      <c r="K27" s="6" t="n">
        <v>42</v>
      </c>
      <c r="L27" s="6" t="inlineStr">
        <is>
          <t>W1 Decide</t>
        </is>
      </c>
      <c r="M27" s="6" t="inlineStr">
        <is>
          <t>S07</t>
        </is>
      </c>
      <c r="N27" s="6" t="inlineStr">
        <is>
          <t>Joaa</t>
        </is>
      </c>
      <c r="O27" s="6" t="inlineStr">
        <is>
          <t>N-28 (supervisor and you)</t>
        </is>
      </c>
      <c r="P27" s="6" t="inlineStr">
        <is>
          <t>No</t>
        </is>
      </c>
      <c r="Q27" s="6" t="inlineStr">
        <is>
          <t>Decision</t>
        </is>
      </c>
      <c r="R27" s="6" t="inlineStr">
        <is>
          <t>Item</t>
        </is>
      </c>
      <c r="S27" s="6" t="inlineStr"/>
      <c r="T27" s="6" t="inlineStr">
        <is>
          <t>Is the staged question-per-step form binding, or is a policy whose stages appear only where a test justifies them acceptable (including zero narrowing stages)?</t>
        </is>
      </c>
      <c r="U27" s="6" t="inlineStr">
        <is>
          <t>v4 keeps stage count as a study output; Joaa's 19 Oct points do not address it (per your account). 2026-10-21 (AUTH-018): on 14 October the form is prescribed: 'figure out ... a tree type of graph ... At each step you have to ask yourself one question ... it's more like a graph ... you can go back and then again add the tool ... that is your novelty' (INT-T-003 L386-L404); the number of stages is open. On 21 October the practical scope becomes memory and tool calls (INT-T-002 L223-L225) and the graph is not mentioned; how the two fit is ledger N-28.</t>
        </is>
      </c>
      <c r="V27" s="6" t="inlineStr">
        <is>
          <t>Answer to brief Q1 / REGISTER Q2, in his words.</t>
        </is>
      </c>
      <c r="W27" s="6" t="inlineStr">
        <is>
          <t>C-D01</t>
        </is>
      </c>
      <c r="X27" s="6" t="inlineStr"/>
      <c r="Y27" s="6" t="inlineStr">
        <is>
          <t>Q-J01, Q-J08, Q-J09, Q-J30</t>
        </is>
      </c>
      <c r="Z27" s="6" t="inlineStr"/>
      <c r="AA27" s="6" t="inlineStr"/>
      <c r="AB27" s="6" t="inlineStr">
        <is>
          <t>DEC</t>
        </is>
      </c>
      <c r="AC27" s="6" t="inlineStr">
        <is>
          <t>PARTLY ANSWERED - OPEN</t>
        </is>
      </c>
      <c r="AD27" s="6" t="inlineStr">
        <is>
          <t>UNCHANGED</t>
        </is>
      </c>
      <c r="AE27" s="6" t="inlineStr">
        <is>
          <t>2026-10-21</t>
        </is>
      </c>
      <c r="AF27" s="6" t="inlineStr">
        <is>
          <t>INT-T-003 (requirements/intake/2026-10-21-supervisor-meeting-2026-10-14-notes-and-transcript.md); INT-T-002 (requirements/intake/2026-10-21-supervisor-meeting-2026-10-21-notes-and-transcript.md); mapping design/ledger/notes/MEETINGS-MAPPING-20261021.md checked line by line by FND-0035 and FND-0036; REGISTER section H</t>
        </is>
      </c>
      <c r="AG27" s="6" t="inlineStr"/>
      <c r="AH27" s="6" t="inlineStr">
        <is>
          <t>No</t>
        </is>
      </c>
      <c r="AI27" s="6" t="inlineStr"/>
      <c r="AJ27" s="6" t="inlineStr">
        <is>
          <t>SRC-11 canonical</t>
        </is>
      </c>
      <c r="AK27" s="6" t="inlineStr">
        <is>
          <t>REGISTER G.3 Q2, REQ-O14-12, COMPARISON C4, SRC-06 D03</t>
        </is>
      </c>
      <c r="AL27" s="6" t="inlineStr">
        <is>
          <t>S05</t>
        </is>
      </c>
    </row>
    <row r="28" ht="40.5" customHeight="1">
      <c r="A28" s="5" t="inlineStr">
        <is>
          <t>C-D10</t>
        </is>
      </c>
      <c r="B28" s="6" t="inlineStr">
        <is>
          <t>Confirm the presentation: run-time policy figure separate from the study-protocol figure (D-nodes offline).</t>
        </is>
      </c>
      <c r="C28" s="6" t="inlineStr">
        <is>
          <t>PARTLY ANSWERED</t>
        </is>
      </c>
      <c r="D28" s="6">
        <f>IFERROR(INDEX(Lists!$B$2:$B$14,MATCH(C28,Lists!$A$2:$A$14,0)),"?")</f>
        <v/>
      </c>
      <c r="E28" s="6">
        <f>IF(COUNTIFS(Links!$B$2:$B$600,A28,Links!$E$2:$E$600,"Yes")&gt;0,"REVISE","")</f>
        <v/>
      </c>
      <c r="F28" s="6">
        <f>COUNTIFS(Links!$B$2:$B$600,A28,Links!$D$2:$D$600,"No",Links!$C$2:$C$600,"&lt;&gt;INFORMS")</f>
        <v/>
      </c>
      <c r="G28" s="9" t="inlineStr">
        <is>
          <t>USER-DECISION</t>
        </is>
      </c>
      <c r="H28" s="6" t="inlineStr">
        <is>
          <t>K3 Policy form</t>
        </is>
      </c>
      <c r="I28" s="6" t="inlineStr">
        <is>
          <t>G5 Housekeeping / no block</t>
        </is>
      </c>
      <c r="J28" s="6" t="inlineStr">
        <is>
          <t>Low</t>
        </is>
      </c>
      <c r="K28" s="6" t="n">
        <v>43</v>
      </c>
      <c r="L28" s="6" t="inlineStr">
        <is>
          <t>W1 Decide</t>
        </is>
      </c>
      <c r="M28" s="6" t="inlineStr">
        <is>
          <t>S07</t>
        </is>
      </c>
      <c r="N28" s="6" t="inlineStr">
        <is>
          <t>You</t>
        </is>
      </c>
      <c r="O28" s="6" t="inlineStr">
        <is>
          <t>You decide (Q-J08, Q-U10)</t>
        </is>
      </c>
      <c r="P28" s="6" t="inlineStr">
        <is>
          <t>n/a</t>
        </is>
      </c>
      <c r="Q28" s="6" t="inlineStr">
        <is>
          <t>Decision</t>
        </is>
      </c>
      <c r="R28" s="6" t="inlineStr">
        <is>
          <t>Item</t>
        </is>
      </c>
      <c r="S28" s="6" t="inlineStr"/>
      <c r="T28" s="6" t="inlineStr">
        <is>
          <t>Confirm the presentation: run-time policy figure separate from the study-protocol figure (D-nodes offline).</t>
        </is>
      </c>
      <c r="U28" s="6" t="inlineStr">
        <is>
          <t>Decided by the lead under AUTH-010 (WD-020); not yet confirmed by you; Joaa saw v3.</t>
        </is>
      </c>
      <c r="V28" s="6" t="inlineStr">
        <is>
          <t>You confirm or reverse; decide what Joaa is shown.</t>
        </is>
      </c>
      <c r="W28" s="6" t="inlineStr">
        <is>
          <t>C-D03</t>
        </is>
      </c>
      <c r="X28" s="6" t="inlineStr"/>
      <c r="Y28" s="6" t="inlineStr">
        <is>
          <t>Q-J08, Q-U10</t>
        </is>
      </c>
      <c r="Z28" s="6" t="inlineStr"/>
      <c r="AA28" s="6" t="inlineStr"/>
      <c r="AB28" s="6" t="inlineStr">
        <is>
          <t>DEC</t>
        </is>
      </c>
      <c r="AC28" s="6" t="inlineStr">
        <is>
          <t>PARTLY ANSWERED - OPEN</t>
        </is>
      </c>
      <c r="AD28" s="6" t="inlineStr">
        <is>
          <t>RE-CHARACTERISED</t>
        </is>
      </c>
      <c r="AE28" s="6" t="inlineStr">
        <is>
          <t>2026-10-19</t>
        </is>
      </c>
      <c r="AF28" s="6" t="inlineStr">
        <is>
          <t>WD-020; v4-03 section 1</t>
        </is>
      </c>
      <c r="AG28" s="6" t="inlineStr"/>
      <c r="AH28" s="6" t="inlineStr">
        <is>
          <t>No</t>
        </is>
      </c>
      <c r="AI28" s="6" t="inlineStr"/>
      <c r="AJ28" s="6" t="inlineStr">
        <is>
          <t>SRC-11 canonical</t>
        </is>
      </c>
      <c r="AK28" s="6" t="inlineStr">
        <is>
          <t>SRC-06 D13, SRC-06 C10</t>
        </is>
      </c>
      <c r="AL28" s="6" t="inlineStr">
        <is>
          <t>S05</t>
        </is>
      </c>
    </row>
    <row r="29" ht="40.5" customHeight="1">
      <c r="A29" s="5" t="inlineStr">
        <is>
          <t>C-R02</t>
        </is>
      </c>
      <c r="B29" s="6" t="inlineStr">
        <is>
          <t>Challenge residuals: D-node presentation (decided by lead), no winner between G and C-A, selection inflatio...</t>
        </is>
      </c>
      <c r="C29" s="6" t="inlineStr">
        <is>
          <t>PARTLY ANSWERED</t>
        </is>
      </c>
      <c r="D29" s="6">
        <f>IFERROR(INDEX(Lists!$B$2:$B$14,MATCH(C29,Lists!$A$2:$A$14,0)),"?")</f>
        <v/>
      </c>
      <c r="E29" s="6">
        <f>IF(COUNTIFS(Links!$B$2:$B$600,A29,Links!$E$2:$E$600,"Yes")&gt;0,"REVISE","")</f>
        <v/>
      </c>
      <c r="F29" s="6">
        <f>COUNTIFS(Links!$B$2:$B$600,A29,Links!$D$2:$D$600,"No",Links!$C$2:$C$600,"&lt;&gt;INFORMS")</f>
        <v/>
      </c>
      <c r="G29" s="9" t="inlineStr">
        <is>
          <t>USER-DECISION</t>
        </is>
      </c>
      <c r="H29" s="6" t="inlineStr">
        <is>
          <t>K17 Record repair &amp; procedure error</t>
        </is>
      </c>
      <c r="I29" s="6" t="inlineStr">
        <is>
          <t>G5 Housekeeping / no block</t>
        </is>
      </c>
      <c r="J29" s="6" t="inlineStr">
        <is>
          <t>Low</t>
        </is>
      </c>
      <c r="K29" s="6" t="n">
        <v>44</v>
      </c>
      <c r="L29" s="6" t="inlineStr">
        <is>
          <t>W1 Decide</t>
        </is>
      </c>
      <c r="M29" s="6" t="inlineStr">
        <is>
          <t>S07</t>
        </is>
      </c>
      <c r="N29" s="6" t="inlineStr">
        <is>
          <t>You (presentation); team (E6)</t>
        </is>
      </c>
      <c r="O29" s="6" t="inlineStr">
        <is>
          <t>You decide (Q-U10)</t>
        </is>
      </c>
      <c r="P29" s="6" t="inlineStr">
        <is>
          <t>n/a</t>
        </is>
      </c>
      <c r="Q29" s="6" t="inlineStr">
        <is>
          <t>Decision</t>
        </is>
      </c>
      <c r="R29" s="6" t="inlineStr">
        <is>
          <t>Item</t>
        </is>
      </c>
      <c r="S29" s="6" t="inlineStr"/>
      <c r="T29" s="6" t="inlineStr">
        <is>
          <t>Challenge residuals: D-node presentation (decided by lead), no winner between G and C-A, selection inflation unmeasured.</t>
        </is>
      </c>
      <c r="U29" s="6" t="inlineStr">
        <is>
          <t>Presentation part decided by lead; selection-error part waits on E6.</t>
        </is>
      </c>
      <c r="V29" s="6" t="inlineStr">
        <is>
          <t>Presentation confirmed; selection error measured (X06).</t>
        </is>
      </c>
      <c r="W29" s="6" t="inlineStr">
        <is>
          <t>C-D03</t>
        </is>
      </c>
      <c r="X29" s="6" t="inlineStr"/>
      <c r="Y29" s="6" t="inlineStr">
        <is>
          <t>Q-U10</t>
        </is>
      </c>
      <c r="Z29" s="6" t="inlineStr">
        <is>
          <t>TEST-PILOT</t>
        </is>
      </c>
      <c r="AA29" s="6" t="inlineStr">
        <is>
          <t>K3 Policy form</t>
        </is>
      </c>
      <c r="AB29" s="6" t="inlineStr">
        <is>
          <t>DEC+DATA</t>
        </is>
      </c>
      <c r="AC29" s="6" t="inlineStr">
        <is>
          <t>PARTLY ANSWERED - OPEN</t>
        </is>
      </c>
      <c r="AD29" s="6" t="inlineStr">
        <is>
          <t>RE-CHARACTERISED</t>
        </is>
      </c>
      <c r="AE29" s="6" t="inlineStr">
        <is>
          <t>2026-10-19</t>
        </is>
      </c>
      <c r="AF29" s="6" t="inlineStr">
        <is>
          <t>WD-019/020; CH-0010..0013</t>
        </is>
      </c>
      <c r="AG29" s="6" t="inlineStr"/>
      <c r="AH29" s="6" t="inlineStr">
        <is>
          <t>No for presentation</t>
        </is>
      </c>
      <c r="AI29" s="6" t="inlineStr"/>
      <c r="AJ29" s="6" t="inlineStr">
        <is>
          <t>SRC-11 canonical</t>
        </is>
      </c>
      <c r="AK29" s="6" t="inlineStr">
        <is>
          <t>SRC-06 C10-C13, HYP-0013</t>
        </is>
      </c>
      <c r="AL29" s="6" t="inlineStr">
        <is>
          <t>S05</t>
        </is>
      </c>
    </row>
    <row r="30" ht="53" customHeight="1">
      <c r="A30" s="5" t="inlineStr">
        <is>
          <t>N-16</t>
        </is>
      </c>
      <c r="B30" s="6" t="inlineStr">
        <is>
          <t>No design record is approved; human review of the v4 package pending</t>
        </is>
      </c>
      <c r="C30" s="6" t="inlineStr">
        <is>
          <t>OPEN</t>
        </is>
      </c>
      <c r="D30" s="6">
        <f>IFERROR(INDEX(Lists!$B$2:$B$14,MATCH(C30,Lists!$A$2:$A$14,0)),"?")</f>
        <v/>
      </c>
      <c r="E30" s="6">
        <f>IF(COUNTIFS(Links!$B$2:$B$600,A30,Links!$E$2:$E$600,"Yes")&gt;0,"REVISE","")</f>
        <v/>
      </c>
      <c r="F30" s="6">
        <f>COUNTIFS(Links!$B$2:$B$600,A30,Links!$D$2:$D$600,"No",Links!$C$2:$C$600,"&lt;&gt;INFORMS")</f>
        <v/>
      </c>
      <c r="G30" s="9" t="inlineStr">
        <is>
          <t>USER-DECISION</t>
        </is>
      </c>
      <c r="H30" s="6" t="inlineStr">
        <is>
          <t>K6 Deliverable &amp; authorization</t>
        </is>
      </c>
      <c r="I30" s="6" t="inlineStr">
        <is>
          <t>G5 Housekeeping / no block</t>
        </is>
      </c>
      <c r="J30" s="6" t="inlineStr">
        <is>
          <t>Low</t>
        </is>
      </c>
      <c r="K30" s="6" t="n">
        <v>45</v>
      </c>
      <c r="L30" s="6" t="inlineStr">
        <is>
          <t>W1 Decide</t>
        </is>
      </c>
      <c r="M30" s="6" t="inlineStr">
        <is>
          <t>S08</t>
        </is>
      </c>
      <c r="N30" s="6" t="inlineStr">
        <is>
          <t>You</t>
        </is>
      </c>
      <c r="O30" s="6" t="inlineStr">
        <is>
          <t>Answer Q-U25</t>
        </is>
      </c>
      <c r="P30" s="6" t="inlineStr">
        <is>
          <t>n/a</t>
        </is>
      </c>
      <c r="Q30" s="6" t="inlineStr">
        <is>
          <t>Decision</t>
        </is>
      </c>
      <c r="R30" s="6" t="inlineStr">
        <is>
          <t>Item</t>
        </is>
      </c>
      <c r="S30" s="6" t="inlineStr"/>
      <c r="T30" s="6" t="inlineStr">
        <is>
          <t>Every design record is provisional/proposed; `approved` needs the human and a design-level AUTH. STATE asks you to review the brief first, then 02 and 03; AUTHORIZATIONS 'Not yet authorized' lists review/acceptance of results.</t>
        </is>
      </c>
      <c r="U30" s="6" t="inlineStr">
        <is>
          <t>Nothing is approved.</t>
        </is>
      </c>
      <c r="V30" s="6" t="inlineStr">
        <is>
          <t>Records you accept are marked approved under an AUTH, the rest stay proposed.</t>
        </is>
      </c>
      <c r="W30" s="6" t="inlineStr"/>
      <c r="X30" s="6" t="inlineStr"/>
      <c r="Y30" s="6" t="inlineStr">
        <is>
          <t>Q-U25</t>
        </is>
      </c>
      <c r="Z30" s="6" t="inlineStr"/>
      <c r="AA30" s="6" t="inlineStr"/>
      <c r="AB30" s="6" t="inlineStr">
        <is>
          <t>DEC</t>
        </is>
      </c>
      <c r="AC30" s="6" t="inlineStr">
        <is>
          <t>n/a (new)</t>
        </is>
      </c>
      <c r="AD30" s="6" t="inlineStr">
        <is>
          <t>NEW (repo sweep)</t>
        </is>
      </c>
      <c r="AE30" s="6" t="inlineStr">
        <is>
          <t>2026-10-19</t>
        </is>
      </c>
      <c r="AF30" s="6" t="inlineStr">
        <is>
          <t>STATE; AUTHORIZATIONS</t>
        </is>
      </c>
      <c r="AG30" s="6" t="inlineStr"/>
      <c r="AH30" s="6" t="inlineStr">
        <is>
          <t>Yes (design-level)</t>
        </is>
      </c>
      <c r="AI30" s="6" t="inlineStr"/>
      <c r="AJ30" s="6" t="inlineStr">
        <is>
          <t>repo: STATE open item 1; AUTHORIZATIONS 'Not yet authorized'</t>
        </is>
      </c>
      <c r="AK30" s="6" t="inlineStr">
        <is>
          <t>STATE open item 1, STATE open item 2</t>
        </is>
      </c>
      <c r="AL30" s="6" t="inlineStr">
        <is>
          <t>S05</t>
        </is>
      </c>
    </row>
    <row r="31" ht="300" customHeight="1">
      <c r="A31" s="5" t="inlineStr">
        <is>
          <t>C-D06/NOVELTY</t>
        </is>
      </c>
      <c r="B31" s="6" t="inlineStr">
        <is>
          <t>Supervisor says the graph is 'your novelty': to be tested, not assumed</t>
        </is>
      </c>
      <c r="C31" s="6" t="inlineStr">
        <is>
          <t>PARTLY ANSWERED</t>
        </is>
      </c>
      <c r="D31" s="6">
        <f>IFERROR(INDEX(Lists!$B$2:$B$14,MATCH(C31,Lists!$A$2:$A$14,0)),"?")</f>
        <v/>
      </c>
      <c r="E31" s="6">
        <f>IF(COUNTIFS(Links!$B$2:$B$600,A31,Links!$E$2:$E$600,"Yes")&gt;0,"REVISE","")</f>
        <v/>
      </c>
      <c r="F31" s="6">
        <f>COUNTIFS(Links!$B$2:$B$600,A31,Links!$D$2:$D$600,"No",Links!$C$2:$C$600,"&lt;&gt;INFORMS")</f>
        <v/>
      </c>
      <c r="G31" s="11" t="inlineStr">
        <is>
          <t>LITERATURE-DIRECTED</t>
        </is>
      </c>
      <c r="H31" s="6" t="inlineStr">
        <is>
          <t>K5 Evaluation contract</t>
        </is>
      </c>
      <c r="I31" s="6" t="inlineStr">
        <is>
          <t>G3 Before confirmatory study</t>
        </is>
      </c>
      <c r="J31" s="6" t="inlineStr">
        <is>
          <t>Normal</t>
        </is>
      </c>
      <c r="K31" s="6" t="n">
        <v>46</v>
      </c>
      <c r="L31" s="6" t="inlineStr">
        <is>
          <t>W1 Decide</t>
        </is>
      </c>
      <c r="M31" s="6" t="inlineStr">
        <is>
          <t>S08</t>
        </is>
      </c>
      <c r="N31" s="6" t="inlineStr">
        <is>
          <t>Joaa</t>
        </is>
      </c>
      <c r="O31" s="6" t="inlineStr">
        <is>
          <t>Record 'novelty = the systematic combination and its findings' in the thesis text; repeat the prior-art check monthly</t>
        </is>
      </c>
      <c r="P31" s="6" t="inlineStr">
        <is>
          <t>No</t>
        </is>
      </c>
      <c r="Q31" s="6" t="inlineStr">
        <is>
          <t>Claim to test</t>
        </is>
      </c>
      <c r="R31" s="6" t="inlineStr">
        <is>
          <t>Sub-item</t>
        </is>
      </c>
      <c r="S31" s="6" t="inlineStr">
        <is>
          <t>C-D06</t>
        </is>
      </c>
      <c r="T31" s="6" t="inlineStr">
        <is>
          <t>REQ-O14-07 and -16 (assertions): 'the main nobility' and 'that is your novelty' are not established; v4 makes no novelty claim; close prior art exists (vendor deferral, retrieval, hierarchical routers).</t>
        </is>
      </c>
      <c r="U31"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 Added 2026-10-20 (batch 15b): FitText (arXiv, r1-fittext) also has the features F1 (the only function at the start is 'Finish'), F2 (the agent writes a delimited description that triggers retrieval; the protocol is prescribed in its system prompt) and F4 (retrieved tools are injected into the function schema for subsequent steps: Ft+1 = Ft U R), EXT-0224 to EXT-0226; it was not in the 13-source matrix. 2026-10-21 (AUTH-018): 'if you are not doing groundbreaking research ... nothing is noble [novel] ... What that works and what that doesn't work. That's it. So that is actually the novelty. You have to just sell it as a novely' (INT-T-003 L227-L233); 'none of them have any novelty' about the mechanism families (L214); the staged graph 'is your novelty' (L404); and he asks for a monthly search of the web and the literature so as not to reinvent the wheel (INT-T-004 E591-E605). A separate novelty assessment is not asked for; the prior-art matrix (FND-0030) serves the monthly check.</t>
        </is>
      </c>
      <c r="V31" s="6" t="inlineStr">
        <is>
          <t>Prior-art overlap assessed if Joaa wants a novelty claim; else stated as not claimed.</t>
        </is>
      </c>
      <c r="W31" s="6" t="inlineStr"/>
      <c r="X31" s="6" t="inlineStr"/>
      <c r="Y31" s="6" t="inlineStr">
        <is>
          <t>Q-J22, Q-J28</t>
        </is>
      </c>
      <c r="Z31" s="6" t="inlineStr">
        <is>
          <t>JOAA-DECISION</t>
        </is>
      </c>
      <c r="AA31" s="6" t="inlineStr"/>
      <c r="AB31" s="6" t="inlineStr">
        <is>
          <t>SOURCE+DEC</t>
        </is>
      </c>
      <c r="AC31" s="6" t="inlineStr">
        <is>
          <t>n/a (sub-item)</t>
        </is>
      </c>
      <c r="AD31" s="6" t="inlineStr">
        <is>
          <t>NEW (repo sweep)</t>
        </is>
      </c>
      <c r="AE31" s="6" t="inlineStr">
        <is>
          <t>2026-10-21</t>
        </is>
      </c>
      <c r="AF31"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31" s="6" t="inlineStr"/>
      <c r="AH31" s="6" t="inlineStr">
        <is>
          <t>No</t>
        </is>
      </c>
      <c r="AI31" s="6" t="inlineStr"/>
      <c r="AJ31" s="6" t="inlineStr">
        <is>
          <t>repo: REGISTER / COMPARISON</t>
        </is>
      </c>
      <c r="AK31" s="6" t="inlineStr">
        <is>
          <t>REQ-O14-07, REQ-O14-16, v4-01 section 6 item 8</t>
        </is>
      </c>
      <c r="AL31" s="6" t="inlineStr">
        <is>
          <t>S08</t>
        </is>
      </c>
    </row>
    <row r="32" ht="78" customHeight="1">
      <c r="A32" s="5" t="inlineStr">
        <is>
          <t>C-E06</t>
        </is>
      </c>
      <c r="B32" s="6" t="inlineStr">
        <is>
          <t>True full-catalogue reference cannot run above n_fit (roughly 200 to 10,000 tools); a substitute does not b...</t>
        </is>
      </c>
      <c r="C32" s="6" t="inlineStr">
        <is>
          <t>LIMITATION - ACCEPTANCE PENDING</t>
        </is>
      </c>
      <c r="D32" s="6">
        <f>IFERROR(INDEX(Lists!$B$2:$B$14,MATCH(C32,Lists!$A$2:$A$14,0)),"?")</f>
        <v/>
      </c>
      <c r="E32" s="6">
        <f>IF(COUNTIFS(Links!$B$2:$B$600,A32,Links!$E$2:$E$600,"Yes")&gt;0,"REVISE","")</f>
        <v/>
      </c>
      <c r="F32" s="6">
        <f>COUNTIFS(Links!$B$2:$B$600,A32,Links!$D$2:$D$600,"No",Links!$C$2:$C$600,"&lt;&gt;INFORMS")</f>
        <v/>
      </c>
      <c r="G32" s="12" t="inlineStr">
        <is>
          <t>ACCEPT-LIMITATION</t>
        </is>
      </c>
      <c r="H32" s="6" t="inlineStr">
        <is>
          <t>K7 Large-catalogue reference</t>
        </is>
      </c>
      <c r="I32" s="6" t="inlineStr">
        <is>
          <t>G3 Before confirmatory study</t>
        </is>
      </c>
      <c r="J32" s="6" t="inlineStr">
        <is>
          <t>Normal</t>
        </is>
      </c>
      <c r="K32" s="6" t="n">
        <v>47</v>
      </c>
      <c r="L32" s="6" t="inlineStr">
        <is>
          <t>W1 Decide</t>
        </is>
      </c>
      <c r="M32" s="6" t="inlineStr">
        <is>
          <t>S08</t>
        </is>
      </c>
      <c r="N32" s="6" t="inlineStr">
        <is>
          <t>You (+Joaa, brief Q4)</t>
        </is>
      </c>
      <c r="O32" s="6" t="inlineStr">
        <is>
          <t>You accept or reject the limit (Q-U20)</t>
        </is>
      </c>
      <c r="P32" s="6" t="inlineStr">
        <is>
          <t>n/a</t>
        </is>
      </c>
      <c r="Q32" s="6" t="inlineStr">
        <is>
          <t>Limitation</t>
        </is>
      </c>
      <c r="R32" s="6" t="inlineStr">
        <is>
          <t>Item</t>
        </is>
      </c>
      <c r="S32" s="6" t="inlineStr"/>
      <c r="T32" s="6" t="inlineStr">
        <is>
          <t>True full-catalogue reference cannot run above n_fit (roughly 200 to 10,000 tools); a substitute does not become full exposure.</t>
        </is>
      </c>
      <c r="U32"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2" s="6" t="inlineStr">
        <is>
          <t>Boundary accepted and claim narrowed; who sets the margin/budget recorded.</t>
        </is>
      </c>
      <c r="W32" s="6" t="inlineStr">
        <is>
          <t>C-D02</t>
        </is>
      </c>
      <c r="X32" s="6" t="inlineStr"/>
      <c r="Y32" s="6" t="inlineStr">
        <is>
          <t>Q-J13</t>
        </is>
      </c>
      <c r="Z32" s="6" t="inlineStr">
        <is>
          <t>JOAA-DECISION</t>
        </is>
      </c>
      <c r="AA32" s="6" t="inlineStr">
        <is>
          <t>K5 Evaluation contract</t>
        </is>
      </c>
      <c r="AB32" s="6" t="inlineStr">
        <is>
          <t>BOUND</t>
        </is>
      </c>
      <c r="AC32" s="6" t="inlineStr">
        <is>
          <t>BOUNDARY</t>
        </is>
      </c>
      <c r="AD32" s="6" t="inlineStr">
        <is>
          <t>UNCHANGED</t>
        </is>
      </c>
      <c r="AE32" s="6" t="inlineStr">
        <is>
          <t>2026-10-20</t>
        </is>
      </c>
      <c r="AF32" s="6" t="inlineStr">
        <is>
          <t>chat message of 2026-10-20</t>
        </is>
      </c>
      <c r="AG32" s="6" t="inlineStr"/>
      <c r="AH32" s="6" t="inlineStr">
        <is>
          <t>No</t>
        </is>
      </c>
      <c r="AI32" s="6" t="inlineStr"/>
      <c r="AJ32" s="6" t="inlineStr">
        <is>
          <t>SRC-11 canonical</t>
        </is>
      </c>
      <c r="AK32" s="6" t="inlineStr">
        <is>
          <t>SRC-06 S31, SRC-07 32</t>
        </is>
      </c>
      <c r="AL32" s="6" t="inlineStr">
        <is>
          <t>S08</t>
        </is>
      </c>
    </row>
    <row r="33" ht="103" customHeight="1">
      <c r="A33" s="5" t="inlineStr">
        <is>
          <t>C-S17</t>
        </is>
      </c>
      <c r="B33" s="6" t="inlineStr">
        <is>
          <t>Is offline selection cost charged (N_dep, deployment horizon) and shown with and without?</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K2 Objective &amp; accounting</t>
        </is>
      </c>
      <c r="I33" s="6" t="inlineStr">
        <is>
          <t>G3 Before confirmatory study</t>
        </is>
      </c>
      <c r="J33" s="6" t="inlineStr">
        <is>
          <t>Normal</t>
        </is>
      </c>
      <c r="K33" s="6" t="n">
        <v>48</v>
      </c>
      <c r="L33" s="6" t="inlineStr">
        <is>
          <t>W1 Decide</t>
        </is>
      </c>
      <c r="M33" s="6" t="inlineStr">
        <is>
          <t>S08</t>
        </is>
      </c>
      <c r="N33" s="6" t="inlineStr">
        <is>
          <t>Joaa + you</t>
        </is>
      </c>
      <c r="O33" s="6" t="inlineStr">
        <is>
          <t>Horizon for offline cost still to fix (contract)</t>
        </is>
      </c>
      <c r="P33" s="6" t="inlineStr">
        <is>
          <t>No</t>
        </is>
      </c>
      <c r="Q33" s="6" t="inlineStr">
        <is>
          <t>Decision</t>
        </is>
      </c>
      <c r="R33" s="6" t="inlineStr">
        <is>
          <t>Item</t>
        </is>
      </c>
      <c r="S33" s="6" t="inlineStr"/>
      <c r="T33" s="6" t="inlineStr">
        <is>
          <t>Is offline selection cost charged (N_dep, deployment horizon) and shown with and without?</t>
        </is>
      </c>
      <c r="U33" s="6" t="inlineStr">
        <is>
          <t>C_tok includes O_dev/N_dep; N_dep unset. 2026-10-21 (AUTH-018): filtering cost counts against the saving: 'you cannot use many tokens because you're saving tokens ... if you use many many more token to filter out the tools then there is no value' (INT-T-004 E230-E232); amortising offline selection cost over a deployment horizon is not discussed.</t>
        </is>
      </c>
      <c r="V33" s="6" t="inlineStr">
        <is>
          <t>Convention and horizon fixed.</t>
        </is>
      </c>
      <c r="W33" s="6" t="inlineStr">
        <is>
          <t>C-D02</t>
        </is>
      </c>
      <c r="X33" s="6" t="inlineStr"/>
      <c r="Y33" s="6" t="inlineStr">
        <is>
          <t>Q-J19</t>
        </is>
      </c>
      <c r="Z33" s="6" t="inlineStr">
        <is>
          <t>USER-DECISION</t>
        </is>
      </c>
      <c r="AA33" s="6" t="inlineStr">
        <is>
          <t>K5 Evaluation contract</t>
        </is>
      </c>
      <c r="AB33" s="6" t="inlineStr">
        <is>
          <t>DEC+DATA</t>
        </is>
      </c>
      <c r="AC33" s="6" t="inlineStr">
        <is>
          <t>PARTLY ANSWERED - OPEN</t>
        </is>
      </c>
      <c r="AD33" s="6" t="inlineStr">
        <is>
          <t>UNCHANGED</t>
        </is>
      </c>
      <c r="AE33" s="6" t="inlineStr">
        <is>
          <t>2026-10-21</t>
        </is>
      </c>
      <c r="AF33" s="6" t="inlineStr">
        <is>
          <t>INT-T-004 (requirements/intake/2026-10-21-supervisor-meeting-2026-10-02-excerpts.md); mapping design/ledger/notes/MEETINGS-MAPPING-20261021.md checked line by line by FND-0035 and FND-0036; REGISTER section H</t>
        </is>
      </c>
      <c r="AG33" s="6" t="inlineStr"/>
      <c r="AH33" s="6" t="inlineStr">
        <is>
          <t>No</t>
        </is>
      </c>
      <c r="AI33" s="6" t="inlineStr"/>
      <c r="AJ33" s="6" t="inlineStr">
        <is>
          <t>SRC-11 canonical</t>
        </is>
      </c>
      <c r="AK33" s="6" t="inlineStr">
        <is>
          <t>SRC-06 S35</t>
        </is>
      </c>
      <c r="AL33" s="6" t="inlineStr">
        <is>
          <t>S08</t>
        </is>
      </c>
    </row>
    <row r="34" ht="53" customHeight="1">
      <c r="A34" s="5" t="inlineStr">
        <is>
          <t>C-D08/ARMS-CACHE</t>
        </is>
      </c>
      <c r="B34" s="6" t="inlineStr">
        <is>
          <t>New arm candidates from the cache/memory addendum (memory-seeded core, re-ordering vs append-only, 5-min vs 1-h write)</t>
        </is>
      </c>
      <c r="C34" s="6" t="inlineStr">
        <is>
          <t>OPEN</t>
        </is>
      </c>
      <c r="D34" s="6">
        <f>IFERROR(INDEX(Lists!$B$2:$B$14,MATCH(C34,Lists!$A$2:$A$14,0)),"?")</f>
        <v/>
      </c>
      <c r="E34" s="6">
        <f>IF(COUNTIFS(Links!$B$2:$B$600,A34,Links!$E$2:$E$600,"Yes")&gt;0,"REVISE","")</f>
        <v/>
      </c>
      <c r="F34" s="6">
        <f>COUNTIFS(Links!$B$2:$B$600,A34,Links!$D$2:$D$600,"No",Links!$C$2:$C$600,"&lt;&gt;INFORMS")</f>
        <v/>
      </c>
      <c r="G34" s="13" t="inlineStr">
        <is>
          <t>DESK-ANALYSIS</t>
        </is>
      </c>
      <c r="H34" s="6" t="inlineStr">
        <is>
          <t>K9 Cache &amp; billing</t>
        </is>
      </c>
      <c r="I34" s="6" t="inlineStr">
        <is>
          <t>G1 Before any implementation</t>
        </is>
      </c>
      <c r="J34" s="6" t="inlineStr">
        <is>
          <t>High</t>
        </is>
      </c>
      <c r="K34" s="6" t="n">
        <v>50</v>
      </c>
      <c r="L34" s="6" t="inlineStr">
        <is>
          <t>W2 Desk work (no model runs)</t>
        </is>
      </c>
      <c r="M34" s="6" t="inlineStr">
        <is>
          <t>S09</t>
        </is>
      </c>
      <c r="N34" s="6" t="inlineStr">
        <is>
          <t>Joaa + you (or a documented pilot)</t>
        </is>
      </c>
      <c r="O34" s="6" t="inlineStr">
        <is>
          <t>Lead computes or writes it (no model runs)</t>
        </is>
      </c>
      <c r="P34" s="6" t="inlineStr">
        <is>
          <t>No</t>
        </is>
      </c>
      <c r="Q34" s="6" t="inlineStr">
        <is>
          <t>Parameter</t>
        </is>
      </c>
      <c r="R34" s="6" t="inlineStr">
        <is>
          <t>Sub-item</t>
        </is>
      </c>
      <c r="S34" s="6" t="inlineStr">
        <is>
          <t>C-D08</t>
        </is>
      </c>
      <c r="T34" s="6" t="inlineStr">
        <is>
          <t>v4-04 section 5 lists candidate arms not yet in the arm table: a memory-seeded core after a shared prefix; core re-ordering vs append-only; a one-hour vs five-minute write choice by expected session gap.</t>
        </is>
      </c>
      <c r="U34" s="6" t="inlineStr">
        <is>
          <t>Unset.</t>
        </is>
      </c>
      <c r="V34" s="6" t="inlineStr">
        <is>
          <t>Set in the evaluation contract, or deferred to a documented pilot with Joaa's agreement.</t>
        </is>
      </c>
      <c r="W34" s="6" t="inlineStr"/>
      <c r="X34" s="6" t="inlineStr">
        <is>
          <t>N-2, C-D02</t>
        </is>
      </c>
      <c r="Y34" s="6" t="inlineStr">
        <is>
          <t>Q-J06, Q-J26, Q-J27</t>
        </is>
      </c>
      <c r="Z34" s="6" t="inlineStr">
        <is>
          <t>JOAA-DECISION</t>
        </is>
      </c>
      <c r="AA34" s="6" t="inlineStr"/>
      <c r="AB34" s="6" t="inlineStr">
        <is>
          <t>DEC+DATA</t>
        </is>
      </c>
      <c r="AC34" s="6" t="inlineStr">
        <is>
          <t>n/a (sub-item)</t>
        </is>
      </c>
      <c r="AD34" s="6" t="inlineStr">
        <is>
          <t>NEW (repo sweep)</t>
        </is>
      </c>
      <c r="AE34" s="6" t="inlineStr">
        <is>
          <t>2026-10-19</t>
        </is>
      </c>
      <c r="AF34" s="6" t="inlineStr">
        <is>
          <t>v4-04 section 5</t>
        </is>
      </c>
      <c r="AG34" s="6" t="inlineStr"/>
      <c r="AH34" s="6" t="inlineStr">
        <is>
          <t>No</t>
        </is>
      </c>
      <c r="AI34" s="6" t="inlineStr"/>
      <c r="AJ34" s="6" t="inlineStr">
        <is>
          <t>repo: v4-02 / v3-04 section 5 / v2-05 section 3</t>
        </is>
      </c>
      <c r="AK34" s="6" t="inlineStr"/>
      <c r="AL34" s="6" t="inlineStr">
        <is>
          <t>S06</t>
        </is>
      </c>
    </row>
    <row r="35" ht="40.5" customHeight="1">
      <c r="A35" s="5" t="inlineStr">
        <is>
          <t>C-D08/ALPHA</t>
        </is>
      </c>
      <c r="B35" s="6" t="inlineStr">
        <is>
          <t>alpha / family error rate</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K5 Evaluation contract</t>
        </is>
      </c>
      <c r="I35" s="6" t="inlineStr">
        <is>
          <t>G1 Before any implementation</t>
        </is>
      </c>
      <c r="J35" s="6" t="inlineStr">
        <is>
          <t>High</t>
        </is>
      </c>
      <c r="K35" s="6" t="n">
        <v>51</v>
      </c>
      <c r="L35" s="6" t="inlineStr">
        <is>
          <t>W2 Desk work (no model runs)</t>
        </is>
      </c>
      <c r="M35" s="6" t="inlineStr">
        <is>
          <t>S09</t>
        </is>
      </c>
      <c r="N35" s="6" t="inlineStr">
        <is>
          <t>Joaa + you (or a documented pilot)</t>
        </is>
      </c>
      <c r="O35" s="6" t="inlineStr">
        <is>
          <t>Ask Joaa (Q-J20)</t>
        </is>
      </c>
      <c r="P35" s="6" t="inlineStr">
        <is>
          <t>No</t>
        </is>
      </c>
      <c r="Q35" s="6" t="inlineStr">
        <is>
          <t>Parameter</t>
        </is>
      </c>
      <c r="R35" s="6" t="inlineStr">
        <is>
          <t>Sub-item</t>
        </is>
      </c>
      <c r="S35" s="6" t="inlineStr">
        <is>
          <t>C-D08</t>
        </is>
      </c>
      <c r="T35" s="6" t="inlineStr">
        <is>
          <t>alpha and the family error rate over the arm table are unset (R7: unnamed).</t>
        </is>
      </c>
      <c r="U35" s="6" t="inlineStr">
        <is>
          <t>Unset.</t>
        </is>
      </c>
      <c r="V35" s="6" t="inlineStr">
        <is>
          <t>Set in the evaluation contract, or deferred to a documented pilot with Joaa's agreement.</t>
        </is>
      </c>
      <c r="W35" s="6" t="inlineStr"/>
      <c r="X35" s="6" t="inlineStr"/>
      <c r="Y35" s="6" t="inlineStr">
        <is>
          <t>Q-J20</t>
        </is>
      </c>
      <c r="Z35" s="6" t="inlineStr">
        <is>
          <t>DESK-ANALYSIS</t>
        </is>
      </c>
      <c r="AA35" s="6" t="inlineStr"/>
      <c r="AB35" s="6" t="inlineStr">
        <is>
          <t>DEC+DATA</t>
        </is>
      </c>
      <c r="AC35" s="6" t="inlineStr">
        <is>
          <t>n/a (sub-item)</t>
        </is>
      </c>
      <c r="AD35" s="6" t="inlineStr">
        <is>
          <t>NEW (repo sweep)</t>
        </is>
      </c>
      <c r="AE35" s="6" t="inlineStr">
        <is>
          <t>2026-10-19</t>
        </is>
      </c>
      <c r="AF35" s="6" t="inlineStr">
        <is>
          <t>v4-02 header ('unset')</t>
        </is>
      </c>
      <c r="AG35" s="6" t="inlineStr"/>
      <c r="AH35" s="6" t="inlineStr">
        <is>
          <t>No</t>
        </is>
      </c>
      <c r="AI35" s="6" t="inlineStr"/>
      <c r="AJ35" s="6" t="inlineStr">
        <is>
          <t>repo: v4-02 / v3-04 section 5 / v2-05 section 3</t>
        </is>
      </c>
      <c r="AK35" s="6" t="inlineStr">
        <is>
          <t>alpha, R7</t>
        </is>
      </c>
      <c r="AL35" s="6" t="inlineStr">
        <is>
          <t>S08</t>
        </is>
      </c>
    </row>
    <row r="36" ht="53" customHeight="1">
      <c r="A36" s="5" t="inlineStr">
        <is>
          <t>C-D08/ARMS</t>
        </is>
      </c>
      <c r="B36" s="6" t="inlineStr">
        <is>
          <t>Arm-table composition (trigger arms, navigated hierarchy, ordered-core arms, size of the table)</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K5 Evaluation contract</t>
        </is>
      </c>
      <c r="I36" s="6" t="inlineStr">
        <is>
          <t>G1 Before any implementation</t>
        </is>
      </c>
      <c r="J36" s="6" t="inlineStr">
        <is>
          <t>High</t>
        </is>
      </c>
      <c r="K36" s="6" t="n">
        <v>52</v>
      </c>
      <c r="L36" s="6" t="inlineStr">
        <is>
          <t>W2 Desk work (no model runs)</t>
        </is>
      </c>
      <c r="M36" s="6" t="inlineStr">
        <is>
          <t>S09</t>
        </is>
      </c>
      <c r="N36" s="6" t="inlineStr">
        <is>
          <t>Joaa + you (or a documented pilot)</t>
        </is>
      </c>
      <c r="O36" s="6" t="inlineStr">
        <is>
          <t>Ask Joaa (Q-J07)</t>
        </is>
      </c>
      <c r="P36" s="6" t="inlineStr">
        <is>
          <t>No</t>
        </is>
      </c>
      <c r="Q36" s="6" t="inlineStr">
        <is>
          <t>Parameter</t>
        </is>
      </c>
      <c r="R36" s="6" t="inlineStr">
        <is>
          <t>Sub-item</t>
        </is>
      </c>
      <c r="S36" s="6" t="inlineStr">
        <is>
          <t>C-D08</t>
        </is>
      </c>
      <c r="T36" s="6" t="inlineStr">
        <is>
          <t>The arm table must be fixed before any run: at least three trigger arms (after results, at finish, both), the navigated-hierarchy arm, ordered-core arms if a need estimator exists; its size drives multiplicity and power.</t>
        </is>
      </c>
      <c r="U36" s="6" t="inlineStr">
        <is>
          <t>Unset.</t>
        </is>
      </c>
      <c r="V36" s="6" t="inlineStr">
        <is>
          <t>Set in the evaluation contract, or deferred to a documented pilot with Joaa's agreement.</t>
        </is>
      </c>
      <c r="W36" s="6" t="inlineStr"/>
      <c r="X36" s="6" t="inlineStr"/>
      <c r="Y36" s="6" t="inlineStr">
        <is>
          <t>Q-J07</t>
        </is>
      </c>
      <c r="Z36" s="6" t="inlineStr">
        <is>
          <t>DESK-ANALYSIS</t>
        </is>
      </c>
      <c r="AA36" s="6" t="inlineStr"/>
      <c r="AB36" s="6" t="inlineStr">
        <is>
          <t>DEC+DATA</t>
        </is>
      </c>
      <c r="AC36" s="6" t="inlineStr">
        <is>
          <t>n/a (sub-item)</t>
        </is>
      </c>
      <c r="AD36" s="6" t="inlineStr">
        <is>
          <t>NEW (repo sweep)</t>
        </is>
      </c>
      <c r="AE36" s="6" t="inlineStr">
        <is>
          <t>2026-10-19</t>
        </is>
      </c>
      <c r="AF36" s="6" t="inlineStr">
        <is>
          <t>v4-02 notes 4, section 5</t>
        </is>
      </c>
      <c r="AG36" s="6" t="inlineStr"/>
      <c r="AH36" s="6" t="inlineStr">
        <is>
          <t>No</t>
        </is>
      </c>
      <c r="AI36" s="6" t="inlineStr"/>
      <c r="AJ36" s="6" t="inlineStr">
        <is>
          <t>repo: v4-02 / v3-04 section 5 / v2-05 section 3</t>
        </is>
      </c>
      <c r="AK36" s="6" t="inlineStr">
        <is>
          <t>CH-0040 (a), CH-0049</t>
        </is>
      </c>
      <c r="AL36" s="6" t="inlineStr">
        <is>
          <t>S08</t>
        </is>
      </c>
    </row>
    <row r="37" ht="40.5" customHeight="1">
      <c r="A37" s="5" t="inlineStr">
        <is>
          <t>C-D08/BS</t>
        </is>
      </c>
      <c r="B37" s="6" t="inlineStr">
        <is>
          <t>Discovery budget B_s (and whether the budget is adequate: RA8, RA4)</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K5 Evaluation contract</t>
        </is>
      </c>
      <c r="I37" s="6" t="inlineStr">
        <is>
          <t>G1 Before any implementation</t>
        </is>
      </c>
      <c r="J37" s="6" t="inlineStr">
        <is>
          <t>High</t>
        </is>
      </c>
      <c r="K37" s="6" t="n">
        <v>53</v>
      </c>
      <c r="L37" s="6" t="inlineStr">
        <is>
          <t>W2 Desk work (no model runs)</t>
        </is>
      </c>
      <c r="M37" s="6" t="inlineStr">
        <is>
          <t>S09</t>
        </is>
      </c>
      <c r="N37" s="6" t="inlineStr">
        <is>
          <t>Joaa + you (or a documented pilot)</t>
        </is>
      </c>
      <c r="O37" s="6" t="inlineStr">
        <is>
          <t>Ask Joaa (Q-J20)</t>
        </is>
      </c>
      <c r="P37" s="6" t="inlineStr">
        <is>
          <t>No</t>
        </is>
      </c>
      <c r="Q37" s="6" t="inlineStr">
        <is>
          <t>Parameter</t>
        </is>
      </c>
      <c r="R37" s="6" t="inlineStr">
        <is>
          <t>Sub-item</t>
        </is>
      </c>
      <c r="S37" s="6" t="inlineStr">
        <is>
          <t>C-D08</t>
        </is>
      </c>
      <c r="T37" s="6" t="inlineStr">
        <is>
          <t>The discovery budget B_s and the trajectory/search budgets that must allow the extra calls (RA4, RA8) are unset.</t>
        </is>
      </c>
      <c r="U37" s="6" t="inlineStr">
        <is>
          <t>Unset.</t>
        </is>
      </c>
      <c r="V37" s="6" t="inlineStr">
        <is>
          <t>Set in the evaluation contract, or deferred to a documented pilot with Joaa's agreement.</t>
        </is>
      </c>
      <c r="W37" s="6" t="inlineStr"/>
      <c r="X37" s="6" t="inlineStr"/>
      <c r="Y37" s="6" t="inlineStr">
        <is>
          <t>Q-J20</t>
        </is>
      </c>
      <c r="Z37" s="6" t="inlineStr">
        <is>
          <t>DESK-ANALYSIS</t>
        </is>
      </c>
      <c r="AA37" s="6" t="inlineStr"/>
      <c r="AB37" s="6" t="inlineStr">
        <is>
          <t>DEC+DATA</t>
        </is>
      </c>
      <c r="AC37" s="6" t="inlineStr">
        <is>
          <t>n/a (sub-item)</t>
        </is>
      </c>
      <c r="AD37" s="6" t="inlineStr">
        <is>
          <t>NEW (repo sweep)</t>
        </is>
      </c>
      <c r="AE37" s="6" t="inlineStr">
        <is>
          <t>2026-10-19</t>
        </is>
      </c>
      <c r="AF37" s="6" t="inlineStr">
        <is>
          <t>v4-02 header ('unset')</t>
        </is>
      </c>
      <c r="AG37" s="6" t="inlineStr"/>
      <c r="AH37" s="6" t="inlineStr">
        <is>
          <t>No</t>
        </is>
      </c>
      <c r="AI37" s="6" t="inlineStr"/>
      <c r="AJ37" s="6" t="inlineStr">
        <is>
          <t>repo: v4-02 / v3-04 section 5 / v2-05 section 3</t>
        </is>
      </c>
      <c r="AK37" s="6" t="inlineStr">
        <is>
          <t>B_s, RA8, RA4</t>
        </is>
      </c>
      <c r="AL37" s="6" t="inlineStr">
        <is>
          <t>S08</t>
        </is>
      </c>
    </row>
    <row r="38" ht="53" customHeight="1">
      <c r="A38" s="5" t="inlineStr">
        <is>
          <t>C-D08/CALLLIM</t>
        </is>
      </c>
      <c r="B38" s="6" t="inlineStr">
        <is>
          <t>Call limit: its value and what counts (discovery calls, LLM-classifier calls, the vehicle's 12 tool-call budget)</t>
        </is>
      </c>
      <c r="C38" s="6" t="inlineStr">
        <is>
          <t>OPEN</t>
        </is>
      </c>
      <c r="D38" s="6">
        <f>IFERROR(INDEX(Lists!$B$2:$B$14,MATCH(C38,Lists!$A$2:$A$14,0)),"?")</f>
        <v/>
      </c>
      <c r="E38" s="6">
        <f>IF(COUNTIFS(Links!$B$2:$B$600,A38,Links!$E$2:$E$600,"Yes")&gt;0,"REVISE","")</f>
        <v/>
      </c>
      <c r="F38" s="6">
        <f>COUNTIFS(Links!$B$2:$B$600,A38,Links!$D$2:$D$600,"No",Links!$C$2:$C$600,"&lt;&gt;INFORMS")</f>
        <v/>
      </c>
      <c r="G38" s="13" t="inlineStr">
        <is>
          <t>DESK-ANALYSIS</t>
        </is>
      </c>
      <c r="H38" s="6" t="inlineStr">
        <is>
          <t>K5 Evaluation contract</t>
        </is>
      </c>
      <c r="I38" s="6" t="inlineStr">
        <is>
          <t>G1 Before any implementation</t>
        </is>
      </c>
      <c r="J38" s="6" t="inlineStr">
        <is>
          <t>High</t>
        </is>
      </c>
      <c r="K38" s="6" t="n">
        <v>54</v>
      </c>
      <c r="L38" s="6" t="inlineStr">
        <is>
          <t>W2 Desk work (no model runs)</t>
        </is>
      </c>
      <c r="M38" s="6" t="inlineStr">
        <is>
          <t>S09</t>
        </is>
      </c>
      <c r="N38" s="6" t="inlineStr">
        <is>
          <t>Joaa + you (or a documented pilot)</t>
        </is>
      </c>
      <c r="O38" s="6" t="inlineStr">
        <is>
          <t>Lead computes or writes it (no model runs)</t>
        </is>
      </c>
      <c r="P38" s="6" t="inlineStr">
        <is>
          <t>No</t>
        </is>
      </c>
      <c r="Q38" s="6" t="inlineStr">
        <is>
          <t>Parameter</t>
        </is>
      </c>
      <c r="R38" s="6" t="inlineStr">
        <is>
          <t>Sub-item</t>
        </is>
      </c>
      <c r="S38" s="6" t="inlineStr">
        <is>
          <t>C-D08</t>
        </is>
      </c>
      <c r="T38" s="6" t="inlineStr">
        <is>
          <t>The call limit's value is the vehicle's; whether discovery calls count against the vehicle's 12 tool-call budget (a bias against discovery arms) and whether an LLM classifier's calls count are unset.</t>
        </is>
      </c>
      <c r="U38" s="6" t="inlineStr">
        <is>
          <t>Unset.</t>
        </is>
      </c>
      <c r="V38" s="6" t="inlineStr">
        <is>
          <t>Set in the evaluation contract, or deferred to a documented pilot with Joaa's agreement.</t>
        </is>
      </c>
      <c r="W38" s="6" t="inlineStr"/>
      <c r="X38" s="6" t="inlineStr"/>
      <c r="Y38" s="6" t="inlineStr">
        <is>
          <t>Q-J20</t>
        </is>
      </c>
      <c r="Z38" s="6" t="inlineStr">
        <is>
          <t>USER-DECISION</t>
        </is>
      </c>
      <c r="AA38" s="6" t="inlineStr"/>
      <c r="AB38" s="6" t="inlineStr">
        <is>
          <t>DEC+DATA</t>
        </is>
      </c>
      <c r="AC38" s="6" t="inlineStr">
        <is>
          <t>n/a (sub-item)</t>
        </is>
      </c>
      <c r="AD38" s="6" t="inlineStr">
        <is>
          <t>NEW (repo sweep)</t>
        </is>
      </c>
      <c r="AE38" s="6" t="inlineStr">
        <is>
          <t>2026-10-19</t>
        </is>
      </c>
      <c r="AF38" s="6" t="inlineStr">
        <is>
          <t>v4-02 notes 3-4; EXT-0084</t>
        </is>
      </c>
      <c r="AG38" s="6" t="inlineStr"/>
      <c r="AH38" s="6" t="inlineStr">
        <is>
          <t>No</t>
        </is>
      </c>
      <c r="AI38" s="6" t="inlineStr"/>
      <c r="AJ38" s="6" t="inlineStr">
        <is>
          <t>repo: v4-02 / v3-04 section 5 / v2-05 section 3</t>
        </is>
      </c>
      <c r="AK38" s="6" t="inlineStr">
        <is>
          <t>RA4</t>
        </is>
      </c>
      <c r="AL38" s="6" t="inlineStr">
        <is>
          <t>S08</t>
        </is>
      </c>
    </row>
    <row r="39" ht="40.5" customHeight="1">
      <c r="A39" s="5" t="inlineStr">
        <is>
          <t>C-D08/CORESWEEP</t>
        </is>
      </c>
      <c r="B39" s="6" t="inlineStr">
        <is>
          <t>Core-size sweep points and models / catalogue sizes</t>
        </is>
      </c>
      <c r="C39" s="6" t="inlineStr">
        <is>
          <t>OPEN</t>
        </is>
      </c>
      <c r="D39" s="6">
        <f>IFERROR(INDEX(Lists!$B$2:$B$14,MATCH(C39,Lists!$A$2:$A$14,0)),"?")</f>
        <v/>
      </c>
      <c r="E39" s="6">
        <f>IF(COUNTIFS(Links!$B$2:$B$600,A39,Links!$E$2:$E$600,"Yes")&gt;0,"REVISE","")</f>
        <v/>
      </c>
      <c r="F39" s="6">
        <f>COUNTIFS(Links!$B$2:$B$600,A39,Links!$D$2:$D$600,"No",Links!$C$2:$C$600,"&lt;&gt;INFORMS")</f>
        <v/>
      </c>
      <c r="G39" s="13" t="inlineStr">
        <is>
          <t>DESK-ANALYSIS</t>
        </is>
      </c>
      <c r="H39" s="6" t="inlineStr">
        <is>
          <t>K5 Evaluation contract</t>
        </is>
      </c>
      <c r="I39" s="6" t="inlineStr">
        <is>
          <t>G1 Before any implementation</t>
        </is>
      </c>
      <c r="J39" s="6" t="inlineStr">
        <is>
          <t>High</t>
        </is>
      </c>
      <c r="K39" s="6" t="n">
        <v>55</v>
      </c>
      <c r="L39" s="6" t="inlineStr">
        <is>
          <t>W2 Desk work (no model runs)</t>
        </is>
      </c>
      <c r="M39" s="6" t="inlineStr">
        <is>
          <t>S09</t>
        </is>
      </c>
      <c r="N39" s="6" t="inlineStr">
        <is>
          <t>Joaa + you (or a documented pilot)</t>
        </is>
      </c>
      <c r="O39" s="6" t="inlineStr">
        <is>
          <t>Lead computes or writes it (no model runs)</t>
        </is>
      </c>
      <c r="P39" s="6" t="inlineStr">
        <is>
          <t>No</t>
        </is>
      </c>
      <c r="Q39" s="6" t="inlineStr">
        <is>
          <t>Parameter</t>
        </is>
      </c>
      <c r="R39" s="6" t="inlineStr">
        <is>
          <t>Sub-item</t>
        </is>
      </c>
      <c r="S39" s="6" t="inlineStr">
        <is>
          <t>C-D08</t>
        </is>
      </c>
      <c r="T39" s="6" t="inlineStr">
        <is>
          <t>Core-size sweep points, the catalogue sizes and the model set are unset.</t>
        </is>
      </c>
      <c r="U39" s="6" t="inlineStr">
        <is>
          <t>Unset.</t>
        </is>
      </c>
      <c r="V39" s="6" t="inlineStr">
        <is>
          <t>Set in the evaluation contract, or deferred to a documented pilot with Joaa's agreement.</t>
        </is>
      </c>
      <c r="W39" s="6" t="inlineStr"/>
      <c r="X39" s="6" t="inlineStr"/>
      <c r="Y39" s="6" t="inlineStr">
        <is>
          <t>Q-J21</t>
        </is>
      </c>
      <c r="Z39" s="6" t="inlineStr">
        <is>
          <t>DESK-ANALYSIS</t>
        </is>
      </c>
      <c r="AA39" s="6" t="inlineStr"/>
      <c r="AB39" s="6" t="inlineStr">
        <is>
          <t>DEC+DATA</t>
        </is>
      </c>
      <c r="AC39" s="6" t="inlineStr">
        <is>
          <t>n/a (sub-item)</t>
        </is>
      </c>
      <c r="AD39" s="6" t="inlineStr">
        <is>
          <t>NEW (repo sweep)</t>
        </is>
      </c>
      <c r="AE39" s="6" t="inlineStr">
        <is>
          <t>2026-10-19</t>
        </is>
      </c>
      <c r="AF39" s="6" t="inlineStr">
        <is>
          <t>v4-02 header ('unset')</t>
        </is>
      </c>
      <c r="AG39" s="6" t="inlineStr"/>
      <c r="AH39" s="6" t="inlineStr">
        <is>
          <t>No</t>
        </is>
      </c>
      <c r="AI39" s="6" t="inlineStr"/>
      <c r="AJ39" s="6" t="inlineStr">
        <is>
          <t>repo: v4-02 / v3-04 section 5 / v2-05 section 3</t>
        </is>
      </c>
      <c r="AK39" s="6" t="inlineStr">
        <is>
          <t>v1-A9</t>
        </is>
      </c>
      <c r="AL39" s="6" t="inlineStr">
        <is>
          <t>S08</t>
        </is>
      </c>
    </row>
    <row r="40" ht="90.5" customHeight="1">
      <c r="A40" s="5" t="inlineStr">
        <is>
          <t>C-D08/DELTA</t>
        </is>
      </c>
      <c r="B40" s="6" t="inlineStr">
        <is>
          <t>Noninferiority margin delta (and per-falsifier and equivalence margins)</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K5 Evaluation contract</t>
        </is>
      </c>
      <c r="I40" s="6" t="inlineStr">
        <is>
          <t>G1 Before any implementation</t>
        </is>
      </c>
      <c r="J40" s="6" t="inlineStr">
        <is>
          <t>High</t>
        </is>
      </c>
      <c r="K40" s="6" t="n">
        <v>56</v>
      </c>
      <c r="L40" s="6" t="inlineStr">
        <is>
          <t>W2 Desk work (no model runs)</t>
        </is>
      </c>
      <c r="M40" s="6" t="inlineStr">
        <is>
          <t>S09</t>
        </is>
      </c>
      <c r="N40" s="6" t="inlineStr">
        <is>
          <t>Joaa + you (or a documented pilot)</t>
        </is>
      </c>
      <c r="O40" s="6" t="inlineStr">
        <is>
          <t>Margin still to set</t>
        </is>
      </c>
      <c r="P40" s="6" t="inlineStr">
        <is>
          <t>No</t>
        </is>
      </c>
      <c r="Q40" s="6" t="inlineStr">
        <is>
          <t>Parameter</t>
        </is>
      </c>
      <c r="R40" s="6" t="inlineStr">
        <is>
          <t>Sub-item</t>
        </is>
      </c>
      <c r="S40" s="6" t="inlineStr">
        <is>
          <t>C-D08</t>
        </is>
      </c>
      <c r="T40" s="6" t="inlineStr">
        <is>
          <t>The success margin delta is unset (with per-falsifier margins and the cost-equivalence margin).</t>
        </is>
      </c>
      <c r="U40" s="6" t="inlineStr">
        <is>
          <t>Unset. 2026-10-21 (AUTH-018): 'you want to match the baseline accuracy while giving lesser and lesser tool each time' (INT-T-004 E206); 'keeping the accuracy as high as possible' (INT-T-003 L159). No margin size, no strata.</t>
        </is>
      </c>
      <c r="V40" s="6" t="inlineStr">
        <is>
          <t>Set in the evaluation contract, or deferred to a documented pilot with Joaa's agreement.</t>
        </is>
      </c>
      <c r="W40" s="6" t="inlineStr"/>
      <c r="X40" s="6" t="inlineStr"/>
      <c r="Y40" s="6" t="inlineStr">
        <is>
          <t>Q-J13, Q-J14</t>
        </is>
      </c>
      <c r="Z40" s="6" t="inlineStr">
        <is>
          <t>DESK-ANALYSIS</t>
        </is>
      </c>
      <c r="AA40" s="6" t="inlineStr"/>
      <c r="AB40" s="6" t="inlineStr">
        <is>
          <t>DEC+DATA</t>
        </is>
      </c>
      <c r="AC40" s="6" t="inlineStr">
        <is>
          <t>n/a (sub-item)</t>
        </is>
      </c>
      <c r="AD40" s="6" t="inlineStr">
        <is>
          <t>NEW (repo sweep)</t>
        </is>
      </c>
      <c r="AE40" s="6" t="inlineStr">
        <is>
          <t>2026-10-21</t>
        </is>
      </c>
      <c r="AF40" s="6" t="inlineStr">
        <is>
          <t>INT-T-004 (requirements/intake/2026-10-21-supervisor-meeting-2026-10-02-excerpts.md); INT-T-003 (requirements/intake/2026-10-21-supervisor-meeting-2026-10-14-notes-and-transcript.md); mapping design/ledger/notes/MEETINGS-MAPPING-20261021.md checked line by line by FND-0035 and FND-0036; REGISTER section H</t>
        </is>
      </c>
      <c r="AG40" s="6" t="inlineStr"/>
      <c r="AH40" s="6" t="inlineStr">
        <is>
          <t>No</t>
        </is>
      </c>
      <c r="AI40" s="6" t="inlineStr"/>
      <c r="AJ40" s="6" t="inlineStr">
        <is>
          <t>repo: v4-02 / v3-04 section 5 / v2-05 section 3</t>
        </is>
      </c>
      <c r="AK40" s="6" t="inlineStr">
        <is>
          <t>delta</t>
        </is>
      </c>
      <c r="AL40" s="6" t="inlineStr">
        <is>
          <t>S08</t>
        </is>
      </c>
    </row>
    <row r="41" ht="128" customHeight="1">
      <c r="A41" s="5" t="inlineStr">
        <is>
          <t>C-D08/EC1</t>
        </is>
      </c>
      <c r="B41" s="6" t="inlineStr">
        <is>
          <t>Unit of analysis, eligible tasks, models/provider/client versions, repeats</t>
        </is>
      </c>
      <c r="C41" s="6" t="inlineStr">
        <is>
          <t>PARTLY ANSWERED</t>
        </is>
      </c>
      <c r="D41" s="6">
        <f>IFERROR(INDEX(Lists!$B$2:$B$14,MATCH(C41,Lists!$A$2:$A$14,0)),"?")</f>
        <v/>
      </c>
      <c r="E41" s="6">
        <f>IF(COUNTIFS(Links!$B$2:$B$600,A41,Links!$E$2:$E$600,"Yes")&gt;0,"REVISE","")</f>
        <v/>
      </c>
      <c r="F41" s="6">
        <f>COUNTIFS(Links!$B$2:$B$600,A41,Links!$D$2:$D$600,"No",Links!$C$2:$C$600,"&lt;&gt;INFORMS")</f>
        <v/>
      </c>
      <c r="G41" s="13" t="inlineStr">
        <is>
          <t>DESK-ANALYSIS</t>
        </is>
      </c>
      <c r="H41" s="6" t="inlineStr">
        <is>
          <t>K5 Evaluation contract</t>
        </is>
      </c>
      <c r="I41" s="6" t="inlineStr">
        <is>
          <t>G1 Before any implementation</t>
        </is>
      </c>
      <c r="J41" s="6" t="inlineStr">
        <is>
          <t>High</t>
        </is>
      </c>
      <c r="K41" s="6" t="n">
        <v>57</v>
      </c>
      <c r="L41" s="6" t="inlineStr">
        <is>
          <t>W2 Desk work (no model runs)</t>
        </is>
      </c>
      <c r="M41" s="6" t="inlineStr">
        <is>
          <t>S09</t>
        </is>
      </c>
      <c r="N41" s="6" t="inlineStr">
        <is>
          <t>Lead drafts; Joaa/you approve</t>
        </is>
      </c>
      <c r="O41" s="6" t="inlineStr">
        <is>
          <t>Write the unit of analysis and the models into the contract</t>
        </is>
      </c>
      <c r="P41" s="6" t="inlineStr">
        <is>
          <t>Partly</t>
        </is>
      </c>
      <c r="Q41" s="6" t="inlineStr">
        <is>
          <t>Contract element</t>
        </is>
      </c>
      <c r="R41" s="6" t="inlineStr">
        <is>
          <t>Sub-item</t>
        </is>
      </c>
      <c r="S41" s="6" t="inlineStr">
        <is>
          <t>C-D08</t>
        </is>
      </c>
      <c r="T41" s="6" t="inlineStr">
        <is>
          <t>SRC-12 Phase 2: the unit of analysis (turn or complete trajectory), eligible tasks, models, provider and client versions and repeats are not fixed.</t>
        </is>
      </c>
      <c r="U41" s="6" t="inlineStr">
        <is>
          <t>Complete trajectories are the working unit; models, providers, repeats unset. 2026-10-21 (AUTH-018): requirements now in his words: 'multiple different goals for your agent ... multiple different settings and also run all the same settings multiple time to ... show the statistical variance' (INT-T-002 L441-L443); any kind of agent (L345-L354); start small, about 20 samples (INT-T-004 E749); the human: several models through a free university API (REQ-U21-01).</t>
        </is>
      </c>
      <c r="V41" s="6" t="inlineStr">
        <is>
          <t>Written in the evaluation contract.</t>
        </is>
      </c>
      <c r="W41" s="6" t="inlineStr"/>
      <c r="X41" s="6" t="inlineStr"/>
      <c r="Y41" s="6" t="inlineStr">
        <is>
          <t>Q-J04, Q-J21, Q-J24, Q-J25</t>
        </is>
      </c>
      <c r="Z41" s="6" t="inlineStr">
        <is>
          <t>JOAA-DECISION, USER-DECISION</t>
        </is>
      </c>
      <c r="AA41" s="6" t="inlineStr"/>
      <c r="AB41" s="6" t="inlineStr">
        <is>
          <t>DEC+DATA</t>
        </is>
      </c>
      <c r="AC41" s="6" t="inlineStr">
        <is>
          <t>n/a (sub-item)</t>
        </is>
      </c>
      <c r="AD41" s="6" t="inlineStr">
        <is>
          <t>NEW (SRC-12)</t>
        </is>
      </c>
      <c r="AE41" s="6" t="inlineStr">
        <is>
          <t>2026-10-21</t>
        </is>
      </c>
      <c r="AF41"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41" s="6" t="inlineStr"/>
      <c r="AH41" s="6" t="inlineStr">
        <is>
          <t>No</t>
        </is>
      </c>
      <c r="AI41" s="6" t="inlineStr"/>
      <c r="AJ41" s="6" t="inlineStr">
        <is>
          <t>SRC-12 Phase 2</t>
        </is>
      </c>
      <c r="AK41" s="6" t="inlineStr">
        <is>
          <t>SRC-12 Phase 2 bullet 1, A12</t>
        </is>
      </c>
      <c r="AL41" s="6" t="inlineStr">
        <is>
          <t>S08</t>
        </is>
      </c>
    </row>
    <row r="42" ht="28" customHeight="1">
      <c r="A42" s="5" t="inlineStr">
        <is>
          <t>C-D08/EC2</t>
        </is>
      </c>
      <c r="B42" s="6" t="inlineStr">
        <is>
          <t>Success/failure, argument-error and no-call outcomes: definitions and adjudication</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K5 Evaluation contract</t>
        </is>
      </c>
      <c r="I42" s="6" t="inlineStr">
        <is>
          <t>G1 Before any implementation</t>
        </is>
      </c>
      <c r="J42" s="6" t="inlineStr">
        <is>
          <t>High</t>
        </is>
      </c>
      <c r="K42" s="6" t="n">
        <v>58</v>
      </c>
      <c r="L42" s="6" t="inlineStr">
        <is>
          <t>W2 Desk work (no model runs)</t>
        </is>
      </c>
      <c r="M42" s="6" t="inlineStr">
        <is>
          <t>S09</t>
        </is>
      </c>
      <c r="N42" s="6" t="inlineStr">
        <is>
          <t>Lead drafts; Joaa/you approve</t>
        </is>
      </c>
      <c r="O42" s="6" t="inlineStr">
        <is>
          <t>Lead computes or writes it (no model runs)</t>
        </is>
      </c>
      <c r="P42" s="6" t="inlineStr">
        <is>
          <t>Partly</t>
        </is>
      </c>
      <c r="Q42" s="6" t="inlineStr">
        <is>
          <t>Contract element</t>
        </is>
      </c>
      <c r="R42" s="6" t="inlineStr">
        <is>
          <t>Sub-item</t>
        </is>
      </c>
      <c r="S42" s="6" t="inlineStr">
        <is>
          <t>C-D08</t>
        </is>
      </c>
      <c r="T42" s="6" t="inlineStr">
        <is>
          <t>SRC-12 Phase 2: how success, failure, argument errors and no-call outcomes are defined and adjudicated.</t>
        </is>
      </c>
      <c r="U42" s="6" t="inlineStr">
        <is>
          <t>One scorer required (E2); outcome splits not specified.</t>
        </is>
      </c>
      <c r="V42" s="6" t="inlineStr">
        <is>
          <t>Written in the evaluation contract.</t>
        </is>
      </c>
      <c r="W42" s="6" t="inlineStr"/>
      <c r="X42" s="6" t="inlineStr"/>
      <c r="Y42" s="6" t="inlineStr">
        <is>
          <t>Q-J20</t>
        </is>
      </c>
      <c r="Z42" s="6" t="inlineStr">
        <is>
          <t>JOAA-DECISION, USER-DECISION</t>
        </is>
      </c>
      <c r="AA42" s="6" t="inlineStr"/>
      <c r="AB42" s="6" t="inlineStr">
        <is>
          <t>DEC+DATA</t>
        </is>
      </c>
      <c r="AC42" s="6" t="inlineStr">
        <is>
          <t>n/a (sub-item)</t>
        </is>
      </c>
      <c r="AD42" s="6" t="inlineStr">
        <is>
          <t>NEW (SRC-12)</t>
        </is>
      </c>
      <c r="AE42" s="6" t="inlineStr">
        <is>
          <t>2026-10-19</t>
        </is>
      </c>
      <c r="AF42" s="6" t="inlineStr">
        <is>
          <t>v4-02 (one scorer); C-S09</t>
        </is>
      </c>
      <c r="AG42" s="6" t="inlineStr"/>
      <c r="AH42" s="6" t="inlineStr">
        <is>
          <t>No</t>
        </is>
      </c>
      <c r="AI42" s="6" t="inlineStr"/>
      <c r="AJ42" s="6" t="inlineStr">
        <is>
          <t>SRC-12 Phase 2</t>
        </is>
      </c>
      <c r="AK42" s="6" t="inlineStr">
        <is>
          <t>SRC-12 Phase 2 bullet 2</t>
        </is>
      </c>
      <c r="AL42" s="6" t="inlineStr">
        <is>
          <t>S08</t>
        </is>
      </c>
    </row>
    <row r="43" ht="28" customHeight="1">
      <c r="A43" s="5" t="inlineStr">
        <is>
          <t>C-D08/EC3</t>
        </is>
      </c>
      <c r="B43" s="6" t="inlineStr">
        <is>
          <t>Exposure levels and allowed discovery / re-addition behaviour</t>
        </is>
      </c>
      <c r="C43" s="6" t="inlineStr">
        <is>
          <t>OPEN</t>
        </is>
      </c>
      <c r="D43" s="6">
        <f>IFERROR(INDEX(Lists!$B$2:$B$14,MATCH(C43,Lists!$A$2:$A$14,0)),"?")</f>
        <v/>
      </c>
      <c r="E43" s="6">
        <f>IF(COUNTIFS(Links!$B$2:$B$600,A43,Links!$E$2:$E$600,"Yes")&gt;0,"REVISE","")</f>
        <v/>
      </c>
      <c r="F43" s="6">
        <f>COUNTIFS(Links!$B$2:$B$600,A43,Links!$D$2:$D$600,"No",Links!$C$2:$C$600,"&lt;&gt;INFORMS")</f>
        <v/>
      </c>
      <c r="G43" s="13" t="inlineStr">
        <is>
          <t>DESK-ANALYSIS</t>
        </is>
      </c>
      <c r="H43" s="6" t="inlineStr">
        <is>
          <t>K5 Evaluation contract</t>
        </is>
      </c>
      <c r="I43" s="6" t="inlineStr">
        <is>
          <t>G1 Before any implementation</t>
        </is>
      </c>
      <c r="J43" s="6" t="inlineStr">
        <is>
          <t>High</t>
        </is>
      </c>
      <c r="K43" s="6" t="n">
        <v>59</v>
      </c>
      <c r="L43" s="6" t="inlineStr">
        <is>
          <t>W2 Desk work (no model runs)</t>
        </is>
      </c>
      <c r="M43" s="6" t="inlineStr">
        <is>
          <t>S09</t>
        </is>
      </c>
      <c r="N43" s="6" t="inlineStr">
        <is>
          <t>Lead drafts; Joaa/you approve</t>
        </is>
      </c>
      <c r="O43" s="6" t="inlineStr">
        <is>
          <t>Lead computes or writes it (no model runs)</t>
        </is>
      </c>
      <c r="P43" s="6" t="inlineStr">
        <is>
          <t>Partly</t>
        </is>
      </c>
      <c r="Q43" s="6" t="inlineStr">
        <is>
          <t>Contract element</t>
        </is>
      </c>
      <c r="R43" s="6" t="inlineStr">
        <is>
          <t>Sub-item</t>
        </is>
      </c>
      <c r="S43" s="6" t="inlineStr">
        <is>
          <t>C-D08</t>
        </is>
      </c>
      <c r="T43" s="6" t="inlineStr">
        <is>
          <t>SRC-12 Phase 2: the exposure levels and the discovery or re-addition behaviour allowed in each arm.</t>
        </is>
      </c>
      <c r="U43" s="6" t="inlineStr">
        <is>
          <t>Figure 1 expresses the configurations; exposure levels (named-only/compact/full) not fixed.</t>
        </is>
      </c>
      <c r="V43" s="6" t="inlineStr">
        <is>
          <t>Written in the evaluation contract.</t>
        </is>
      </c>
      <c r="W43" s="6" t="inlineStr"/>
      <c r="X43" s="6" t="inlineStr"/>
      <c r="Y43" s="6" t="inlineStr">
        <is>
          <t>Q-J12</t>
        </is>
      </c>
      <c r="Z43" s="6" t="inlineStr">
        <is>
          <t>JOAA-DECISION, USER-DECISION</t>
        </is>
      </c>
      <c r="AA43" s="6" t="inlineStr"/>
      <c r="AB43" s="6" t="inlineStr">
        <is>
          <t>DEC+DATA</t>
        </is>
      </c>
      <c r="AC43" s="6" t="inlineStr">
        <is>
          <t>n/a (sub-item)</t>
        </is>
      </c>
      <c r="AD43" s="6" t="inlineStr">
        <is>
          <t>NEW (SRC-12)</t>
        </is>
      </c>
      <c r="AE43" s="6" t="inlineStr">
        <is>
          <t>2026-10-19</t>
        </is>
      </c>
      <c r="AF43" s="6" t="inlineStr">
        <is>
          <t>v4-02 Figure 1 and arm table</t>
        </is>
      </c>
      <c r="AG43" s="6" t="inlineStr"/>
      <c r="AH43" s="6" t="inlineStr">
        <is>
          <t>No</t>
        </is>
      </c>
      <c r="AI43" s="6" t="inlineStr"/>
      <c r="AJ43" s="6" t="inlineStr">
        <is>
          <t>SRC-12 Phase 2</t>
        </is>
      </c>
      <c r="AK43" s="6" t="inlineStr">
        <is>
          <t>SRC-12 Phase 2 bullet 3</t>
        </is>
      </c>
      <c r="AL43" s="6" t="inlineStr">
        <is>
          <t>S08</t>
        </is>
      </c>
    </row>
    <row r="44" ht="28" customHeight="1">
      <c r="A44" s="5" t="inlineStr">
        <is>
          <t>C-D08/EC4</t>
        </is>
      </c>
      <c r="B44" s="6" t="inlineStr">
        <is>
          <t>Reference arm(s), substitute reference, margin, strata, minimum counts</t>
        </is>
      </c>
      <c r="C44" s="6" t="inlineStr">
        <is>
          <t>OPEN</t>
        </is>
      </c>
      <c r="D44" s="6">
        <f>IFERROR(INDEX(Lists!$B$2:$B$14,MATCH(C44,Lists!$A$2:$A$14,0)),"?")</f>
        <v/>
      </c>
      <c r="E44" s="6">
        <f>IF(COUNTIFS(Links!$B$2:$B$600,A44,Links!$E$2:$E$600,"Yes")&gt;0,"REVISE","")</f>
        <v/>
      </c>
      <c r="F44" s="6">
        <f>COUNTIFS(Links!$B$2:$B$600,A44,Links!$D$2:$D$600,"No",Links!$C$2:$C$600,"&lt;&gt;INFORMS")</f>
        <v/>
      </c>
      <c r="G44" s="13" t="inlineStr">
        <is>
          <t>DESK-ANALYSIS</t>
        </is>
      </c>
      <c r="H44" s="6" t="inlineStr">
        <is>
          <t>K5 Evaluation contract</t>
        </is>
      </c>
      <c r="I44" s="6" t="inlineStr">
        <is>
          <t>G1 Before any implementation</t>
        </is>
      </c>
      <c r="J44" s="6" t="inlineStr">
        <is>
          <t>High</t>
        </is>
      </c>
      <c r="K44" s="6" t="n">
        <v>60</v>
      </c>
      <c r="L44" s="6" t="inlineStr">
        <is>
          <t>W2 Desk work (no model runs)</t>
        </is>
      </c>
      <c r="M44" s="6" t="inlineStr">
        <is>
          <t>S09</t>
        </is>
      </c>
      <c r="N44" s="6" t="inlineStr">
        <is>
          <t>Lead drafts; Joaa/you approve</t>
        </is>
      </c>
      <c r="O44" s="6" t="inlineStr">
        <is>
          <t>Lead computes or writes it (no model runs)</t>
        </is>
      </c>
      <c r="P44" s="6" t="inlineStr">
        <is>
          <t>Partly</t>
        </is>
      </c>
      <c r="Q44" s="6" t="inlineStr">
        <is>
          <t>Contract element</t>
        </is>
      </c>
      <c r="R44" s="6" t="inlineStr">
        <is>
          <t>Sub-item</t>
        </is>
      </c>
      <c r="S44" s="6" t="inlineStr">
        <is>
          <t>C-D08</t>
        </is>
      </c>
      <c r="T44" s="6" t="inlineStr">
        <is>
          <t>SRC-12 Phase 2: reference arm(s), any substitute reference, success margin, strata and minimum counts.</t>
        </is>
      </c>
      <c r="U44" s="6" t="inlineStr">
        <is>
          <t>Reference ladder defined; margin, strata, counts unset.</t>
        </is>
      </c>
      <c r="V44" s="6" t="inlineStr">
        <is>
          <t>Written in the evaluation contract.</t>
        </is>
      </c>
      <c r="W44" s="6" t="inlineStr"/>
      <c r="X44" s="6" t="inlineStr"/>
      <c r="Y44" s="6" t="inlineStr">
        <is>
          <t>Q-J20</t>
        </is>
      </c>
      <c r="Z44" s="6" t="inlineStr">
        <is>
          <t>JOAA-DECISION, USER-DECISION</t>
        </is>
      </c>
      <c r="AA44" s="6" t="inlineStr"/>
      <c r="AB44" s="6" t="inlineStr">
        <is>
          <t>DEC+DATA</t>
        </is>
      </c>
      <c r="AC44" s="6" t="inlineStr">
        <is>
          <t>n/a (sub-item)</t>
        </is>
      </c>
      <c r="AD44" s="6" t="inlineStr">
        <is>
          <t>NEW (SRC-12)</t>
        </is>
      </c>
      <c r="AE44" s="6" t="inlineStr">
        <is>
          <t>2026-10-19</t>
        </is>
      </c>
      <c r="AF44" s="6" t="inlineStr">
        <is>
          <t>v4-02 sections 4, 6, 7</t>
        </is>
      </c>
      <c r="AG44" s="6" t="inlineStr"/>
      <c r="AH44" s="6" t="inlineStr">
        <is>
          <t>No</t>
        </is>
      </c>
      <c r="AI44" s="6" t="inlineStr"/>
      <c r="AJ44" s="6" t="inlineStr">
        <is>
          <t>SRC-12 Phase 2</t>
        </is>
      </c>
      <c r="AK44" s="6" t="inlineStr">
        <is>
          <t>SRC-12 Phase 2 bullet 4</t>
        </is>
      </c>
      <c r="AL44" s="6" t="inlineStr">
        <is>
          <t>S08</t>
        </is>
      </c>
    </row>
    <row r="45" ht="90.5" customHeight="1">
      <c r="A45" s="5" t="inlineStr">
        <is>
          <t>C-D08/EC5</t>
        </is>
      </c>
      <c r="B45" s="6" t="inlineStr">
        <is>
          <t>Accounting: input tokens, cached/billed cost, latency, offline selection cost</t>
        </is>
      </c>
      <c r="C45" s="6" t="inlineStr">
        <is>
          <t>PARTLY ANSWERED</t>
        </is>
      </c>
      <c r="D45" s="6">
        <f>IFERROR(INDEX(Lists!$B$2:$B$14,MATCH(C45,Lists!$A$2:$A$14,0)),"?")</f>
        <v/>
      </c>
      <c r="E45" s="6">
        <f>IF(COUNTIFS(Links!$B$2:$B$600,A45,Links!$E$2:$E$600,"Yes")&gt;0,"REVISE","")</f>
        <v/>
      </c>
      <c r="F45" s="6">
        <f>COUNTIFS(Links!$B$2:$B$600,A45,Links!$D$2:$D$600,"No",Links!$C$2:$C$600,"&lt;&gt;INFORMS")</f>
        <v/>
      </c>
      <c r="G45" s="13" t="inlineStr">
        <is>
          <t>DESK-ANALYSIS</t>
        </is>
      </c>
      <c r="H45" s="6" t="inlineStr">
        <is>
          <t>K5 Evaluation contract</t>
        </is>
      </c>
      <c r="I45" s="6" t="inlineStr">
        <is>
          <t>G1 Before any implementation</t>
        </is>
      </c>
      <c r="J45" s="6" t="inlineStr">
        <is>
          <t>High</t>
        </is>
      </c>
      <c r="K45" s="6" t="n">
        <v>61</v>
      </c>
      <c r="L45" s="6" t="inlineStr">
        <is>
          <t>W2 Desk work (no model runs)</t>
        </is>
      </c>
      <c r="M45" s="6" t="inlineStr">
        <is>
          <t>S09</t>
        </is>
      </c>
      <c r="N45" s="6" t="inlineStr">
        <is>
          <t>Lead drafts; Joaa/you approve</t>
        </is>
      </c>
      <c r="O45" s="6" t="inlineStr">
        <is>
          <t>Write the accounting into the contract</t>
        </is>
      </c>
      <c r="P45" s="6" t="inlineStr">
        <is>
          <t>Partly</t>
        </is>
      </c>
      <c r="Q45" s="6" t="inlineStr">
        <is>
          <t>Contract element</t>
        </is>
      </c>
      <c r="R45" s="6" t="inlineStr">
        <is>
          <t>Sub-item</t>
        </is>
      </c>
      <c r="S45" s="6" t="inlineStr">
        <is>
          <t>C-D08</t>
        </is>
      </c>
      <c r="T45" s="6" t="inlineStr">
        <is>
          <t>SRC-12 Phase 2: input-token accounting, cached and billed cost, latency and offline selection cost (separate columns if the objective is undecided).</t>
        </is>
      </c>
      <c r="U45" s="6" t="inlineStr">
        <is>
          <t>Tokens are the working criterion; bill recorded separately; latency is not in any criterion. 2026-10-21 (AUTH-018): money cost per turn, tokens and response time, averaged over turns (INT-T-002 L275, L302, L354); filtering cost counts (INT-T-004 E230-E232).</t>
        </is>
      </c>
      <c r="V45" s="6" t="inlineStr">
        <is>
          <t>Written in the evaluation contract.</t>
        </is>
      </c>
      <c r="W45" s="6" t="inlineStr"/>
      <c r="X45" s="6" t="inlineStr"/>
      <c r="Y45" s="6" t="inlineStr">
        <is>
          <t>Q-J03</t>
        </is>
      </c>
      <c r="Z45" s="6" t="inlineStr">
        <is>
          <t>JOAA-DECISION, USER-DECISION</t>
        </is>
      </c>
      <c r="AA45" s="6" t="inlineStr"/>
      <c r="AB45" s="6" t="inlineStr">
        <is>
          <t>DEC+DATA</t>
        </is>
      </c>
      <c r="AC45" s="6" t="inlineStr">
        <is>
          <t>n/a (sub-item)</t>
        </is>
      </c>
      <c r="AD45" s="6" t="inlineStr">
        <is>
          <t>NEW (SRC-12)</t>
        </is>
      </c>
      <c r="AE45" s="6" t="inlineStr">
        <is>
          <t>2026-10-21</t>
        </is>
      </c>
      <c r="AF45"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45" s="6" t="inlineStr"/>
      <c r="AH45" s="6" t="inlineStr">
        <is>
          <t>No</t>
        </is>
      </c>
      <c r="AI45" s="6" t="inlineStr"/>
      <c r="AJ45" s="6" t="inlineStr">
        <is>
          <t>SRC-12 Phase 2</t>
        </is>
      </c>
      <c r="AK45" s="6" t="inlineStr">
        <is>
          <t>SRC-12 Phase 2 bullet 5</t>
        </is>
      </c>
      <c r="AL45" s="6" t="inlineStr">
        <is>
          <t>S08</t>
        </is>
      </c>
    </row>
    <row r="46" ht="65.5" customHeight="1">
      <c r="A46" s="5" t="inlineStr">
        <is>
          <t>C-D08/EC6</t>
        </is>
      </c>
      <c r="B46" s="6" t="inlineStr">
        <is>
          <t>Analysis plan, stopping rule, uncertainty intervals, exclusions, large-catalogue claim boundary</t>
        </is>
      </c>
      <c r="C46" s="6" t="inlineStr">
        <is>
          <t>PARTLY ANSWERED</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62</v>
      </c>
      <c r="L46" s="6" t="inlineStr">
        <is>
          <t>W2 Desk work (no model runs)</t>
        </is>
      </c>
      <c r="M46" s="6" t="inlineStr">
        <is>
          <t>S09</t>
        </is>
      </c>
      <c r="N46" s="6" t="inlineStr">
        <is>
          <t>Lead drafts; Joaa/you approve</t>
        </is>
      </c>
      <c r="O46" s="6" t="inlineStr">
        <is>
          <t>Write the analysis plan</t>
        </is>
      </c>
      <c r="P46" s="6" t="inlineStr">
        <is>
          <t>Partly</t>
        </is>
      </c>
      <c r="Q46" s="6" t="inlineStr">
        <is>
          <t>Contract element</t>
        </is>
      </c>
      <c r="R46" s="6" t="inlineStr">
        <is>
          <t>Sub-item</t>
        </is>
      </c>
      <c r="S46" s="6" t="inlineStr">
        <is>
          <t>C-D08</t>
        </is>
      </c>
      <c r="T46" s="6" t="inlineStr">
        <is>
          <t>SRC-12 Phase 2: analysis plan, stopping rule, intervals, exclusions and the large-catalogue claim boundary.</t>
        </is>
      </c>
      <c r="U46" s="6" t="inlineStr">
        <is>
          <t>Decision rule S5A and Figure 2 exist; stopping rule and exclusions unspecified. 2026-10-21 (AUTH-018): repeated runs per setting to show statistical variance (INT-T-002 L441-L443); averaging over turns with failing turns allowed (L302-L320).</t>
        </is>
      </c>
      <c r="V46" s="6" t="inlineStr">
        <is>
          <t>Written in the evaluation contract.</t>
        </is>
      </c>
      <c r="W46" s="6" t="inlineStr"/>
      <c r="X46" s="6" t="inlineStr"/>
      <c r="Y46" s="6" t="inlineStr">
        <is>
          <t>Q-J20</t>
        </is>
      </c>
      <c r="Z46" s="6" t="inlineStr">
        <is>
          <t>JOAA-DECISION, USER-DECISION</t>
        </is>
      </c>
      <c r="AA46" s="6" t="inlineStr"/>
      <c r="AB46" s="6" t="inlineStr">
        <is>
          <t>DEC+DATA</t>
        </is>
      </c>
      <c r="AC46" s="6" t="inlineStr">
        <is>
          <t>n/a (sub-item)</t>
        </is>
      </c>
      <c r="AD46" s="6" t="inlineStr">
        <is>
          <t>NEW (SRC-12)</t>
        </is>
      </c>
      <c r="AE46" s="6" t="inlineStr">
        <is>
          <t>2026-10-21</t>
        </is>
      </c>
      <c r="AF46" s="6" t="inlineStr">
        <is>
          <t>INT-T-002 (requirements/intake/2026-10-21-supervisor-meeting-2026-10-21-notes-and-transcript.md); mapping design/ledger/notes/MEETINGS-MAPPING-20261021.md checked line by line by FND-0035 and FND-0036; REGISTER section H</t>
        </is>
      </c>
      <c r="AG46" s="6" t="inlineStr"/>
      <c r="AH46" s="6" t="inlineStr">
        <is>
          <t>No</t>
        </is>
      </c>
      <c r="AI46" s="6" t="inlineStr"/>
      <c r="AJ46" s="6" t="inlineStr">
        <is>
          <t>SRC-12 Phase 2</t>
        </is>
      </c>
      <c r="AK46" s="6" t="inlineStr">
        <is>
          <t>SRC-12 Phase 2 bullet 6</t>
        </is>
      </c>
      <c r="AL46" s="6" t="inlineStr">
        <is>
          <t>S08</t>
        </is>
      </c>
    </row>
    <row r="47" ht="40.5" customHeight="1">
      <c r="A47" s="5" t="inlineStr">
        <is>
          <t>C-D08/EPS</t>
        </is>
      </c>
      <c r="B47" s="6" t="inlineStr">
        <is>
          <t>epsilon: cost tolerance for the parsimony preference (and the order of 'simplest')</t>
        </is>
      </c>
      <c r="C47" s="6" t="inlineStr">
        <is>
          <t>OPEN</t>
        </is>
      </c>
      <c r="D47" s="6">
        <f>IFERROR(INDEX(Lists!$B$2:$B$14,MATCH(C47,Lists!$A$2:$A$14,0)),"?")</f>
        <v/>
      </c>
      <c r="E47" s="6">
        <f>IF(COUNTIFS(Links!$B$2:$B$600,A47,Links!$E$2:$E$600,"Yes")&gt;0,"REVISE","")</f>
        <v/>
      </c>
      <c r="F47" s="6">
        <f>COUNTIFS(Links!$B$2:$B$600,A47,Links!$D$2:$D$600,"No",Links!$C$2:$C$600,"&lt;&gt;INFORMS")</f>
        <v/>
      </c>
      <c r="G47" s="10" t="inlineStr">
        <is>
          <t>JOAA-DECISION</t>
        </is>
      </c>
      <c r="H47" s="6" t="inlineStr">
        <is>
          <t>K5 Evaluation contract</t>
        </is>
      </c>
      <c r="I47" s="6" t="inlineStr">
        <is>
          <t>G1 Before any implementation</t>
        </is>
      </c>
      <c r="J47" s="6" t="inlineStr">
        <is>
          <t>High</t>
        </is>
      </c>
      <c r="K47" s="6" t="n">
        <v>63</v>
      </c>
      <c r="L47" s="6" t="inlineStr">
        <is>
          <t>W2 Desk work (no model runs)</t>
        </is>
      </c>
      <c r="M47" s="6" t="inlineStr">
        <is>
          <t>S09</t>
        </is>
      </c>
      <c r="N47" s="6" t="inlineStr">
        <is>
          <t>Joaa + you (or a documented pilot)</t>
        </is>
      </c>
      <c r="O47" s="6" t="inlineStr">
        <is>
          <t>Ask Joaa (Q-J19, Q-J20)</t>
        </is>
      </c>
      <c r="P47" s="6" t="inlineStr">
        <is>
          <t>No</t>
        </is>
      </c>
      <c r="Q47" s="6" t="inlineStr">
        <is>
          <t>Parameter</t>
        </is>
      </c>
      <c r="R47" s="6" t="inlineStr">
        <is>
          <t>Sub-item</t>
        </is>
      </c>
      <c r="S47" s="6" t="inlineStr">
        <is>
          <t>C-D08</t>
        </is>
      </c>
      <c r="T47" s="6" t="inlineStr">
        <is>
          <t>epsilon (tokens per trajectory) and the pre-registered tie order among equally complex arms are unset; without epsilon the report names no winner.</t>
        </is>
      </c>
      <c r="U47" s="6" t="inlineStr">
        <is>
          <t>Unset.</t>
        </is>
      </c>
      <c r="V47" s="6" t="inlineStr">
        <is>
          <t>Set in the evaluation contract, or deferred to a documented pilot with Joaa's agreement.</t>
        </is>
      </c>
      <c r="W47" s="6" t="inlineStr"/>
      <c r="X47" s="6" t="inlineStr"/>
      <c r="Y47" s="6" t="inlineStr">
        <is>
          <t>Q-J19, Q-J20</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epsilon</t>
        </is>
      </c>
      <c r="AL47" s="6" t="inlineStr">
        <is>
          <t>S08</t>
        </is>
      </c>
    </row>
    <row r="48" ht="265.5" customHeight="1">
      <c r="A48" s="5" t="inlineStr">
        <is>
          <t>C-D08/EXEC</t>
        </is>
      </c>
      <c r="B48" s="6" t="inlineStr">
        <is>
          <t>Identity of 'Executor' and whether it must be an arm (assertion A7)</t>
        </is>
      </c>
      <c r="C48" s="6" t="inlineStr">
        <is>
          <t>PARTLY ANSWERED</t>
        </is>
      </c>
      <c r="D48" s="6">
        <f>IFERROR(INDEX(Lists!$B$2:$B$14,MATCH(C48,Lists!$A$2:$A$14,0)),"?")</f>
        <v/>
      </c>
      <c r="E48" s="6">
        <f>IF(COUNTIFS(Links!$B$2:$B$600,A48,Links!$E$2:$E$600,"Yes")&gt;0,"REVISE","")</f>
        <v/>
      </c>
      <c r="F48" s="6">
        <f>COUNTIFS(Links!$B$2:$B$600,A48,Links!$D$2:$D$600,"No",Links!$C$2:$C$600,"&lt;&gt;INFORMS")</f>
        <v/>
      </c>
      <c r="G48" s="14" t="inlineStr">
        <is>
          <t>SOURCE-REREAD</t>
        </is>
      </c>
      <c r="H48" s="6" t="inlineStr">
        <is>
          <t>K5 Evaluation contract</t>
        </is>
      </c>
      <c r="I48" s="6" t="inlineStr">
        <is>
          <t>G1 Before any implementation</t>
        </is>
      </c>
      <c r="J48" s="6" t="inlineStr">
        <is>
          <t>High</t>
        </is>
      </c>
      <c r="K48" s="6" t="n">
        <v>64</v>
      </c>
      <c r="L48" s="6" t="inlineStr">
        <is>
          <t>W2 Desk work (no model runs)</t>
        </is>
      </c>
      <c r="M48" s="6" t="inlineStr">
        <is>
          <t>S09</t>
        </is>
      </c>
      <c r="N48" s="6" t="inlineStr">
        <is>
          <t>Joaa + you (or a documented pilot)</t>
        </is>
      </c>
      <c r="O48" s="6" t="inlineStr">
        <is>
          <t>Pin the Executor version and models in the contract</t>
        </is>
      </c>
      <c r="P48" s="6" t="inlineStr">
        <is>
          <t>Yes - stored text, unread</t>
        </is>
      </c>
      <c r="Q48" s="6" t="inlineStr">
        <is>
          <t>Parameter</t>
        </is>
      </c>
      <c r="R48" s="6" t="inlineStr">
        <is>
          <t>Sub-item</t>
        </is>
      </c>
      <c r="S48" s="6" t="inlineStr">
        <is>
          <t>C-D08</t>
        </is>
      </c>
      <c r="T48" s="6" t="inlineStr">
        <is>
          <t>Joaa's 'Executor' is identified by researcher records, not transcript lines; the stored Executor docs/code (r4-executor-*) could confirm what the project does.</t>
        </is>
      </c>
      <c r="U48"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 2026-10-21 (AUTH-018): identity in his words: the startup he shared, which lists 'available connection prefix ... GitHub, Strike [Stripe] ... Sentry' and gives extra tools 'tool search ... details ... result' (INT-T-004 E583-E626); on 14 October a stage-two option ('let the LLM know ... these capabilities are present', INT-T-003 L266-L269). The stored r4-executor texts show integration names, a 'Search and invoke' mode and no 'details' or 'results' tool (EXT-0124, EXT-0127), so the version he saw may differ; the human says Executor need not be locked (REQ-U21-01).</t>
        </is>
      </c>
      <c r="V48" s="6" t="inlineStr">
        <is>
          <t>Set in the evaluation contract, or deferred to a documented pilot with Joaa's agreement.</t>
        </is>
      </c>
      <c r="W48" s="6" t="inlineStr"/>
      <c r="X48" s="6" t="inlineStr"/>
      <c r="Y48" s="6" t="inlineStr">
        <is>
          <t>Q-J16</t>
        </is>
      </c>
      <c r="Z48" s="6" t="inlineStr">
        <is>
          <t>JOAA-DECISION</t>
        </is>
      </c>
      <c r="AA48" s="6" t="inlineStr"/>
      <c r="AB48" s="6" t="inlineStr">
        <is>
          <t>SOURCE+DEC</t>
        </is>
      </c>
      <c r="AC48" s="6" t="inlineStr">
        <is>
          <t>n/a (sub-item)</t>
        </is>
      </c>
      <c r="AD48" s="6" t="inlineStr">
        <is>
          <t>NEW (repo sweep)</t>
        </is>
      </c>
      <c r="AE48" s="6" t="inlineStr">
        <is>
          <t>2026-10-21</t>
        </is>
      </c>
      <c r="AF48" s="6" t="inlineStr">
        <is>
          <t>INT-T-004 (requirements/intake/2026-10-21-supervisor-meeting-2026-10-02-excerpts.md); INT-T-003 (requirements/intake/2026-10-21-supervisor-meeting-2026-10-14-notes-and-transcript.md); EXT-0124, EXT-0127; mapping design/ledger/notes/MEETINGS-MAPPING-20261021.md checked line by line by FND-0035 and FND-0036; REGISTER section H</t>
        </is>
      </c>
      <c r="AG48" s="6" t="inlineStr"/>
      <c r="AH48" s="6" t="inlineStr">
        <is>
          <t>No</t>
        </is>
      </c>
      <c r="AI48" s="6" t="inlineStr"/>
      <c r="AJ48" s="6" t="inlineStr">
        <is>
          <t>repo: v4-02 / v3-04 section 5 / v2-05 section 3</t>
        </is>
      </c>
      <c r="AK48" s="6" t="inlineStr">
        <is>
          <t>A7, CAVEATS 6</t>
        </is>
      </c>
      <c r="AL48" s="6" t="inlineStr">
        <is>
          <t>S08</t>
        </is>
      </c>
    </row>
    <row r="49" ht="128" customHeight="1">
      <c r="A49" s="5" t="inlineStr">
        <is>
          <t>C-D08/GATEWAY</t>
        </is>
      </c>
      <c r="B49" s="6" t="inlineStr">
        <is>
          <t>Does a code-mediated or gateway path count as exposure / must it be a baseline arm?</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G1 Before any implementation</t>
        </is>
      </c>
      <c r="J49" s="6" t="inlineStr">
        <is>
          <t>High</t>
        </is>
      </c>
      <c r="K49" s="6" t="n">
        <v>65</v>
      </c>
      <c r="L49" s="6" t="inlineStr">
        <is>
          <t>W2 Desk work (no model runs)</t>
        </is>
      </c>
      <c r="M49" s="6" t="inlineStr">
        <is>
          <t>S09</t>
        </is>
      </c>
      <c r="N49" s="6" t="inlineStr">
        <is>
          <t>Joaa + you (or a documented pilot)</t>
        </is>
      </c>
      <c r="O49" s="6" t="inlineStr">
        <is>
          <t>Write into the contract</t>
        </is>
      </c>
      <c r="P49" s="6" t="inlineStr">
        <is>
          <t>No</t>
        </is>
      </c>
      <c r="Q49" s="6" t="inlineStr">
        <is>
          <t>Parameter</t>
        </is>
      </c>
      <c r="R49" s="6" t="inlineStr">
        <is>
          <t>Sub-item</t>
        </is>
      </c>
      <c r="S49" s="6" t="inlineStr">
        <is>
          <t>C-D08</t>
        </is>
      </c>
      <c r="T49" s="6" t="inlineStr">
        <is>
          <t>Whether the existing code-mediated project (and gateways) is a baseline arm or an exposure policy is unset (brief Q6).</t>
        </is>
      </c>
      <c r="U49" s="6" t="inlineStr">
        <is>
          <t>Unset. 2026-10-21 (AUTH-018): Executor is a required baseline: 'download this run this and figure out okay benchmark it ... This is your baseline. You should have multiple baselines' (INT-T-004 E622-E626); whether a code-mediated path 'counts as exposure' is not discussed. The human added on 21 October: 'executor doesnot have to be locked i am using an API free from my university and it offer bunch of different AI models' (REQ-U21-01).</t>
        </is>
      </c>
      <c r="V49" s="6" t="inlineStr">
        <is>
          <t>Set in the evaluation contract, or deferred to a documented pilot with Joaa's agreement.</t>
        </is>
      </c>
      <c r="W49" s="6" t="inlineStr"/>
      <c r="X49" s="6" t="inlineStr"/>
      <c r="Y49" s="6" t="inlineStr">
        <is>
          <t>Q-J16</t>
        </is>
      </c>
      <c r="Z49" s="6" t="inlineStr">
        <is>
          <t>DESK-ANALYSIS</t>
        </is>
      </c>
      <c r="AA49" s="6" t="inlineStr"/>
      <c r="AB49" s="6" t="inlineStr">
        <is>
          <t>DEC+DATA</t>
        </is>
      </c>
      <c r="AC49" s="6" t="inlineStr">
        <is>
          <t>n/a (sub-item)</t>
        </is>
      </c>
      <c r="AD49" s="6" t="inlineStr">
        <is>
          <t>NEW (repo sweep)</t>
        </is>
      </c>
      <c r="AE49" s="6" t="inlineStr">
        <is>
          <t>2026-10-21</t>
        </is>
      </c>
      <c r="AF49" s="6" t="inlineStr">
        <is>
          <t>INT-T-004 (requirements/intake/2026-10-21-supervisor-meeting-2026-10-02-excerpts.md); ops/AUTHORIZATIONS.md (AUTH-018); mapping design/ledger/notes/MEETINGS-MAPPING-20261021.md checked line by line by FND-0035 and FND-0036; REGISTER section H</t>
        </is>
      </c>
      <c r="AG49" s="6" t="inlineStr"/>
      <c r="AH49" s="6" t="inlineStr">
        <is>
          <t>No</t>
        </is>
      </c>
      <c r="AI49" s="6" t="inlineStr"/>
      <c r="AJ49" s="6" t="inlineStr">
        <is>
          <t>repo: v4-02 / v3-04 section 5 / v2-05 section 3</t>
        </is>
      </c>
      <c r="AK49" s="6" t="inlineStr">
        <is>
          <t>v4-01 Q6</t>
        </is>
      </c>
      <c r="AL49" s="6" t="inlineStr">
        <is>
          <t>S08</t>
        </is>
      </c>
    </row>
    <row r="50" ht="40.5" customHeight="1">
      <c r="A50" s="5" t="inlineStr">
        <is>
          <t>C-D08/HIER</t>
        </is>
      </c>
      <c r="B50" s="6" t="inlineStr">
        <is>
          <t>Navigated hierarchy: source of the hierarchy and budget unit</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66</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The source of the hierarchy (catalogue's own structure or derived) and the budget unit (one level = one discovery) are unset; untested above 400 tools.</t>
        </is>
      </c>
      <c r="U50" s="6" t="inlineStr">
        <is>
          <t>Unset.</t>
        </is>
      </c>
      <c r="V50" s="6" t="inlineStr">
        <is>
          <t>Set in the evaluation contract, or deferred to a documented pilot with Joaa's agreement.</t>
        </is>
      </c>
      <c r="W50" s="6" t="inlineStr"/>
      <c r="X50" s="6" t="inlineStr"/>
      <c r="Y50" s="6" t="inlineStr">
        <is>
          <t>Q-J20</t>
        </is>
      </c>
      <c r="Z50" s="6" t="inlineStr">
        <is>
          <t>DESK-ANALYSIS</t>
        </is>
      </c>
      <c r="AA50" s="6" t="inlineStr"/>
      <c r="AB50" s="6" t="inlineStr">
        <is>
          <t>DEC+DATA</t>
        </is>
      </c>
      <c r="AC50" s="6" t="inlineStr">
        <is>
          <t>n/a (sub-item)</t>
        </is>
      </c>
      <c r="AD50" s="6" t="inlineStr">
        <is>
          <t>NEW (repo sweep)</t>
        </is>
      </c>
      <c r="AE50" s="6" t="inlineStr">
        <is>
          <t>2026-10-19</t>
        </is>
      </c>
      <c r="AF50" s="6" t="inlineStr">
        <is>
          <t>v4-02 section 5</t>
        </is>
      </c>
      <c r="AG50" s="6" t="inlineStr"/>
      <c r="AH50" s="6" t="inlineStr">
        <is>
          <t>No</t>
        </is>
      </c>
      <c r="AI50" s="6" t="inlineStr"/>
      <c r="AJ50" s="6" t="inlineStr">
        <is>
          <t>repo: v4-02 / v3-04 section 5 / v2-05 section 3</t>
        </is>
      </c>
      <c r="AK50" s="6" t="inlineStr"/>
      <c r="AL50" s="6" t="inlineStr">
        <is>
          <t>S08</t>
        </is>
      </c>
    </row>
    <row r="51" ht="40.5" customHeight="1">
      <c r="A51" s="5" t="inlineStr">
        <is>
          <t>C-D08/KAPPA</t>
        </is>
      </c>
      <c r="B51" s="6" t="inlineStr">
        <is>
          <t>Search width kappa</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67</v>
      </c>
      <c r="L51" s="6" t="inlineStr">
        <is>
          <t>W2 Desk work (no model runs)</t>
        </is>
      </c>
      <c r="M51" s="6" t="inlineStr">
        <is>
          <t>S09</t>
        </is>
      </c>
      <c r="N51" s="6" t="inlineStr">
        <is>
          <t>Joaa + you (or a documented pilot)</t>
        </is>
      </c>
      <c r="O51" s="6" t="inlineStr">
        <is>
          <t>Lead computes or writes it (no model runs)</t>
        </is>
      </c>
      <c r="P51" s="6" t="inlineStr">
        <is>
          <t>No</t>
        </is>
      </c>
      <c r="Q51" s="6" t="inlineStr">
        <is>
          <t>Parameter</t>
        </is>
      </c>
      <c r="R51" s="6" t="inlineStr">
        <is>
          <t>Sub-item</t>
        </is>
      </c>
      <c r="S51" s="6" t="inlineStr">
        <is>
          <t>C-D08</t>
        </is>
      </c>
      <c r="T51" s="6" t="inlineStr">
        <is>
          <t>The top-kappa search width is unset.</t>
        </is>
      </c>
      <c r="U51" s="6" t="inlineStr">
        <is>
          <t>Unset.</t>
        </is>
      </c>
      <c r="V51" s="6" t="inlineStr">
        <is>
          <t>Set in the evaluation contract, or deferred to a documented pilot with Joaa's agreement.</t>
        </is>
      </c>
      <c r="W51" s="6" t="inlineStr"/>
      <c r="X51" s="6" t="inlineStr"/>
      <c r="Y51" s="6" t="inlineStr">
        <is>
          <t>Q-J20</t>
        </is>
      </c>
      <c r="Z51" s="6" t="inlineStr">
        <is>
          <t>JOAA-DECISION</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kappa</t>
        </is>
      </c>
      <c r="AL51" s="6" t="inlineStr">
        <is>
          <t>S08</t>
        </is>
      </c>
    </row>
    <row r="52" ht="40.5" customHeight="1">
      <c r="A52" s="5" t="inlineStr">
        <is>
          <t>C-D08/RANKER</t>
        </is>
      </c>
      <c r="B52" s="6" t="inlineStr">
        <is>
          <t>Ranker / selector type and disclosure-grade set</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68</v>
      </c>
      <c r="L52" s="6" t="inlineStr">
        <is>
          <t>W2 Desk work (no model runs)</t>
        </is>
      </c>
      <c r="M52" s="6" t="inlineStr">
        <is>
          <t>S09</t>
        </is>
      </c>
      <c r="N52" s="6" t="inlineStr">
        <is>
          <t>Joaa + you (or a documented pilot)</t>
        </is>
      </c>
      <c r="O52" s="6" t="inlineStr">
        <is>
          <t>Lead computes or writes it (no model runs)</t>
        </is>
      </c>
      <c r="P52" s="6" t="inlineStr">
        <is>
          <t>No</t>
        </is>
      </c>
      <c r="Q52" s="6" t="inlineStr">
        <is>
          <t>Parameter</t>
        </is>
      </c>
      <c r="R52" s="6" t="inlineStr">
        <is>
          <t>Sub-item</t>
        </is>
      </c>
      <c r="S52" s="6" t="inlineStr">
        <is>
          <t>C-D08</t>
        </is>
      </c>
      <c r="T52" s="6" t="inlineStr">
        <is>
          <t>The ranker type, the selector type and the set of disclosure grades are unset.</t>
        </is>
      </c>
      <c r="U52" s="6" t="inlineStr">
        <is>
          <t>Unset.</t>
        </is>
      </c>
      <c r="V52" s="6" t="inlineStr">
        <is>
          <t>Set in the evaluation contract, or deferred to a documented pilot with Joaa's agreement.</t>
        </is>
      </c>
      <c r="W52" s="6" t="inlineStr"/>
      <c r="X52" s="6" t="inlineStr"/>
      <c r="Y52" s="6" t="inlineStr">
        <is>
          <t>Q-J20</t>
        </is>
      </c>
      <c r="Z52" s="6" t="inlineStr">
        <is>
          <t>DESK-ANALYSIS</t>
        </is>
      </c>
      <c r="AA52" s="6" t="inlineStr"/>
      <c r="AB52" s="6" t="inlineStr">
        <is>
          <t>DEC+DATA</t>
        </is>
      </c>
      <c r="AC52" s="6" t="inlineStr">
        <is>
          <t>n/a (sub-item)</t>
        </is>
      </c>
      <c r="AD52" s="6" t="inlineStr">
        <is>
          <t>NEW (repo sweep)</t>
        </is>
      </c>
      <c r="AE52" s="6" t="inlineStr">
        <is>
          <t>2026-10-19</t>
        </is>
      </c>
      <c r="AF52" s="6" t="inlineStr">
        <is>
          <t>v4-02 header ('unset')</t>
        </is>
      </c>
      <c r="AG52" s="6" t="inlineStr"/>
      <c r="AH52" s="6" t="inlineStr">
        <is>
          <t>No</t>
        </is>
      </c>
      <c r="AI52" s="6" t="inlineStr"/>
      <c r="AJ52" s="6" t="inlineStr">
        <is>
          <t>repo: v4-02 / v3-04 section 5 / v2-05 section 3</t>
        </is>
      </c>
      <c r="AK52" s="6" t="inlineStr">
        <is>
          <t>v1-A9</t>
        </is>
      </c>
      <c r="AL52" s="6" t="inlineStr">
        <is>
          <t>S08</t>
        </is>
      </c>
    </row>
    <row r="53" ht="53" customHeight="1">
      <c r="A53" s="5" t="inlineStr">
        <is>
          <t>C-D08/SCOPESTMT</t>
        </is>
      </c>
      <c r="B53" s="6" t="inlineStr">
        <is>
          <t>Scope-statement and interface-contract wording; statement ladder wordings</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69</v>
      </c>
      <c r="L53" s="6" t="inlineStr">
        <is>
          <t>W2 Desk work (no model runs)</t>
        </is>
      </c>
      <c r="M53" s="6" t="inlineStr">
        <is>
          <t>S09</t>
        </is>
      </c>
      <c r="N53" s="6" t="inlineStr">
        <is>
          <t>Joaa + you (or a documented pilot)</t>
        </is>
      </c>
      <c r="O53" s="6" t="inlineStr">
        <is>
          <t>Lead computes or writes it (no model runs)</t>
        </is>
      </c>
      <c r="P53" s="6" t="inlineStr">
        <is>
          <t>No</t>
        </is>
      </c>
      <c r="Q53" s="6" t="inlineStr">
        <is>
          <t>Parameter</t>
        </is>
      </c>
      <c r="R53" s="6" t="inlineStr">
        <is>
          <t>Sub-item</t>
        </is>
      </c>
      <c r="S53" s="6" t="inlineStr">
        <is>
          <t>C-D08</t>
        </is>
      </c>
      <c r="T53" s="6" t="inlineStr">
        <is>
          <t>The wording of the metadata-only scope statement, the interface contract and the statement ladder (generic, catalogue-specific, existence hint) is unset; a catalogue-specific statement partly exposes the catalogue.</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v4-05 section 2 item 3; CH-0062</t>
        </is>
      </c>
      <c r="AG53" s="6" t="inlineStr"/>
      <c r="AH53" s="6" t="inlineStr">
        <is>
          <t>No</t>
        </is>
      </c>
      <c r="AI53" s="6" t="inlineStr"/>
      <c r="AJ53" s="6" t="inlineStr">
        <is>
          <t>repo: v4-02 / v3-04 section 5 / v2-05 section 3</t>
        </is>
      </c>
      <c r="AK53" s="6" t="inlineStr">
        <is>
          <t>CH-0062, RA6</t>
        </is>
      </c>
      <c r="AL53" s="6" t="inlineStr">
        <is>
          <t>S08</t>
        </is>
      </c>
    </row>
    <row r="54" ht="40.5" customHeight="1">
      <c r="A54" s="5" t="inlineStr">
        <is>
          <t>C-D08/STRATA</t>
        </is>
      </c>
      <c r="B54" s="6" t="inlineStr">
        <is>
          <t>Strata and minimum stratum size (and source of strata annotations)</t>
        </is>
      </c>
      <c r="C54" s="6" t="inlineStr">
        <is>
          <t>OPEN</t>
        </is>
      </c>
      <c r="D54" s="6">
        <f>IFERROR(INDEX(Lists!$B$2:$B$14,MATCH(C54,Lists!$A$2:$A$14,0)),"?")</f>
        <v/>
      </c>
      <c r="E54" s="6">
        <f>IF(COUNTIFS(Links!$B$2:$B$600,A54,Links!$E$2:$E$600,"Yes")&gt;0,"REVISE","")</f>
        <v/>
      </c>
      <c r="F54" s="6">
        <f>COUNTIFS(Links!$B$2:$B$600,A54,Links!$D$2:$D$600,"No",Links!$C$2:$C$600,"&lt;&gt;INFORMS")</f>
        <v/>
      </c>
      <c r="G54" s="10" t="inlineStr">
        <is>
          <t>JOAA-DECISION</t>
        </is>
      </c>
      <c r="H54" s="6" t="inlineStr">
        <is>
          <t>K5 Evaluation contract</t>
        </is>
      </c>
      <c r="I54" s="6" t="inlineStr">
        <is>
          <t>G1 Before any implementation</t>
        </is>
      </c>
      <c r="J54" s="6" t="inlineStr">
        <is>
          <t>High</t>
        </is>
      </c>
      <c r="K54" s="6" t="n">
        <v>70</v>
      </c>
      <c r="L54" s="6" t="inlineStr">
        <is>
          <t>W2 Desk work (no model runs)</t>
        </is>
      </c>
      <c r="M54" s="6" t="inlineStr">
        <is>
          <t>S09</t>
        </is>
      </c>
      <c r="N54" s="6" t="inlineStr">
        <is>
          <t>Joaa + you (or a documented pilot)</t>
        </is>
      </c>
      <c r="O54" s="6" t="inlineStr">
        <is>
          <t>Ask Joaa (Q-J14, Q-J20)</t>
        </is>
      </c>
      <c r="P54" s="6" t="inlineStr">
        <is>
          <t>No</t>
        </is>
      </c>
      <c r="Q54" s="6" t="inlineStr">
        <is>
          <t>Parameter</t>
        </is>
      </c>
      <c r="R54" s="6" t="inlineStr">
        <is>
          <t>Sub-item</t>
        </is>
      </c>
      <c r="S54" s="6" t="inlineStr">
        <is>
          <t>C-D08</t>
        </is>
      </c>
      <c r="T54" s="6" t="inlineStr">
        <is>
          <t>Strata, the minimum stratum size and the source of strata annotations are unset (CH-0038 residual).</t>
        </is>
      </c>
      <c r="U54" s="6" t="inlineStr">
        <is>
          <t>Unset.</t>
        </is>
      </c>
      <c r="V54" s="6" t="inlineStr">
        <is>
          <t>Set in the evaluation contract, or deferred to a documented pilot with Joaa's agreement.</t>
        </is>
      </c>
      <c r="W54" s="6" t="inlineStr"/>
      <c r="X54" s="6" t="inlineStr"/>
      <c r="Y54" s="6" t="inlineStr">
        <is>
          <t>Q-J14, Q-J20</t>
        </is>
      </c>
      <c r="Z54" s="6" t="inlineStr">
        <is>
          <t>DESK-ANALYSIS</t>
        </is>
      </c>
      <c r="AA54" s="6" t="inlineStr"/>
      <c r="AB54" s="6" t="inlineStr">
        <is>
          <t>DEC+DATA</t>
        </is>
      </c>
      <c r="AC54" s="6" t="inlineStr">
        <is>
          <t>n/a (sub-item)</t>
        </is>
      </c>
      <c r="AD54" s="6" t="inlineStr">
        <is>
          <t>NEW (repo sweep)</t>
        </is>
      </c>
      <c r="AE54" s="6" t="inlineStr">
        <is>
          <t>2026-10-19</t>
        </is>
      </c>
      <c r="AF54" s="6" t="inlineStr">
        <is>
          <t>v4-02 header ('unset')</t>
        </is>
      </c>
      <c r="AG54" s="6" t="inlineStr"/>
      <c r="AH54" s="6" t="inlineStr">
        <is>
          <t>No</t>
        </is>
      </c>
      <c r="AI54" s="6" t="inlineStr"/>
      <c r="AJ54" s="6" t="inlineStr">
        <is>
          <t>repo: v4-02 / v3-04 section 5 / v2-05 section 3</t>
        </is>
      </c>
      <c r="AK54" s="6" t="inlineStr">
        <is>
          <t>strata</t>
        </is>
      </c>
      <c r="AL54" s="6" t="inlineStr">
        <is>
          <t>S08</t>
        </is>
      </c>
    </row>
    <row r="55" ht="40.5" customHeight="1">
      <c r="A55" s="5" t="inlineStr">
        <is>
          <t>C-D08/TOK</t>
        </is>
      </c>
      <c r="B55" s="6" t="inlineStr">
        <is>
          <t>Tokenizer convention</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71</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The tokenizer or usage-field convention (provider-reported vs own tokenizer) is unset.</t>
        </is>
      </c>
      <c r="U55" s="6" t="inlineStr">
        <is>
          <t>Unset.</t>
        </is>
      </c>
      <c r="V55" s="6" t="inlineStr">
        <is>
          <t>Set in the evaluation contract, or deferred to a documented pilot with Joaa's agreement.</t>
        </is>
      </c>
      <c r="W55" s="6" t="inlineStr"/>
      <c r="X55" s="6" t="inlineStr"/>
      <c r="Y55" s="6" t="inlineStr">
        <is>
          <t>Q-J03</t>
        </is>
      </c>
      <c r="Z55" s="6" t="inlineStr">
        <is>
          <t>JOAA-DECISION</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tokenizer</t>
        </is>
      </c>
      <c r="AL55" s="6" t="inlineStr">
        <is>
          <t>S08</t>
        </is>
      </c>
    </row>
    <row r="56" ht="65.5" customHeight="1">
      <c r="A56" s="5" t="inlineStr">
        <is>
          <t>C-D08</t>
        </is>
      </c>
      <c r="B56" s="6" t="inlineStr">
        <is>
          <t>Arms and baselines (incl.</t>
        </is>
      </c>
      <c r="C56" s="6" t="inlineStr">
        <is>
          <t>PARTLY ANSWERED</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72</v>
      </c>
      <c r="L56" s="6" t="inlineStr">
        <is>
          <t>W2 Desk work (no model runs)</t>
        </is>
      </c>
      <c r="M56" s="6" t="inlineStr">
        <is>
          <t>S09</t>
        </is>
      </c>
      <c r="N56" s="6" t="inlineStr">
        <is>
          <t>Joaa + you</t>
        </is>
      </c>
      <c r="O56" s="6" t="inlineStr">
        <is>
          <t>Ask Joaa (Q-J01, Q-J16, Q-J20, Q-U06)</t>
        </is>
      </c>
      <c r="P56" s="6" t="inlineStr">
        <is>
          <t>Partly</t>
        </is>
      </c>
      <c r="Q56" s="6" t="inlineStr">
        <is>
          <t>Decision</t>
        </is>
      </c>
      <c r="R56" s="6" t="inlineStr">
        <is>
          <t>Item</t>
        </is>
      </c>
      <c r="S56" s="6" t="inlineStr"/>
      <c r="T56" s="6" t="inlineStr">
        <is>
          <t>Arms and baselines (incl. who or what 'Executor' is), maintained-performance margin, alpha, strata, N_dep, epsilon, tokenizer, ranker, search budget are unset.</t>
        </is>
      </c>
      <c r="U56" s="6" t="inlineStr">
        <is>
          <t>v4 added the navigated-hierarchy arm; parameters still unset. 'Executor as named baseline' is a researcher identification, not transcript text. Arms and baselines are G1; numeric parameters are G3.</t>
        </is>
      </c>
      <c r="V56" s="6" t="inlineStr">
        <is>
          <t>Arm table and comparison contract fixed in writing; unset numbers deferred to a pilot only with Joaa's agreement.</t>
        </is>
      </c>
      <c r="W56" s="6" t="inlineStr">
        <is>
          <t>C-D01, C-D02, C-D03, C-D05</t>
        </is>
      </c>
      <c r="X56" s="6" t="inlineStr">
        <is>
          <t>C-D11</t>
        </is>
      </c>
      <c r="Y56" s="6" t="inlineStr">
        <is>
          <t>Q-J01, Q-J16, Q-J20, Q-U06, Q-J30</t>
        </is>
      </c>
      <c r="Z56" s="6" t="inlineStr">
        <is>
          <t>USER-DECISION, DESK-ANALYSIS</t>
        </is>
      </c>
      <c r="AA56" s="6" t="inlineStr">
        <is>
          <t>K11 End-to-end comparison</t>
        </is>
      </c>
      <c r="AB56" s="6" t="inlineStr">
        <is>
          <t>DEC+DATA</t>
        </is>
      </c>
      <c r="AC56" s="6" t="inlineStr">
        <is>
          <t>PARTLY ANSWERED - OPEN</t>
        </is>
      </c>
      <c r="AD56" s="6" t="inlineStr">
        <is>
          <t>UNCHANGED</t>
        </is>
      </c>
      <c r="AE56" s="6" t="inlineStr">
        <is>
          <t>2026-10-19</t>
        </is>
      </c>
      <c r="AF56" s="6" t="inlineStr">
        <is>
          <t>v4-02 sections 5-7; CAVEATS row 6</t>
        </is>
      </c>
      <c r="AG56" s="6" t="inlineStr"/>
      <c r="AH56" s="6" t="inlineStr">
        <is>
          <t>No</t>
        </is>
      </c>
      <c r="AI56" s="6" t="inlineStr"/>
      <c r="AJ56" s="6" t="inlineStr">
        <is>
          <t>SRC-11 canonical</t>
        </is>
      </c>
      <c r="AK56" s="6" t="inlineStr">
        <is>
          <t>SRC-06 D10, SRC-06 D11, v1-A9, v3-04 section 5</t>
        </is>
      </c>
      <c r="AL56" s="6" t="inlineStr">
        <is>
          <t>S08</t>
        </is>
      </c>
    </row>
    <row r="57" ht="240.5" customHeight="1">
      <c r="A57" s="5" t="inlineStr">
        <is>
          <t>C-E05</t>
        </is>
      </c>
      <c r="B57" s="6" t="inlineStr">
        <is>
          <t>Provider prices and implementation change; the repo's price evidence is dated 2026-10-11 (SRC-11 reports a ...</t>
        </is>
      </c>
      <c r="C57" s="6" t="inlineStr">
        <is>
          <t>PARTLY ANSWERED</t>
        </is>
      </c>
      <c r="D57" s="6">
        <f>IFERROR(INDEX(Lists!$B$2:$B$14,MATCH(C57,Lists!$A$2:$A$14,0)),"?")</f>
        <v/>
      </c>
      <c r="E57" s="6">
        <f>IF(COUNTIFS(Links!$B$2:$B$600,A57,Links!$E$2:$E$600,"Yes")&gt;0,"REVISE","")</f>
        <v/>
      </c>
      <c r="F57" s="6">
        <f>COUNTIFS(Links!$B$2:$B$600,A57,Links!$D$2:$D$600,"No",Links!$C$2:$C$600,"&lt;&gt;INFORMS")</f>
        <v/>
      </c>
      <c r="G57" s="15" t="inlineStr">
        <is>
          <t>TIME-RECHECK</t>
        </is>
      </c>
      <c r="H57" s="6" t="inlineStr">
        <is>
          <t>K15 Expiring provider facts</t>
        </is>
      </c>
      <c r="I57" s="6" t="inlineStr">
        <is>
          <t>G2 Before the affected pilot/arm</t>
        </is>
      </c>
      <c r="J57" s="6" t="inlineStr">
        <is>
          <t>High</t>
        </is>
      </c>
      <c r="K57" s="6" t="n">
        <v>75</v>
      </c>
      <c r="L57" s="6" t="inlineStr">
        <is>
          <t>W2 Desk work (no model runs)</t>
        </is>
      </c>
      <c r="M57" s="6" t="inlineStr">
        <is>
          <t>S10</t>
        </is>
      </c>
      <c r="N57" s="6" t="inlineStr">
        <is>
          <t>Lead (web) with a dated table</t>
        </is>
      </c>
      <c r="O57" s="6" t="inlineStr">
        <is>
          <t>Recheck at claim time</t>
        </is>
      </c>
      <c r="P57" s="6" t="inlineStr">
        <is>
          <t>Partly</t>
        </is>
      </c>
      <c r="Q57" s="6" t="inlineStr">
        <is>
          <t>Source check</t>
        </is>
      </c>
      <c r="R57" s="6" t="inlineStr">
        <is>
          <t>Item</t>
        </is>
      </c>
      <c r="S57" s="6" t="inlineStr"/>
      <c r="T57" s="6" t="inlineStr">
        <is>
          <t>Provider prices and implementation change; the repo's price evidence is dated 2026-10-11 (SRC-11 reports a 17-18 Oct check).</t>
        </is>
      </c>
      <c r="U57"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57" s="6" t="inlineStr">
        <is>
          <t>A dated price table now (before Pilot A); repeat at step S24 before any current-price claim, because prices expire.</t>
        </is>
      </c>
      <c r="W57" s="6" t="inlineStr">
        <is>
          <t>N-5, C-D02</t>
        </is>
      </c>
      <c r="X57" s="6" t="inlineStr"/>
      <c r="Y57" s="6" t="inlineStr">
        <is>
          <t>Q-J03, Q-J24, Q-U21</t>
        </is>
      </c>
      <c r="Z57" s="6" t="inlineStr">
        <is>
          <t>SOURCE-REREAD</t>
        </is>
      </c>
      <c r="AA57" s="6" t="inlineStr">
        <is>
          <t>K9 Cache &amp; billing</t>
        </is>
      </c>
      <c r="AB57" s="6" t="inlineStr">
        <is>
          <t>TIME+SOURCE</t>
        </is>
      </c>
      <c r="AC57" s="6" t="inlineStr">
        <is>
          <t>BOUNDARY - OPEN</t>
        </is>
      </c>
      <c r="AD57" s="6" t="inlineStr">
        <is>
          <t>UNCHANGED</t>
        </is>
      </c>
      <c r="AE57" s="6" t="inlineStr">
        <is>
          <t>2026-10-19</t>
        </is>
      </c>
      <c r="AF57" s="6" t="inlineStr">
        <is>
          <t>evidence/literature-20261019/price-*-20261019 and MANIFEST.jsonl (the manifest's 'auth' field says AUTH-013 because the pinned fetch helper hard-codes it; the fetch was made under AUTH-016); EXT-0085, EXT-0086, EXT-0089</t>
        </is>
      </c>
      <c r="AG57" s="6" t="inlineStr">
        <is>
          <t>Before any current-price claim, and whenever a provider/model is chosen or the bill becomes the objective</t>
        </is>
      </c>
      <c r="AH57" s="6" t="inlineStr">
        <is>
          <t>No (AUTH-016 covers web fetches for this item)</t>
        </is>
      </c>
      <c r="AI57" s="6" t="inlineStr"/>
      <c r="AJ57" s="6" t="inlineStr">
        <is>
          <t>SRC-11 canonical</t>
        </is>
      </c>
      <c r="AK57" s="6" t="inlineStr">
        <is>
          <t>SRC-07 31</t>
        </is>
      </c>
      <c r="AL57" s="6" t="inlineStr">
        <is>
          <t>S10</t>
        </is>
      </c>
    </row>
    <row r="58" ht="300" customHeight="1">
      <c r="A58" s="5" t="inlineStr">
        <is>
          <t>AS-07</t>
        </is>
      </c>
      <c r="B58" s="6" t="inlineStr">
        <is>
          <t>Supervisor assertion A7: 'Executor' exposes connection prefixes and meta-tools (tool search, details, results) instead of listing all tools</t>
        </is>
      </c>
      <c r="C58" s="6" t="inlineStr">
        <is>
          <t>PARTLY ANSWERED</t>
        </is>
      </c>
      <c r="D58" s="6">
        <f>IFERROR(INDEX(Lists!$B$2:$B$14,MATCH(C58,Lists!$A$2:$A$14,0)),"?")</f>
        <v/>
      </c>
      <c r="E58" s="6">
        <f>IF(COUNTIFS(Links!$B$2:$B$600,A58,Links!$E$2:$E$600,"Yes")&gt;0,"REVISE","")</f>
        <v/>
      </c>
      <c r="F58" s="6">
        <f>COUNTIFS(Links!$B$2:$B$600,A58,Links!$D$2:$D$600,"No",Links!$C$2:$C$600,"&lt;&gt;INFORMS")</f>
        <v/>
      </c>
      <c r="G58" s="14" t="inlineStr">
        <is>
          <t>SOURCE-REREAD</t>
        </is>
      </c>
      <c r="H58" s="6" t="inlineStr">
        <is>
          <t>K14 Source &amp; vendor verification</t>
        </is>
      </c>
      <c r="I58" s="6" t="inlineStr">
        <is>
          <t>G4 Before claims</t>
        </is>
      </c>
      <c r="J58" s="6" t="inlineStr">
        <is>
          <t>Normal</t>
        </is>
      </c>
      <c r="K58" s="6" t="n">
        <v>76</v>
      </c>
      <c r="L58" s="6" t="inlineStr">
        <is>
          <t>W2 Desk work (no model runs)</t>
        </is>
      </c>
      <c r="M58" s="6" t="inlineStr">
        <is>
          <t>S11</t>
        </is>
      </c>
      <c r="N58" s="6" t="inlineStr">
        <is>
          <t>Lead / team</t>
        </is>
      </c>
      <c r="O58" s="6" t="inlineStr">
        <is>
          <t>Check the Executor version when pinning it</t>
        </is>
      </c>
      <c r="P58" s="6" t="inlineStr">
        <is>
          <t>Yes - stored text, unread</t>
        </is>
      </c>
      <c r="Q58" s="6" t="inlineStr">
        <is>
          <t>Claim to test</t>
        </is>
      </c>
      <c r="R58" s="6" t="inlineStr">
        <is>
          <t>Item</t>
        </is>
      </c>
      <c r="S58" s="6" t="inlineStr"/>
      <c r="T58" s="6" t="inlineStr">
        <is>
          <t>REQ-A1 A7: 'Executor' exposes connection prefixes and meta-tools (tool search, details, results) instead of listing all tools. Product identity and behaviour must be checked at source; Executor docs/code are stored (r4-executor-*).</t>
        </is>
      </c>
      <c r="U58"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 2026-10-21 (AUTH-018): the supervisor's own description (INT-T-004 E605-E626) names connection prefixes and tool search, details and result tools; the stored Executor texts show integration names, search and invoke, no 'details' or 'results' tool and no prefixes (EXT-0124, EXT-0127); a version difference is possible.</t>
        </is>
      </c>
      <c r="V58" s="6" t="inlineStr">
        <is>
          <t>Product identity and behaviour must be checked at source; Executor docs/code are stored (r4-executor-*).</t>
        </is>
      </c>
      <c r="W58" s="6" t="inlineStr"/>
      <c r="X58" s="6" t="inlineStr"/>
      <c r="Y58" s="6" t="inlineStr">
        <is>
          <t>Q-J16</t>
        </is>
      </c>
      <c r="Z58" s="6" t="inlineStr"/>
      <c r="AA58" s="6" t="inlineStr"/>
      <c r="AB58" s="6" t="inlineStr">
        <is>
          <t>SOURCE</t>
        </is>
      </c>
      <c r="AC58" s="6" t="inlineStr">
        <is>
          <t>n/a (REGISTER E)</t>
        </is>
      </c>
      <c r="AD58" s="6" t="inlineStr">
        <is>
          <t>NEW (repo sweep)</t>
        </is>
      </c>
      <c r="AE58" s="6" t="inlineStr">
        <is>
          <t>2026-10-21</t>
        </is>
      </c>
      <c r="AF58" s="6" t="inlineStr">
        <is>
          <t>INT-T-004 (requirements/intake/2026-10-21-supervisor-meeting-2026-10-02-excerpts.md); mapping design/ledger/notes/MEETINGS-MAPPING-20261021.md checked line by line by FND-0035 and FND-0036; REGISTER section H</t>
        </is>
      </c>
      <c r="AG58" s="6" t="inlineStr"/>
      <c r="AH58" s="6" t="inlineStr">
        <is>
          <t>No</t>
        </is>
      </c>
      <c r="AI58" s="6" t="inlineStr"/>
      <c r="AJ58" s="6" t="inlineStr">
        <is>
          <t>repo: REGISTER section E / EXT-0004</t>
        </is>
      </c>
      <c r="AK58" s="6" t="inlineStr">
        <is>
          <t>REQ-A1 A7</t>
        </is>
      </c>
      <c r="AL58" s="6" t="inlineStr">
        <is>
          <t>S11</t>
        </is>
      </c>
    </row>
    <row r="59" ht="53" customHeight="1">
      <c r="A59" s="5" t="inlineStr">
        <is>
          <t>C-E01</t>
        </is>
      </c>
      <c r="B59" s="6" t="inlineStr">
        <is>
          <t>Ten disputed or unverified paper/vendor claims and propagation defects (e.g., the 292K flat-catalogue figure).</t>
        </is>
      </c>
      <c r="C59" s="6" t="inlineStr">
        <is>
          <t>PARTLY ANSWERED</t>
        </is>
      </c>
      <c r="D59" s="6">
        <f>IFERROR(INDEX(Lists!$B$2:$B$14,MATCH(C59,Lists!$A$2:$A$14,0)),"?")</f>
        <v/>
      </c>
      <c r="E59" s="6">
        <f>IF(COUNTIFS(Links!$B$2:$B$600,A59,Links!$E$2:$E$600,"Yes")&gt;0,"REVISE","")</f>
        <v/>
      </c>
      <c r="F59" s="6">
        <f>COUNTIFS(Links!$B$2:$B$600,A59,Links!$D$2:$D$600,"No",Links!$C$2:$C$600,"&lt;&gt;INFORMS")</f>
        <v/>
      </c>
      <c r="G59" s="14" t="inlineStr">
        <is>
          <t>SOURCE-REREAD</t>
        </is>
      </c>
      <c r="H59" s="6" t="inlineStr">
        <is>
          <t>K14 Source &amp; vendor verification</t>
        </is>
      </c>
      <c r="I59" s="6" t="inlineStr">
        <is>
          <t>G4 Before claims</t>
        </is>
      </c>
      <c r="J59" s="6" t="inlineStr">
        <is>
          <t>Normal</t>
        </is>
      </c>
      <c r="K59" s="6" t="n">
        <v>77</v>
      </c>
      <c r="L59" s="6" t="inlineStr">
        <is>
          <t>W2 Desk work (no model runs)</t>
        </is>
      </c>
      <c r="M59" s="6" t="inlineStr">
        <is>
          <t>S11</t>
        </is>
      </c>
      <c r="N59" s="6" t="inlineStr">
        <is>
          <t>Lead + steward (authors for table conflicts)</t>
        </is>
      </c>
      <c r="O59" s="6" t="inlineStr">
        <is>
          <t>Read the stored text first (tools/origin_extract.py)</t>
        </is>
      </c>
      <c r="P59" s="6" t="inlineStr">
        <is>
          <t>Yes - stored text, unread</t>
        </is>
      </c>
      <c r="Q59" s="6" t="inlineStr">
        <is>
          <t>Source check</t>
        </is>
      </c>
      <c r="R59" s="6" t="inlineStr">
        <is>
          <t>Item</t>
        </is>
      </c>
      <c r="S59" s="6" t="inlineStr"/>
      <c r="T59" s="6" t="inlineStr">
        <is>
          <t>Ten disputed or unverified paper/vendor claims and propagation defects (e.g., the 292K flat-catalogue figure).</t>
        </is>
      </c>
      <c r="U59" s="6" t="inlineStr">
        <is>
          <t>One sub-claim (292K figure) traced to the benchmark repo's development document, not the paper (v4-03 section 2); the others concern the Phase 1 dossier outside the repo.</t>
        </is>
      </c>
      <c r="V59" s="6" t="inlineStr">
        <is>
          <t>Original versions/tables opened; derivative claims corrected; unreplicable vendor data labelled.</t>
        </is>
      </c>
      <c r="W59" s="6" t="inlineStr"/>
      <c r="X59" s="6" t="inlineStr">
        <is>
          <t>C-D01, C-D08</t>
        </is>
      </c>
      <c r="Y59" s="6" t="inlineStr"/>
      <c r="Z59" s="6" t="inlineStr">
        <is>
          <t>AUTHOR-OR-VENDOR, RECORDS-AT-HAND</t>
        </is>
      </c>
      <c r="AA59" s="6" t="inlineStr"/>
      <c r="AB59" s="6" t="inlineStr">
        <is>
          <t>SOURCE+RECORD+AUTHOR</t>
        </is>
      </c>
      <c r="AC59" s="6" t="inlineStr">
        <is>
          <t>OPEN</t>
        </is>
      </c>
      <c r="AD59" s="6" t="inlineStr">
        <is>
          <t>NARROWED</t>
        </is>
      </c>
      <c r="AE59" s="6" t="inlineStr">
        <is>
          <t>2026-10-19</t>
        </is>
      </c>
      <c r="AF59" s="6" t="inlineStr">
        <is>
          <t>v4-03 section 2; EXT-0084</t>
        </is>
      </c>
      <c r="AG59" s="6" t="inlineStr"/>
      <c r="AH59" s="6" t="inlineStr">
        <is>
          <t>No (AUTH-016 covers web fetches for this item)</t>
        </is>
      </c>
      <c r="AI59" s="6" t="inlineStr"/>
      <c r="AJ59" s="6" t="inlineStr">
        <is>
          <t>SRC-11 canonical</t>
        </is>
      </c>
      <c r="AK59" s="6" t="inlineStr">
        <is>
          <t>SRC-06 E01-E10</t>
        </is>
      </c>
      <c r="AL59" s="6" t="inlineStr">
        <is>
          <t>S11</t>
        </is>
      </c>
    </row>
    <row r="60" ht="65.5" customHeight="1">
      <c r="A60" s="5" t="inlineStr">
        <is>
          <t>C-E01/E02</t>
        </is>
      </c>
      <c r="B60" s="6" t="inlineStr">
        <is>
          <t>Toollery replay library, selector comparability, pricing protocol unstated</t>
        </is>
      </c>
      <c r="C60" s="6" t="inlineStr">
        <is>
          <t>NOT LOCATED</t>
        </is>
      </c>
      <c r="D60" s="6">
        <f>IFERROR(INDEX(Lists!$B$2:$B$14,MATCH(C60,Lists!$A$2:$A$14,0)),"?")</f>
        <v/>
      </c>
      <c r="E60" s="6">
        <f>IF(COUNTIFS(Links!$B$2:$B$600,A60,Links!$E$2:$E$600,"Yes")&gt;0,"REVISE","")</f>
        <v/>
      </c>
      <c r="F60" s="6">
        <f>COUNTIFS(Links!$B$2:$B$600,A60,Links!$D$2:$D$600,"No",Links!$C$2:$C$600,"&lt;&gt;INFORMS")</f>
        <v/>
      </c>
      <c r="G60" s="16" t="inlineStr">
        <is>
          <t>AUTHOR-OR-VENDOR</t>
        </is>
      </c>
      <c r="H60" s="6" t="inlineStr">
        <is>
          <t>K14 Source &amp; vendor verification</t>
        </is>
      </c>
      <c r="I60" s="6" t="inlineStr">
        <is>
          <t>G4 Before claims</t>
        </is>
      </c>
      <c r="J60" s="6" t="inlineStr">
        <is>
          <t>Normal</t>
        </is>
      </c>
      <c r="K60" s="6" t="n">
        <v>80</v>
      </c>
      <c r="L60" s="6" t="inlineStr">
        <is>
          <t>W2 Desk work (no model runs)</t>
        </is>
      </c>
      <c r="M60" s="6" t="inlineStr">
        <is>
          <t>S11</t>
        </is>
      </c>
      <c r="N60" s="6" t="inlineStr">
        <is>
          <t>Authors</t>
        </is>
      </c>
      <c r="O60" s="6" t="inlineStr">
        <is>
          <t>You send the drafted ask (design/ledger/notes/AUTHOR-ASKS-DRAFT-20261020.md, section 4) and record the reply; until then it waits on the authors</t>
        </is>
      </c>
      <c r="P60" s="6" t="inlineStr">
        <is>
          <t>Partly</t>
        </is>
      </c>
      <c r="Q60" s="6" t="inlineStr">
        <is>
          <t>Source check</t>
        </is>
      </c>
      <c r="R60" s="6" t="inlineStr">
        <is>
          <t>Sub-item</t>
        </is>
      </c>
      <c r="S60" s="6" t="inlineStr">
        <is>
          <t>C-E01</t>
        </is>
      </c>
      <c r="T60" s="6" t="inlineStr">
        <is>
          <t>SRC-06 E02: Toollery's replay library, selector comparability and pricing protocol are unstated in the stored text.</t>
        </is>
      </c>
      <c r="U60" s="6" t="inlineStr">
        <is>
          <t>The repo confirms the stored text lacks them; the fitted multiplier is treated as study-specific.</t>
        </is>
      </c>
      <c r="V60" s="6" t="inlineStr">
        <is>
          <t>Authors answer, or 'not provided' recorded and the number labelled study-specific.</t>
        </is>
      </c>
      <c r="W60" s="6" t="inlineStr"/>
      <c r="X60" s="6" t="inlineStr"/>
      <c r="Y60" s="6" t="inlineStr"/>
      <c r="Z60" s="6" t="inlineStr"/>
      <c r="AA60" s="6" t="inlineStr"/>
      <c r="AB60" s="6" t="inlineStr">
        <is>
          <t>SOURCE+AUTHOR</t>
        </is>
      </c>
      <c r="AC60" s="6" t="inlineStr">
        <is>
          <t>n/a (sub-item)</t>
        </is>
      </c>
      <c r="AD60" s="6" t="inlineStr">
        <is>
          <t>NEW (SRC-11 sub-row)</t>
        </is>
      </c>
      <c r="AE60" s="6" t="inlineStr">
        <is>
          <t>2026-10-20</t>
        </is>
      </c>
      <c r="AF60" s="6" t="inlineStr">
        <is>
          <t>v3-01 section 5: 'the model, pricing and candidate-list construction are not in the stored text'; sources.json s4b-wd-toollery</t>
        </is>
      </c>
      <c r="AG60" s="6" t="inlineStr"/>
      <c r="AH60" s="6" t="inlineStr">
        <is>
          <t>No (AUTH-016 covers web fetches for this item)</t>
        </is>
      </c>
      <c r="AI60" s="6" t="inlineStr"/>
      <c r="AJ60" s="6" t="inlineStr">
        <is>
          <t>SRC-11 section D1</t>
        </is>
      </c>
      <c r="AK60" s="6" t="inlineStr">
        <is>
          <t>SRC-06 E02</t>
        </is>
      </c>
      <c r="AL60" s="6" t="inlineStr">
        <is>
          <t>S11</t>
        </is>
      </c>
    </row>
    <row r="61" ht="53" customHeight="1">
      <c r="A61" s="5" t="inlineStr">
        <is>
          <t>C-E01/E05</t>
        </is>
      </c>
      <c r="B61" s="6" t="inlineStr">
        <is>
          <t>Did the earlier body use the MCP-Bench distractor-server result?</t>
        </is>
      </c>
      <c r="C61" s="6" t="inlineStr">
        <is>
          <t>OPEN</t>
        </is>
      </c>
      <c r="D61" s="6">
        <f>IFERROR(INDEX(Lists!$B$2:$B$14,MATCH(C61,Lists!$A$2:$A$14,0)),"?")</f>
        <v/>
      </c>
      <c r="E61" s="6">
        <f>IF(COUNTIFS(Links!$B$2:$B$600,A61,Links!$E$2:$E$600,"Yes")&gt;0,"REVISE","")</f>
        <v/>
      </c>
      <c r="F61" s="6">
        <f>COUNTIFS(Links!$B$2:$B$600,A61,Links!$D$2:$D$600,"No",Links!$C$2:$C$600,"&lt;&gt;INFORMS")</f>
        <v/>
      </c>
      <c r="G61" s="8" t="inlineStr">
        <is>
          <t>RECORDS-AT-HAND</t>
        </is>
      </c>
      <c r="H61" s="6" t="inlineStr">
        <is>
          <t>K14 Source &amp; vendor verification</t>
        </is>
      </c>
      <c r="I61" s="6" t="inlineStr">
        <is>
          <t>G4 Before claims</t>
        </is>
      </c>
      <c r="J61" s="6" t="inlineStr">
        <is>
          <t>Normal</t>
        </is>
      </c>
      <c r="K61" s="6" t="n">
        <v>83</v>
      </c>
      <c r="L61" s="6" t="inlineStr">
        <is>
          <t>W2 Desk work (no model runs)</t>
        </is>
      </c>
      <c r="M61" s="6" t="inlineStr">
        <is>
          <t>S11</t>
        </is>
      </c>
      <c r="N61" s="6" t="inlineStr">
        <is>
          <t>You (Phase 1 records)</t>
        </is>
      </c>
      <c r="O61" s="6" t="inlineStr">
        <is>
          <t>Lead drafts the fix; you approve</t>
        </is>
      </c>
      <c r="P61" s="6" t="inlineStr">
        <is>
          <t>No</t>
        </is>
      </c>
      <c r="Q61" s="6" t="inlineStr">
        <is>
          <t>Source check</t>
        </is>
      </c>
      <c r="R61" s="6" t="inlineStr">
        <is>
          <t>Sub-item</t>
        </is>
      </c>
      <c r="S61" s="6" t="inlineStr">
        <is>
          <t>C-E01</t>
        </is>
      </c>
      <c r="T61" s="6" t="inlineStr">
        <is>
          <t>SRC-06 E05: unknown whether the earlier body incorporated the MCP-Bench distractor-server result (audit-history question).</t>
        </is>
      </c>
      <c r="U61" s="6" t="inlineStr">
        <is>
          <t>Outside the repo.</t>
        </is>
      </c>
      <c r="V61" s="6" t="inlineStr">
        <is>
          <t>Original record and paper checked; audit-history recorded.</t>
        </is>
      </c>
      <c r="W61" s="6" t="inlineStr"/>
      <c r="X61" s="6" t="inlineStr"/>
      <c r="Y61" s="6" t="inlineStr"/>
      <c r="Z61" s="6" t="inlineStr"/>
      <c r="AA61" s="6" t="inlineStr"/>
      <c r="AB61" s="6" t="inlineStr">
        <is>
          <t>RECORD+SOURCE</t>
        </is>
      </c>
      <c r="AC61" s="6" t="inlineStr">
        <is>
          <t>n/a (sub-item)</t>
        </is>
      </c>
      <c r="AD61" s="6" t="inlineStr">
        <is>
          <t>NEW (SRC-11 sub-row)</t>
        </is>
      </c>
      <c r="AE61" s="6" t="inlineStr">
        <is>
          <t>2026-10-19</t>
        </is>
      </c>
      <c r="AF61" s="6" t="inlineStr">
        <is>
          <t>Concerns the independent Phase 1 body (outside repo); r3-mcpbench is stored</t>
        </is>
      </c>
      <c r="AG61" s="6" t="inlineStr"/>
      <c r="AH61" s="6" t="inlineStr">
        <is>
          <t>No (AUTH-016 covers web fetches for this item)</t>
        </is>
      </c>
      <c r="AI61" s="6" t="inlineStr"/>
      <c r="AJ61" s="6" t="inlineStr">
        <is>
          <t>SRC-11 section D1</t>
        </is>
      </c>
      <c r="AK61" s="6" t="inlineStr">
        <is>
          <t>SRC-06 E05</t>
        </is>
      </c>
      <c r="AL61" s="6" t="inlineStr">
        <is>
          <t>S11</t>
        </is>
      </c>
    </row>
    <row r="62" ht="300" customHeight="1">
      <c r="A62" s="5" t="inlineStr">
        <is>
          <t>C-E01/E08</t>
        </is>
      </c>
      <c r="B62" s="6" t="inlineStr">
        <is>
          <t>CAPC lazy-tools scope, ToolMenuBench sizes, ProMCP figures not fully verified</t>
        </is>
      </c>
      <c r="C62" s="6" t="inlineStr">
        <is>
          <t>DEFERRED</t>
        </is>
      </c>
      <c r="D62" s="6">
        <f>IFERROR(INDEX(Lists!$B$2:$B$14,MATCH(C62,Lists!$A$2:$A$14,0)),"?")</f>
        <v/>
      </c>
      <c r="E62" s="6">
        <f>IF(COUNTIFS(Links!$B$2:$B$600,A62,Links!$E$2:$E$600,"Yes")&gt;0,"REVISE","")</f>
        <v/>
      </c>
      <c r="F62" s="6">
        <f>COUNTIFS(Links!$B$2:$B$600,A62,Links!$D$2:$D$600,"No",Links!$C$2:$C$600,"&lt;&gt;INFORMS")</f>
        <v/>
      </c>
      <c r="G62" s="14" t="inlineStr">
        <is>
          <t>SOURCE-REREAD</t>
        </is>
      </c>
      <c r="H62" s="6" t="inlineStr">
        <is>
          <t>K14 Source &amp; vendor verification</t>
        </is>
      </c>
      <c r="I62" s="6" t="inlineStr">
        <is>
          <t>G4 Before claims</t>
        </is>
      </c>
      <c r="J62" s="6" t="inlineStr">
        <is>
          <t>Normal</t>
        </is>
      </c>
      <c r="K62" s="6" t="n">
        <v>87</v>
      </c>
      <c r="L62" s="6" t="inlineStr">
        <is>
          <t>W2 Desk work (no model runs)</t>
        </is>
      </c>
      <c r="M62" s="6" t="inlineStr">
        <is>
          <t>S11</t>
        </is>
      </c>
      <c r="N62" s="6" t="inlineStr">
        <is>
          <t>Lead + steward</t>
        </is>
      </c>
      <c r="O62" s="6" t="inlineStr">
        <is>
          <t>none until the trigger fires</t>
        </is>
      </c>
      <c r="P62" s="6" t="inlineStr">
        <is>
          <t>Partly</t>
        </is>
      </c>
      <c r="Q62" s="6" t="inlineStr">
        <is>
          <t>Source check</t>
        </is>
      </c>
      <c r="R62" s="6" t="inlineStr">
        <is>
          <t>Sub-item</t>
        </is>
      </c>
      <c r="S62" s="6" t="inlineStr">
        <is>
          <t>C-E01</t>
        </is>
      </c>
      <c r="T62" s="6" t="inlineStr">
        <is>
          <t>SRC-06 E08: CAPC lazy-tools scope, ToolMenuBench sizes and ProMCP figures are not fully verified.</t>
        </is>
      </c>
      <c r="U62"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62" s="6" t="inlineStr">
        <is>
          <t>Each table/setting checked separately.</t>
        </is>
      </c>
      <c r="W62" s="6" t="inlineStr"/>
      <c r="X62" s="6" t="inlineStr"/>
      <c r="Y62" s="6" t="inlineStr"/>
      <c r="Z62" s="6" t="inlineStr"/>
      <c r="AA62" s="6" t="inlineStr"/>
      <c r="AB62" s="6" t="inlineStr">
        <is>
          <t>SOURCE</t>
        </is>
      </c>
      <c r="AC62" s="6" t="inlineStr">
        <is>
          <t>n/a (sub-item)</t>
        </is>
      </c>
      <c r="AD62" s="6" t="inlineStr">
        <is>
          <t>NEW (SRC-11 sub-row)</t>
        </is>
      </c>
      <c r="AE62" s="6" t="inlineStr">
        <is>
          <t>2026-10-20</t>
        </is>
      </c>
      <c r="AF62" s="6" t="inlineStr">
        <is>
          <t>grep of design/package-v3 and design/package-v4 01-05 (lead, 2026-10-20)</t>
        </is>
      </c>
      <c r="AG62" s="6" t="inlineStr">
        <is>
          <t>A document quotes a ProMCP figure</t>
        </is>
      </c>
      <c r="AH62" s="6" t="inlineStr">
        <is>
          <t>No (AUTH-016 covers web fetches for this item)</t>
        </is>
      </c>
      <c r="AI62" s="6" t="inlineStr"/>
      <c r="AJ62" s="6" t="inlineStr">
        <is>
          <t>SRC-11 section D1</t>
        </is>
      </c>
      <c r="AK62" s="6" t="inlineStr">
        <is>
          <t>SRC-06 E08</t>
        </is>
      </c>
      <c r="AL62" s="6" t="inlineStr">
        <is>
          <t>S11</t>
        </is>
      </c>
    </row>
    <row r="63" ht="53" customHeight="1">
      <c r="A63" s="5" t="inlineStr">
        <is>
          <t>C-E01/E09</t>
        </is>
      </c>
      <c r="B63" s="6" t="inlineStr">
        <is>
          <t>Frozen Copilot cache-hit row mixes serving and client telemetry</t>
        </is>
      </c>
      <c r="C63" s="6" t="inlineStr">
        <is>
          <t>OPEN</t>
        </is>
      </c>
      <c r="D63" s="6">
        <f>IFERROR(INDEX(Lists!$B$2:$B$14,MATCH(C63,Lists!$A$2:$A$14,0)),"?")</f>
        <v/>
      </c>
      <c r="E63" s="6">
        <f>IF(COUNTIFS(Links!$B$2:$B$600,A63,Links!$E$2:$E$600,"Yes")&gt;0,"REVISE","")</f>
        <v/>
      </c>
      <c r="F63" s="6">
        <f>COUNTIFS(Links!$B$2:$B$600,A63,Links!$D$2:$D$600,"No",Links!$C$2:$C$600,"&lt;&gt;INFORMS")</f>
        <v/>
      </c>
      <c r="G63" s="8" t="inlineStr">
        <is>
          <t>RECORDS-AT-HAND</t>
        </is>
      </c>
      <c r="H63" s="6" t="inlineStr">
        <is>
          <t>K14 Source &amp; vendor verification</t>
        </is>
      </c>
      <c r="I63" s="6" t="inlineStr">
        <is>
          <t>G4 Before claims</t>
        </is>
      </c>
      <c r="J63" s="6" t="inlineStr">
        <is>
          <t>Normal</t>
        </is>
      </c>
      <c r="K63" s="6" t="n">
        <v>88</v>
      </c>
      <c r="L63" s="6" t="inlineStr">
        <is>
          <t>W2 Desk work (no model runs)</t>
        </is>
      </c>
      <c r="M63" s="6" t="inlineStr">
        <is>
          <t>S11</t>
        </is>
      </c>
      <c r="N63" s="6" t="inlineStr">
        <is>
          <t>You</t>
        </is>
      </c>
      <c r="O63" s="6" t="inlineStr">
        <is>
          <t>Lead drafts the fix; you approve</t>
        </is>
      </c>
      <c r="P63" s="6" t="inlineStr">
        <is>
          <t>No</t>
        </is>
      </c>
      <c r="Q63" s="6" t="inlineStr">
        <is>
          <t>Source check</t>
        </is>
      </c>
      <c r="R63" s="6" t="inlineStr">
        <is>
          <t>Sub-item</t>
        </is>
      </c>
      <c r="S63" s="6" t="inlineStr">
        <is>
          <t>C-E01</t>
        </is>
      </c>
      <c r="T63" s="6" t="inlineStr">
        <is>
          <t>SRC-06 E09: the frozen dossier's Copilot cache-hit row mixes serving and client telemetry; a correction exists elsewhere, not in the frozen record.</t>
        </is>
      </c>
      <c r="U63" s="6" t="inlineStr">
        <is>
          <t>Outside the repo.</t>
        </is>
      </c>
      <c r="V63" s="6" t="inlineStr">
        <is>
          <t>Dated correction issued alongside the frozen artefact.</t>
        </is>
      </c>
      <c r="W63" s="6" t="inlineStr"/>
      <c r="X63" s="6" t="inlineStr"/>
      <c r="Y63" s="6" t="inlineStr"/>
      <c r="Z63" s="6" t="inlineStr"/>
      <c r="AA63" s="6" t="inlineStr"/>
      <c r="AB63" s="6" t="inlineStr">
        <is>
          <t>RECORD+SOURCE</t>
        </is>
      </c>
      <c r="AC63" s="6" t="inlineStr">
        <is>
          <t>n/a (sub-item)</t>
        </is>
      </c>
      <c r="AD63" s="6" t="inlineStr">
        <is>
          <t>NEW (SRC-11 sub-row)</t>
        </is>
      </c>
      <c r="AE63" s="6" t="inlineStr">
        <is>
          <t>2026-10-19</t>
        </is>
      </c>
      <c r="AF63" s="6" t="inlineStr">
        <is>
          <t>Phase 1 dossier outside repo; stored s4-copilottraces-2608-00101 and r4-github-copilot-fewer-tools</t>
        </is>
      </c>
      <c r="AG63" s="6" t="inlineStr"/>
      <c r="AH63" s="6" t="inlineStr">
        <is>
          <t>No (AUTH-016 covers web fetches for this item)</t>
        </is>
      </c>
      <c r="AI63" s="6" t="inlineStr"/>
      <c r="AJ63" s="6" t="inlineStr">
        <is>
          <t>SRC-11 section D1</t>
        </is>
      </c>
      <c r="AK63" s="6" t="inlineStr">
        <is>
          <t>SRC-06 E09</t>
        </is>
      </c>
      <c r="AL63" s="6" t="inlineStr">
        <is>
          <t>S11</t>
        </is>
      </c>
    </row>
    <row r="64" ht="53" customHeight="1">
      <c r="A64" s="5" t="inlineStr">
        <is>
          <t>C-E01/E10</t>
        </is>
      </c>
      <c r="B64" s="6" t="inlineStr">
        <is>
          <t>Phase 1 frozen dossier retains later-contradicted claims</t>
        </is>
      </c>
      <c r="C64" s="6" t="inlineStr">
        <is>
          <t>OPEN</t>
        </is>
      </c>
      <c r="D64" s="6">
        <f>IFERROR(INDEX(Lists!$B$2:$B$14,MATCH(C64,Lists!$A$2:$A$14,0)),"?")</f>
        <v/>
      </c>
      <c r="E64" s="6">
        <f>IF(COUNTIFS(Links!$B$2:$B$600,A64,Links!$E$2:$E$600,"Yes")&gt;0,"REVISE","")</f>
        <v/>
      </c>
      <c r="F64" s="6">
        <f>COUNTIFS(Links!$B$2:$B$600,A64,Links!$D$2:$D$600,"No",Links!$C$2:$C$600,"&lt;&gt;INFORMS")</f>
        <v/>
      </c>
      <c r="G64" s="8" t="inlineStr">
        <is>
          <t>RECORDS-AT-HAND</t>
        </is>
      </c>
      <c r="H64" s="6" t="inlineStr">
        <is>
          <t>K14 Source &amp; vendor verification</t>
        </is>
      </c>
      <c r="I64" s="6" t="inlineStr">
        <is>
          <t>G4 Before claims</t>
        </is>
      </c>
      <c r="J64" s="6" t="inlineStr">
        <is>
          <t>Normal</t>
        </is>
      </c>
      <c r="K64" s="6" t="n">
        <v>89</v>
      </c>
      <c r="L64" s="6" t="inlineStr">
        <is>
          <t>W2 Desk work (no model runs)</t>
        </is>
      </c>
      <c r="M64" s="6" t="inlineStr">
        <is>
          <t>S11</t>
        </is>
      </c>
      <c r="N64" s="6" t="inlineStr">
        <is>
          <t>You</t>
        </is>
      </c>
      <c r="O64" s="6" t="inlineStr">
        <is>
          <t>Lead drafts the fix; you approve</t>
        </is>
      </c>
      <c r="P64" s="6" t="inlineStr">
        <is>
          <t>No</t>
        </is>
      </c>
      <c r="Q64" s="6" t="inlineStr">
        <is>
          <t>Source check</t>
        </is>
      </c>
      <c r="R64" s="6" t="inlineStr">
        <is>
          <t>Sub-item</t>
        </is>
      </c>
      <c r="S64" s="6" t="inlineStr">
        <is>
          <t>C-E01</t>
        </is>
      </c>
      <c r="T64" s="6" t="inlineStr">
        <is>
          <t>SRC-06 E10: the frozen Phase 1 dossier retains claims later contradicted or unsupported (trajectory-only, caching, 56.7%, 85%, paraphrased 'verbatim' quotes, MCPVerse wording, version drift).</t>
        </is>
      </c>
      <c r="U64" s="6" t="inlineStr">
        <is>
          <t>Outside the repo.</t>
        </is>
      </c>
      <c r="V64" s="6" t="inlineStr">
        <is>
          <t>Explicit errata linked to each statement; frozen original preserved.</t>
        </is>
      </c>
      <c r="W64" s="6" t="inlineStr"/>
      <c r="X64" s="6" t="inlineStr"/>
      <c r="Y64" s="6" t="inlineStr"/>
      <c r="Z64" s="6" t="inlineStr"/>
      <c r="AA64" s="6" t="inlineStr"/>
      <c r="AB64" s="6" t="inlineStr">
        <is>
          <t>RECORD+SOURCE</t>
        </is>
      </c>
      <c r="AC64" s="6" t="inlineStr">
        <is>
          <t>n/a (sub-item)</t>
        </is>
      </c>
      <c r="AD64" s="6" t="inlineStr">
        <is>
          <t>NEW (SRC-11 sub-row)</t>
        </is>
      </c>
      <c r="AE64" s="6" t="inlineStr">
        <is>
          <t>2026-10-19</t>
        </is>
      </c>
      <c r="AF64" s="6" t="inlineStr">
        <is>
          <t>Outside repo</t>
        </is>
      </c>
      <c r="AG64" s="6" t="inlineStr"/>
      <c r="AH64" s="6" t="inlineStr">
        <is>
          <t>No (AUTH-016 covers web fetches for this item)</t>
        </is>
      </c>
      <c r="AI64" s="6" t="inlineStr"/>
      <c r="AJ64" s="6" t="inlineStr">
        <is>
          <t>SRC-11 section D1</t>
        </is>
      </c>
      <c r="AK64" s="6" t="inlineStr">
        <is>
          <t>SRC-06 E10</t>
        </is>
      </c>
      <c r="AL64" s="6" t="inlineStr">
        <is>
          <t>S11</t>
        </is>
      </c>
    </row>
    <row r="65" ht="240.5" customHeight="1">
      <c r="A65" s="5" t="inlineStr">
        <is>
          <t>C-E02</t>
        </is>
      </c>
      <c r="B65" s="6" t="inlineStr">
        <is>
          <t>Fifteen groups of unread, partial, snippet-only or unreadable sources; historical 'not found' searches were...</t>
        </is>
      </c>
      <c r="C65" s="6" t="inlineStr">
        <is>
          <t>PARTLY ANSWERED</t>
        </is>
      </c>
      <c r="D65" s="6">
        <f>IFERROR(INDEX(Lists!$B$2:$B$14,MATCH(C65,Lists!$A$2:$A$14,0)),"?")</f>
        <v/>
      </c>
      <c r="E65" s="6">
        <f>IF(COUNTIFS(Links!$B$2:$B$600,A65,Links!$E$2:$E$600,"Yes")&gt;0,"REVISE","")</f>
        <v/>
      </c>
      <c r="F65" s="6">
        <f>COUNTIFS(Links!$B$2:$B$600,A65,Links!$D$2:$D$600,"No",Links!$C$2:$C$600,"&lt;&gt;INFORMS")</f>
        <v/>
      </c>
      <c r="G65" s="14" t="inlineStr">
        <is>
          <t>SOURCE-REREAD</t>
        </is>
      </c>
      <c r="H65" s="6" t="inlineStr">
        <is>
          <t>K14 Source &amp; vendor verification</t>
        </is>
      </c>
      <c r="I65" s="6" t="inlineStr">
        <is>
          <t>G4 Before claims</t>
        </is>
      </c>
      <c r="J65" s="6" t="inlineStr">
        <is>
          <t>Normal</t>
        </is>
      </c>
      <c r="K65" s="6" t="n">
        <v>90</v>
      </c>
      <c r="L65" s="6" t="inlineStr">
        <is>
          <t>W2 Desk work (no model runs)</t>
        </is>
      </c>
      <c r="M65" s="6" t="inlineStr">
        <is>
          <t>S11</t>
        </is>
      </c>
      <c r="N65" s="6" t="inlineStr">
        <is>
          <t>Lead + steward</t>
        </is>
      </c>
      <c r="O65" s="6" t="inlineStr">
        <is>
          <t>E30 needs your list (Q-U23); UNREADLEADS in progress (memory survey read in batch 13); then close this item</t>
        </is>
      </c>
      <c r="P65" s="6" t="inlineStr">
        <is>
          <t>Yes - stored text, unread</t>
        </is>
      </c>
      <c r="Q65" s="6" t="inlineStr">
        <is>
          <t>Source check</t>
        </is>
      </c>
      <c r="R65" s="6" t="inlineStr">
        <is>
          <t>Item</t>
        </is>
      </c>
      <c r="S65" s="6" t="inlineStr"/>
      <c r="T65" s="6" t="inlineStr">
        <is>
          <t>Fifteen groups of unread, partial, snippet-only or unreadable sources; historical 'not found' searches were bounded.</t>
        </is>
      </c>
      <c r="U65"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65" s="6" t="inlineStr">
        <is>
          <t>Pivotal originals read; non-pivotal ones deferred with a reason and trigger.</t>
        </is>
      </c>
      <c r="W65" s="6" t="inlineStr"/>
      <c r="X65" s="6" t="inlineStr">
        <is>
          <t>C-D01, C-D08</t>
        </is>
      </c>
      <c r="Y65" s="6" t="inlineStr"/>
      <c r="Z65" s="6" t="inlineStr">
        <is>
          <t>LITERATURE-DIRECTED, ACCEPT-LIMITATION</t>
        </is>
      </c>
      <c r="AA65" s="6" t="inlineStr"/>
      <c r="AB65" s="6" t="inlineStr">
        <is>
          <t>SOURCE+ACCESS+RECORD</t>
        </is>
      </c>
      <c r="AC65" s="6" t="inlineStr">
        <is>
          <t>OPEN</t>
        </is>
      </c>
      <c r="AD65" s="6" t="inlineStr">
        <is>
          <t>NARROWED</t>
        </is>
      </c>
      <c r="AE65" s="6" t="inlineStr">
        <is>
          <t>2026-10-20</t>
        </is>
      </c>
      <c r="AF65" s="6" t="inlineStr">
        <is>
          <t>see the child rows</t>
        </is>
      </c>
      <c r="AG65" s="6" t="inlineStr">
        <is>
          <t>When a skipped source becomes pivotal or a paper version changes</t>
        </is>
      </c>
      <c r="AH65" s="6" t="inlineStr">
        <is>
          <t>No (AUTH-016 covers web fetches for this item)</t>
        </is>
      </c>
      <c r="AI65" s="6" t="inlineStr"/>
      <c r="AJ65" s="6" t="inlineStr">
        <is>
          <t>SRC-11 canonical</t>
        </is>
      </c>
      <c r="AK65" s="6" t="inlineStr">
        <is>
          <t>SRC-06 E20-E34, SRC-07 28</t>
        </is>
      </c>
      <c r="AL65" s="6" t="inlineStr">
        <is>
          <t>S11</t>
        </is>
      </c>
    </row>
    <row r="66" ht="300" customHeight="1">
      <c r="A66" s="5" t="inlineStr">
        <is>
          <t>C-E02/E21</t>
        </is>
      </c>
      <c r="B66" s="6" t="inlineStr">
        <is>
          <t>Hajdas post, Cursor cap docs, Claude Code changelog not opened; 55K attribution</t>
        </is>
      </c>
      <c r="C66" s="6" t="inlineStr">
        <is>
          <t>DEFERRED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93</v>
      </c>
      <c r="L66" s="6" t="inlineStr">
        <is>
          <t>W2 Desk work (no model runs)</t>
        </is>
      </c>
      <c r="M66" s="6" t="inlineStr">
        <is>
          <t>S11</t>
        </is>
      </c>
      <c r="N66" s="6" t="inlineStr">
        <is>
          <t>Lead + steward</t>
        </is>
      </c>
      <c r="O66" s="6" t="inlineStr">
        <is>
          <t>none until the trigger fires</t>
        </is>
      </c>
      <c r="P66" s="6" t="inlineStr">
        <is>
          <t>Partly</t>
        </is>
      </c>
      <c r="Q66" s="6" t="inlineStr">
        <is>
          <t>Source check</t>
        </is>
      </c>
      <c r="R66" s="6" t="inlineStr">
        <is>
          <t>Sub-item</t>
        </is>
      </c>
      <c r="S66" s="6" t="inlineStr">
        <is>
          <t>C-E02</t>
        </is>
      </c>
      <c r="T66" s="6" t="inlineStr">
        <is>
          <t>SRC-06 E21: the Hajdas post, Cursor cap docs and Claude Code changelog were not opened; the 55K attribution is uncertain.</t>
        </is>
      </c>
      <c r="U66"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66" s="6" t="inlineStr">
        <is>
          <t>Original read; claims it affects revised or marked unverified.</t>
        </is>
      </c>
      <c r="W66" s="6" t="inlineStr"/>
      <c r="X66" s="6" t="inlineStr"/>
      <c r="Y66" s="6" t="inlineStr"/>
      <c r="Z66" s="6" t="inlineStr"/>
      <c r="AA66" s="6" t="inlineStr"/>
      <c r="AB66" s="6" t="inlineStr">
        <is>
          <t>SOURCE+ACCESS</t>
        </is>
      </c>
      <c r="AC66" s="6" t="inlineStr">
        <is>
          <t>n/a (sub-item)</t>
        </is>
      </c>
      <c r="AD66" s="6" t="inlineStr">
        <is>
          <t>NEW (SRC-11 sub-row)</t>
        </is>
      </c>
      <c r="AE66" s="6" t="inlineStr">
        <is>
          <t>2026-10-20</t>
        </is>
      </c>
      <c r="AF66" s="6" t="inlineStr">
        <is>
          <t>grep of design/package-v3 and design/package-v4 01-05 (lead, 2026-10-20); see also this row's earlier basis</t>
        </is>
      </c>
      <c r="AG66" s="6" t="inlineStr">
        <is>
          <t>A document quotes the Cursor tool cap, the 55K attribution or the Hajdas post</t>
        </is>
      </c>
      <c r="AH66" s="6" t="inlineStr">
        <is>
          <t>No (AUTH-016 covers web fetches for this item)</t>
        </is>
      </c>
      <c r="AI66" s="6" t="inlineStr"/>
      <c r="AJ66" s="6" t="inlineStr">
        <is>
          <t>SRC-11 section D2</t>
        </is>
      </c>
      <c r="AK66" s="6" t="inlineStr">
        <is>
          <t>SRC-06 E21</t>
        </is>
      </c>
      <c r="AL66" s="6" t="inlineStr">
        <is>
          <t>S11</t>
        </is>
      </c>
    </row>
    <row r="67" ht="300" customHeight="1">
      <c r="A67" s="5" t="inlineStr">
        <is>
          <t>C-E02/E22</t>
        </is>
      </c>
      <c r="B67" s="6" t="inlineStr">
        <is>
          <t>Anthropic programmatic-tool docs partial; prompt-cache tail, pricing, MCP pages not read in full</t>
        </is>
      </c>
      <c r="C67" s="6" t="inlineStr">
        <is>
          <t>DEFERRED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94</v>
      </c>
      <c r="L67" s="6" t="inlineStr">
        <is>
          <t>W2 Desk work (no model runs)</t>
        </is>
      </c>
      <c r="M67" s="6" t="inlineStr">
        <is>
          <t>S11</t>
        </is>
      </c>
      <c r="N67" s="6" t="inlineStr">
        <is>
          <t>Lead + steward</t>
        </is>
      </c>
      <c r="O67" s="6" t="inlineStr">
        <is>
          <t>none until the trigger fires</t>
        </is>
      </c>
      <c r="P67" s="6" t="inlineStr">
        <is>
          <t>Yes - stored text, unread</t>
        </is>
      </c>
      <c r="Q67" s="6" t="inlineStr">
        <is>
          <t>Source check</t>
        </is>
      </c>
      <c r="R67" s="6" t="inlineStr">
        <is>
          <t>Sub-item</t>
        </is>
      </c>
      <c r="S67" s="6" t="inlineStr">
        <is>
          <t>C-E02</t>
        </is>
      </c>
      <c r="T67" s="6" t="inlineStr">
        <is>
          <t>SRC-06 E22: Anthropic programmatic docs partial; prompt-cache tail, pricing and MCP pages not read in full.</t>
        </is>
      </c>
      <c r="U67"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67" s="6" t="inlineStr">
        <is>
          <t>Original read; claims it affects revised or marked unverified.</t>
        </is>
      </c>
      <c r="W67" s="6" t="inlineStr"/>
      <c r="X67" s="6" t="inlineStr"/>
      <c r="Y67" s="6" t="inlineStr"/>
      <c r="Z67" s="6" t="inlineStr"/>
      <c r="AA67" s="6" t="inlineStr"/>
      <c r="AB67" s="6" t="inlineStr">
        <is>
          <t>SOURCE+ACCESS</t>
        </is>
      </c>
      <c r="AC67" s="6" t="inlineStr">
        <is>
          <t>n/a (sub-item)</t>
        </is>
      </c>
      <c r="AD67" s="6" t="inlineStr">
        <is>
          <t>NEW (SRC-11 sub-row)</t>
        </is>
      </c>
      <c r="AE67" s="6" t="inlineStr">
        <is>
          <t>2026-10-20</t>
        </is>
      </c>
      <c r="AF67" s="6" t="inlineStr">
        <is>
          <t>grep of design/package-v3 and design/package-v4 01-05 (lead, 2026-10-20); see also this row's earlier basis</t>
        </is>
      </c>
      <c r="AG67" s="6" t="inlineStr">
        <is>
          <t>A claim depends on the unread body of the programmatic page or the tail of the prompt-caching page</t>
        </is>
      </c>
      <c r="AH67" s="6" t="inlineStr">
        <is>
          <t>No (AUTH-016 covers web fetches for this item)</t>
        </is>
      </c>
      <c r="AI67" s="6" t="inlineStr"/>
      <c r="AJ67" s="6" t="inlineStr">
        <is>
          <t>SRC-11 section D2</t>
        </is>
      </c>
      <c r="AK67" s="6" t="inlineStr">
        <is>
          <t>SRC-06 E22</t>
        </is>
      </c>
      <c r="AL67" s="6" t="inlineStr">
        <is>
          <t>S11</t>
        </is>
      </c>
    </row>
    <row r="68" ht="300" customHeight="1">
      <c r="A68" s="5" t="inlineStr">
        <is>
          <t>C-E02/E23</t>
        </is>
      </c>
      <c r="B68" s="6" t="inlineStr">
        <is>
          <t>CE-MCP figures, ToolRet Figure 6, ToolShed trade-off not rendered</t>
        </is>
      </c>
      <c r="C68" s="6" t="inlineStr">
        <is>
          <t>DEFERRED</t>
        </is>
      </c>
      <c r="D68" s="6">
        <f>IFERROR(INDEX(Lists!$B$2:$B$14,MATCH(C68,Lists!$A$2:$A$14,0)),"?")</f>
        <v/>
      </c>
      <c r="E68" s="6">
        <f>IF(COUNTIFS(Links!$B$2:$B$600,A68,Links!$E$2:$E$600,"Yes")&gt;0,"REVISE","")</f>
        <v/>
      </c>
      <c r="F68" s="6">
        <f>COUNTIFS(Links!$B$2:$B$600,A68,Links!$D$2:$D$600,"No",Links!$C$2:$C$600,"&lt;&gt;INFORMS")</f>
        <v/>
      </c>
      <c r="G68" s="14" t="inlineStr">
        <is>
          <t>SOURCE-REREAD</t>
        </is>
      </c>
      <c r="H68" s="6" t="inlineStr">
        <is>
          <t>K14 Source &amp; vendor verification</t>
        </is>
      </c>
      <c r="I68" s="6" t="inlineStr">
        <is>
          <t>G4 Before claims</t>
        </is>
      </c>
      <c r="J68" s="6" t="inlineStr">
        <is>
          <t>Normal</t>
        </is>
      </c>
      <c r="K68" s="6" t="n">
        <v>95</v>
      </c>
      <c r="L68" s="6" t="inlineStr">
        <is>
          <t>W2 Desk work (no model runs)</t>
        </is>
      </c>
      <c r="M68" s="6" t="inlineStr">
        <is>
          <t>S11</t>
        </is>
      </c>
      <c r="N68" s="6" t="inlineStr">
        <is>
          <t>Lead + steward</t>
        </is>
      </c>
      <c r="O68" s="6" t="inlineStr">
        <is>
          <t>none until the trigger fires</t>
        </is>
      </c>
      <c r="P68" s="6" t="inlineStr">
        <is>
          <t>Partly</t>
        </is>
      </c>
      <c r="Q68" s="6" t="inlineStr">
        <is>
          <t>Source check</t>
        </is>
      </c>
      <c r="R68" s="6" t="inlineStr">
        <is>
          <t>Sub-item</t>
        </is>
      </c>
      <c r="S68" s="6" t="inlineStr">
        <is>
          <t>C-E02</t>
        </is>
      </c>
      <c r="T68" s="6" t="inlineStr">
        <is>
          <t>SRC-06 E23: CE-MCP figures, ToolRet Figure 6 and the ToolShed trade-off were not rendered.</t>
        </is>
      </c>
      <c r="U68"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68" s="6" t="inlineStr">
        <is>
          <t>Original read; claims it affects revised or marked unverified.</t>
        </is>
      </c>
      <c r="W68" s="6" t="inlineStr"/>
      <c r="X68" s="6" t="inlineStr"/>
      <c r="Y68" s="6" t="inlineStr">
        <is>
          <t>Q-U22</t>
        </is>
      </c>
      <c r="Z68" s="6" t="inlineStr"/>
      <c r="AA68" s="6" t="inlineStr"/>
      <c r="AB68" s="6" t="inlineStr">
        <is>
          <t>SOURCE+ACCESS</t>
        </is>
      </c>
      <c r="AC68" s="6" t="inlineStr">
        <is>
          <t>n/a (sub-item)</t>
        </is>
      </c>
      <c r="AD68" s="6" t="inlineStr">
        <is>
          <t>NEW (SRC-11 sub-row)</t>
        </is>
      </c>
      <c r="AE68" s="6" t="inlineStr">
        <is>
          <t>2026-10-20</t>
        </is>
      </c>
      <c r="AF68" s="6" t="inlineStr">
        <is>
          <t>grep of design/package-v3 and design/package-v4 01-05 (lead, 2026-10-20); see also this row's earlier basis</t>
        </is>
      </c>
      <c r="AG68" s="6" t="inlineStr">
        <is>
          <t>A document quotes a G2 or G3 oracle value, or Figure 6</t>
        </is>
      </c>
      <c r="AH68" s="6" t="inlineStr">
        <is>
          <t>No (AUTH-016 covers web fetches for this item)</t>
        </is>
      </c>
      <c r="AI68" s="6" t="inlineStr"/>
      <c r="AJ68" s="6" t="inlineStr">
        <is>
          <t>SRC-11 section D2</t>
        </is>
      </c>
      <c r="AK68" s="6" t="inlineStr">
        <is>
          <t>SRC-06 E23</t>
        </is>
      </c>
      <c r="AL68" s="6" t="inlineStr">
        <is>
          <t>S11</t>
        </is>
      </c>
    </row>
    <row r="69" ht="115.5" customHeight="1">
      <c r="A69" s="5" t="inlineStr">
        <is>
          <t>C-E02/E24</t>
        </is>
      </c>
      <c r="B69" s="6" t="inlineStr">
        <is>
          <t>Speakeasy tables and Composio/Zapier/Pipedream/Smithery measurements missing</t>
        </is>
      </c>
      <c r="C69" s="6" t="inlineStr">
        <is>
          <t>DEFERRED</t>
        </is>
      </c>
      <c r="D69" s="6">
        <f>IFERROR(INDEX(Lists!$B$2:$B$14,MATCH(C69,Lists!$A$2:$A$14,0)),"?")</f>
        <v/>
      </c>
      <c r="E69" s="6">
        <f>IF(COUNTIFS(Links!$B$2:$B$600,A69,Links!$E$2:$E$600,"Yes")&gt;0,"REVISE","")</f>
        <v/>
      </c>
      <c r="F69" s="6">
        <f>COUNTIFS(Links!$B$2:$B$600,A69,Links!$D$2:$D$600,"No",Links!$C$2:$C$600,"&lt;&gt;INFORMS")</f>
        <v/>
      </c>
      <c r="G69" s="16" t="inlineStr">
        <is>
          <t>AUTHOR-OR-VENDOR</t>
        </is>
      </c>
      <c r="H69" s="6" t="inlineStr">
        <is>
          <t>K14 Source &amp; vendor verification</t>
        </is>
      </c>
      <c r="I69" s="6" t="inlineStr">
        <is>
          <t>G4 Before claims</t>
        </is>
      </c>
      <c r="J69" s="6" t="inlineStr">
        <is>
          <t>Normal</t>
        </is>
      </c>
      <c r="K69" s="6" t="n">
        <v>96</v>
      </c>
      <c r="L69" s="6" t="inlineStr">
        <is>
          <t>W2 Desk work (no model runs)</t>
        </is>
      </c>
      <c r="M69" s="6" t="inlineStr">
        <is>
          <t>S11</t>
        </is>
      </c>
      <c r="N69" s="6" t="inlineStr">
        <is>
          <t>Lead + steward</t>
        </is>
      </c>
      <c r="O69" s="6" t="inlineStr">
        <is>
          <t>none until the trigger fires</t>
        </is>
      </c>
      <c r="P69" s="6" t="inlineStr">
        <is>
          <t>Partly</t>
        </is>
      </c>
      <c r="Q69" s="6" t="inlineStr">
        <is>
          <t>Source check</t>
        </is>
      </c>
      <c r="R69" s="6" t="inlineStr">
        <is>
          <t>Sub-item</t>
        </is>
      </c>
      <c r="S69" s="6" t="inlineStr">
        <is>
          <t>C-E02</t>
        </is>
      </c>
      <c r="T69" s="6" t="inlineStr">
        <is>
          <t>SRC-06 E24: Speakeasy tables and Composio/Zapier/Pipedream/Smithery measurements were missing from fetched pages.</t>
        </is>
      </c>
      <c r="U69"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69" s="6" t="inlineStr">
        <is>
          <t>Original read; claims it affects revised or marked unverified.</t>
        </is>
      </c>
      <c r="W69" s="6" t="inlineStr"/>
      <c r="X69" s="6" t="inlineStr"/>
      <c r="Y69" s="6" t="inlineStr"/>
      <c r="Z69" s="6" t="inlineStr"/>
      <c r="AA69" s="6" t="inlineStr"/>
      <c r="AB69" s="6" t="inlineStr">
        <is>
          <t>SOURCE+ACCESS</t>
        </is>
      </c>
      <c r="AC69" s="6" t="inlineStr">
        <is>
          <t>n/a (sub-item)</t>
        </is>
      </c>
      <c r="AD69" s="6" t="inlineStr">
        <is>
          <t>NEW (SRC-11 sub-row)</t>
        </is>
      </c>
      <c r="AE69" s="6" t="inlineStr">
        <is>
          <t>2026-10-20</t>
        </is>
      </c>
      <c r="AF69" s="6" t="inlineStr">
        <is>
          <t>grep of design/package-v3 and design/package-v4 01-05 (lead, 2026-10-20); see also this row's earlier basis</t>
        </is>
      </c>
      <c r="AG69" s="6" t="inlineStr">
        <is>
          <t>A document quotes a measurement from Composio, Zapier, Pipedream or Smithery</t>
        </is>
      </c>
      <c r="AH69" s="6" t="inlineStr">
        <is>
          <t>No (AUTH-016 covers web fetches for this item)</t>
        </is>
      </c>
      <c r="AI69" s="6" t="inlineStr"/>
      <c r="AJ69" s="6" t="inlineStr">
        <is>
          <t>SRC-11 section D2</t>
        </is>
      </c>
      <c r="AK69" s="6" t="inlineStr">
        <is>
          <t>SRC-06 E24</t>
        </is>
      </c>
      <c r="AL69" s="6" t="inlineStr">
        <is>
          <t>S11</t>
        </is>
      </c>
    </row>
    <row r="70" ht="190.5" customHeight="1">
      <c r="A70" s="5" t="inlineStr">
        <is>
          <t>C-E02/E25</t>
        </is>
      </c>
      <c r="B70" s="6" t="inlineStr">
        <is>
          <t>Claude Code deferral bug reports known by title only</t>
        </is>
      </c>
      <c r="C70" s="6" t="inlineStr">
        <is>
          <t>PARTLY ANSWERED</t>
        </is>
      </c>
      <c r="D70" s="6">
        <f>IFERROR(INDEX(Lists!$B$2:$B$14,MATCH(C70,Lists!$A$2:$A$14,0)),"?")</f>
        <v/>
      </c>
      <c r="E70" s="6">
        <f>IF(COUNTIFS(Links!$B$2:$B$600,A70,Links!$E$2:$E$600,"Yes")&gt;0,"REVISE","")</f>
        <v/>
      </c>
      <c r="F70" s="6">
        <f>COUNTIFS(Links!$B$2:$B$600,A70,Links!$D$2:$D$600,"No",Links!$C$2:$C$600,"&lt;&gt;INFORMS")</f>
        <v/>
      </c>
      <c r="G70" s="16" t="inlineStr">
        <is>
          <t>AUTHOR-OR-VENDOR</t>
        </is>
      </c>
      <c r="H70" s="6" t="inlineStr">
        <is>
          <t>K14 Source &amp; vendor verification</t>
        </is>
      </c>
      <c r="I70" s="6" t="inlineStr">
        <is>
          <t>G4 Before claims</t>
        </is>
      </c>
      <c r="J70" s="6" t="inlineStr">
        <is>
          <t>Normal</t>
        </is>
      </c>
      <c r="K70" s="6" t="n">
        <v>97</v>
      </c>
      <c r="L70" s="6" t="inlineStr">
        <is>
          <t>W2 Desk work (no model runs)</t>
        </is>
      </c>
      <c r="M70" s="6" t="inlineStr">
        <is>
          <t>S11</t>
        </is>
      </c>
      <c r="N70" s="6" t="inlineStr">
        <is>
          <t>Reporters / lead</t>
        </is>
      </c>
      <c r="O70" s="6" t="inlineStr">
        <is>
          <t>Treat as a user report; verify only if the anecdote is used</t>
        </is>
      </c>
      <c r="P70" s="6" t="inlineStr">
        <is>
          <t>No</t>
        </is>
      </c>
      <c r="Q70" s="6" t="inlineStr">
        <is>
          <t>Source check</t>
        </is>
      </c>
      <c r="R70" s="6" t="inlineStr">
        <is>
          <t>Sub-item</t>
        </is>
      </c>
      <c r="S70" s="6" t="inlineStr">
        <is>
          <t>C-E02</t>
        </is>
      </c>
      <c r="T70" s="6" t="inlineStr">
        <is>
          <t>SRC-06 E25: Claude Code deferral bug reports known by titles only; the cache-read inflation anecdote is unverified.</t>
        </is>
      </c>
      <c r="U70"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0" s="6" t="inlineStr">
        <is>
          <t>Original read; claims it affects revised or marked unverified.</t>
        </is>
      </c>
      <c r="W70" s="6" t="inlineStr"/>
      <c r="X70" s="6" t="inlineStr"/>
      <c r="Y70" s="6" t="inlineStr"/>
      <c r="Z70" s="6" t="inlineStr"/>
      <c r="AA70" s="6" t="inlineStr"/>
      <c r="AB70" s="6" t="inlineStr">
        <is>
          <t>SOURCE+ACCESS</t>
        </is>
      </c>
      <c r="AC70" s="6" t="inlineStr">
        <is>
          <t>n/a (sub-item)</t>
        </is>
      </c>
      <c r="AD70" s="6" t="inlineStr">
        <is>
          <t>NEW (SRC-11 sub-row)</t>
        </is>
      </c>
      <c r="AE70" s="6" t="inlineStr">
        <is>
          <t>2026-10-19</t>
        </is>
      </c>
      <c r="AF70" s="6" t="inlineStr">
        <is>
          <t>FND-0019 (findings/SUM-0021); stored texts evidence/literature-20261019/lit-cursor-forum-*.txt (3), lit-ccissue-59650-deferred-cache-reads.txt, lit-ccissue-30920-defer-cachecontrol.txt, lit-toolhop-2501.02506v4.txt</t>
        </is>
      </c>
      <c r="AG70" s="6" t="inlineStr"/>
      <c r="AH70" s="6" t="inlineStr">
        <is>
          <t>No (AUTH-016 covers web fetches for this item)</t>
        </is>
      </c>
      <c r="AI70" s="6" t="inlineStr"/>
      <c r="AJ70" s="6" t="inlineStr">
        <is>
          <t>SRC-11 section D2</t>
        </is>
      </c>
      <c r="AK70" s="6" t="inlineStr">
        <is>
          <t>SRC-06 E25</t>
        </is>
      </c>
      <c r="AL70" s="6" t="inlineStr">
        <is>
          <t>S11</t>
        </is>
      </c>
    </row>
    <row r="71" ht="203" customHeight="1">
      <c r="A71" s="5" t="inlineStr">
        <is>
          <t>C-E02/E26</t>
        </is>
      </c>
      <c r="B71" s="6" t="inlineStr">
        <is>
          <t>ToolHop repo 404, Schlapbach PDF unreadable, other agent docs not fetched</t>
        </is>
      </c>
      <c r="C71" s="6" t="inlineStr">
        <is>
          <t>DEFERRED</t>
        </is>
      </c>
      <c r="D71" s="6">
        <f>IFERROR(INDEX(Lists!$B$2:$B$14,MATCH(C71,Lists!$A$2:$A$14,0)),"?")</f>
        <v/>
      </c>
      <c r="E71" s="6">
        <f>IF(COUNTIFS(Links!$B$2:$B$600,A71,Links!$E$2:$E$600,"Yes")&gt;0,"REVISE","")</f>
        <v/>
      </c>
      <c r="F71" s="6">
        <f>COUNTIFS(Links!$B$2:$B$600,A71,Links!$D$2:$D$600,"No",Links!$C$2:$C$600,"&lt;&gt;INFORMS")</f>
        <v/>
      </c>
      <c r="G71" s="14" t="inlineStr">
        <is>
          <t>SOURCE-REREAD</t>
        </is>
      </c>
      <c r="H71" s="6" t="inlineStr">
        <is>
          <t>K14 Source &amp; vendor verification</t>
        </is>
      </c>
      <c r="I71" s="6" t="inlineStr">
        <is>
          <t>G4 Before claims</t>
        </is>
      </c>
      <c r="J71" s="6" t="inlineStr">
        <is>
          <t>Normal</t>
        </is>
      </c>
      <c r="K71" s="6" t="n">
        <v>98</v>
      </c>
      <c r="L71" s="6" t="inlineStr">
        <is>
          <t>W2 Desk work (no model runs)</t>
        </is>
      </c>
      <c r="M71" s="6" t="inlineStr">
        <is>
          <t>S11</t>
        </is>
      </c>
      <c r="N71" s="6" t="inlineStr">
        <is>
          <t>Lead + steward</t>
        </is>
      </c>
      <c r="O71" s="6" t="inlineStr">
        <is>
          <t>none until the trigger fires</t>
        </is>
      </c>
      <c r="P71" s="6" t="inlineStr">
        <is>
          <t>Partly</t>
        </is>
      </c>
      <c r="Q71" s="6" t="inlineStr">
        <is>
          <t>Source check</t>
        </is>
      </c>
      <c r="R71" s="6" t="inlineStr">
        <is>
          <t>Sub-item</t>
        </is>
      </c>
      <c r="S71" s="6" t="inlineStr">
        <is>
          <t>C-E02</t>
        </is>
      </c>
      <c r="T71" s="6" t="inlineStr">
        <is>
          <t>SRC-06 E26: ToolHop repo 404, Schlapbach PDF unreadable, other agent docs not fetched.</t>
        </is>
      </c>
      <c r="U71"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71" s="6" t="inlineStr">
        <is>
          <t>Original read; claims it affects revised or marked unverified.</t>
        </is>
      </c>
      <c r="W71" s="6" t="inlineStr"/>
      <c r="X71" s="6" t="inlineStr"/>
      <c r="Y71" s="6" t="inlineStr"/>
      <c r="Z71" s="6" t="inlineStr"/>
      <c r="AA71" s="6" t="inlineStr"/>
      <c r="AB71" s="6" t="inlineStr">
        <is>
          <t>SOURCE+ACCESS</t>
        </is>
      </c>
      <c r="AC71" s="6" t="inlineStr">
        <is>
          <t>n/a (sub-item)</t>
        </is>
      </c>
      <c r="AD71" s="6" t="inlineStr">
        <is>
          <t>NEW (SRC-11 sub-row)</t>
        </is>
      </c>
      <c r="AE71" s="6" t="inlineStr">
        <is>
          <t>2026-10-20</t>
        </is>
      </c>
      <c r="AF71" s="6" t="inlineStr">
        <is>
          <t>grep of design/package-v3 and design/package-v4 01-05 (lead, 2026-10-20); see also this row's earlier basis</t>
        </is>
      </c>
      <c r="AG71" s="6" t="inlineStr">
        <is>
          <t>A document quotes the Schlapbach PDF or an agent-framework doc that is not stored</t>
        </is>
      </c>
      <c r="AH71" s="6" t="inlineStr">
        <is>
          <t>No (AUTH-016 covers web fetches for this item)</t>
        </is>
      </c>
      <c r="AI71" s="6" t="inlineStr"/>
      <c r="AJ71" s="6" t="inlineStr">
        <is>
          <t>SRC-11 section D2</t>
        </is>
      </c>
      <c r="AK71" s="6" t="inlineStr">
        <is>
          <t>SRC-06 E26</t>
        </is>
      </c>
      <c r="AL71" s="6" t="inlineStr">
        <is>
          <t>S11</t>
        </is>
      </c>
    </row>
    <row r="72" ht="128" customHeight="1">
      <c r="A72" s="5" t="inlineStr">
        <is>
          <t>C-E02/E29-OTHERS</t>
        </is>
      </c>
      <c r="B72" s="6" t="inlineStr">
        <is>
          <t>Papers in the garbled-table group that no live document quotes: Re-Invoke, Shi, ToolTweak, MCP-SafetyBench, CE-MCP, ToolShed trade-off</t>
        </is>
      </c>
      <c r="C72" s="6" t="inlineStr">
        <is>
          <t>DEFERRED</t>
        </is>
      </c>
      <c r="D72" s="6">
        <f>IFERROR(INDEX(Lists!$B$2:$B$14,MATCH(C72,Lists!$A$2:$A$14,0)),"?")</f>
        <v/>
      </c>
      <c r="E72" s="6">
        <f>IF(COUNTIFS(Links!$B$2:$B$600,A72,Links!$E$2:$E$600,"Yes")&gt;0,"REVISE","")</f>
        <v/>
      </c>
      <c r="F72" s="6">
        <f>COUNTIFS(Links!$B$2:$B$600,A72,Links!$D$2:$D$600,"No",Links!$C$2:$C$600,"&lt;&gt;INFORMS")</f>
        <v/>
      </c>
      <c r="G72" s="14" t="inlineStr">
        <is>
          <t>SOURCE-REREAD</t>
        </is>
      </c>
      <c r="H72" s="6" t="inlineStr">
        <is>
          <t>K14 Source &amp; vendor verification</t>
        </is>
      </c>
      <c r="I72" s="6" t="inlineStr">
        <is>
          <t>G5 Housekeeping / no block</t>
        </is>
      </c>
      <c r="J72" s="6" t="inlineStr">
        <is>
          <t>Low</t>
        </is>
      </c>
      <c r="K72" s="6" t="n">
        <v>102</v>
      </c>
      <c r="L72" s="6" t="inlineStr">
        <is>
          <t>W2 Desk work (no model runs)</t>
        </is>
      </c>
      <c r="M72" s="6" t="inlineStr">
        <is>
          <t>S11</t>
        </is>
      </c>
      <c r="N72" s="6" t="inlineStr">
        <is>
          <t>Lead + steward</t>
        </is>
      </c>
      <c r="O72" s="6" t="inlineStr">
        <is>
          <t>Render the table pages only if a claim quotes them</t>
        </is>
      </c>
      <c r="P72" s="6" t="inlineStr">
        <is>
          <t>Partly</t>
        </is>
      </c>
      <c r="Q72" s="6" t="inlineStr">
        <is>
          <t>Source check</t>
        </is>
      </c>
      <c r="R72" s="6" t="inlineStr">
        <is>
          <t>Sub-item</t>
        </is>
      </c>
      <c r="S72" s="6" t="inlineStr">
        <is>
          <t>C-E02</t>
        </is>
      </c>
      <c r="T72"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72" s="6" t="inlineStr">
        <is>
          <t>Deferred 2026-10-19 with reason and trigger, as the C-E02 criterion allows ('non-pivotal ones deferred with a reason and trigger'). The determination 'no live document quotes them' is the lead's grep and may miss a paraphrase.</t>
        </is>
      </c>
      <c r="V72" s="6" t="inlineStr">
        <is>
          <t>Reopened and read on rendered pages if any document quotes a figure from these papers; otherwise stays deferred.</t>
        </is>
      </c>
      <c r="W72" s="6" t="inlineStr"/>
      <c r="X72" s="6" t="inlineStr"/>
      <c r="Y72" s="6" t="inlineStr"/>
      <c r="Z72" s="6" t="inlineStr"/>
      <c r="AA72" s="6" t="inlineStr"/>
      <c r="AB72" s="6" t="inlineStr">
        <is>
          <t>SOURCE</t>
        </is>
      </c>
      <c r="AC72" s="6" t="inlineStr">
        <is>
          <t>n/a (sub-item)</t>
        </is>
      </c>
      <c r="AD72" s="6" t="inlineStr">
        <is>
          <t>NEW (repo sweep)</t>
        </is>
      </c>
      <c r="AE72" s="6" t="inlineStr">
        <is>
          <t>2026-10-19</t>
        </is>
      </c>
      <c r="AF72" s="6" t="inlineStr">
        <is>
          <t>grep of the live documents by the lead (2026-10-19); FND-0024 (findings/SUM-0026); EXT-0211; evidence/literature-20261019/pages/INDEX.md (page images with SHA-256; raw PDF hashes match the manifest)</t>
        </is>
      </c>
      <c r="AG72" s="6" t="inlineStr">
        <is>
          <t>Any live document, brief or thesis text quotes a figure, table or trade-off from Re-Invoke, Shi, ToolTweak, MCP-SafetyBench, CE-MCP or ToolShed</t>
        </is>
      </c>
      <c r="AH72" s="6" t="inlineStr">
        <is>
          <t>No (AUTH-016 covers web fetches for this item)</t>
        </is>
      </c>
      <c r="AI72" s="6" t="inlineStr"/>
      <c r="AJ72" s="6" t="inlineStr">
        <is>
          <t>Batch 8 split of C-E02/E23 and C-E02/E29</t>
        </is>
      </c>
      <c r="AK72" s="6" t="inlineStr"/>
      <c r="AL72" s="6" t="inlineStr">
        <is>
          <t>S11</t>
        </is>
      </c>
    </row>
    <row r="73" ht="53" customHeight="1">
      <c r="A73" s="5" t="inlineStr">
        <is>
          <t>C-E02/E30</t>
        </is>
      </c>
      <c r="B73" s="6" t="inlineStr">
        <is>
          <t>Eight listed prior-art leads never fetched</t>
        </is>
      </c>
      <c r="C73" s="6" t="inlineStr">
        <is>
          <t>OPEN</t>
        </is>
      </c>
      <c r="D73" s="6">
        <f>IFERROR(INDEX(Lists!$B$2:$B$14,MATCH(C73,Lists!$A$2:$A$14,0)),"?")</f>
        <v/>
      </c>
      <c r="E73" s="6">
        <f>IF(COUNTIFS(Links!$B$2:$B$600,A73,Links!$E$2:$E$600,"Yes")&gt;0,"REVISE","")</f>
        <v/>
      </c>
      <c r="F73" s="6">
        <f>COUNTIFS(Links!$B$2:$B$600,A73,Links!$D$2:$D$600,"No",Links!$C$2:$C$600,"&lt;&gt;INFORMS")</f>
        <v/>
      </c>
      <c r="G73" s="11" t="inlineStr">
        <is>
          <t>LITERATURE-DIRECTED</t>
        </is>
      </c>
      <c r="H73" s="6" t="inlineStr">
        <is>
          <t>K14 Source &amp; vendor verification</t>
        </is>
      </c>
      <c r="I73" s="6" t="inlineStr">
        <is>
          <t>G4 Before claims</t>
        </is>
      </c>
      <c r="J73" s="6" t="inlineStr">
        <is>
          <t>Normal</t>
        </is>
      </c>
      <c r="K73" s="6" t="n">
        <v>103</v>
      </c>
      <c r="L73" s="6" t="inlineStr">
        <is>
          <t>W2 Desk work (no model runs)</t>
        </is>
      </c>
      <c r="M73" s="6" t="inlineStr">
        <is>
          <t>S11</t>
        </is>
      </c>
      <c r="N73" s="6" t="inlineStr">
        <is>
          <t>You (supply the list) then lead</t>
        </is>
      </c>
      <c r="O73" s="6" t="inlineStr">
        <is>
          <t>Directed search (needs scope)</t>
        </is>
      </c>
      <c r="P73" s="6" t="inlineStr">
        <is>
          <t>No</t>
        </is>
      </c>
      <c r="Q73" s="6" t="inlineStr">
        <is>
          <t>Source check</t>
        </is>
      </c>
      <c r="R73" s="6" t="inlineStr">
        <is>
          <t>Sub-item</t>
        </is>
      </c>
      <c r="S73" s="6" t="inlineStr">
        <is>
          <t>C-E02</t>
        </is>
      </c>
      <c r="T73" s="6" t="inlineStr">
        <is>
          <t>SRC-06 E30: eight listed prior-art leads were never fetched by the earlier body.</t>
        </is>
      </c>
      <c r="U73" s="6" t="inlineStr">
        <is>
          <t>Names not available from SRC-11; cannot check against the repo.</t>
        </is>
      </c>
      <c r="V73" s="6" t="inlineStr">
        <is>
          <t>Original read; claims it affects revised or marked unverified.</t>
        </is>
      </c>
      <c r="W73" s="6" t="inlineStr"/>
      <c r="X73" s="6" t="inlineStr"/>
      <c r="Y73" s="6" t="inlineStr">
        <is>
          <t>Q-U23</t>
        </is>
      </c>
      <c r="Z73" s="6" t="inlineStr"/>
      <c r="AA73" s="6" t="inlineStr"/>
      <c r="AB73" s="6" t="inlineStr">
        <is>
          <t>SOURCE+ACCESS</t>
        </is>
      </c>
      <c r="AC73" s="6" t="inlineStr">
        <is>
          <t>n/a (sub-item)</t>
        </is>
      </c>
      <c r="AD73" s="6" t="inlineStr">
        <is>
          <t>NEW (SRC-11 sub-row)</t>
        </is>
      </c>
      <c r="AE73" s="6" t="inlineStr">
        <is>
          <t>2026-10-19</t>
        </is>
      </c>
      <c r="AF73" s="6" t="inlineStr">
        <is>
          <t>the list is in SRC-08 (not in .workspace)</t>
        </is>
      </c>
      <c r="AG73" s="6" t="inlineStr"/>
      <c r="AH73" s="6" t="inlineStr">
        <is>
          <t>No (AUTH-016 covers web fetches for this item)</t>
        </is>
      </c>
      <c r="AI73" s="6" t="inlineStr"/>
      <c r="AJ73" s="6" t="inlineStr">
        <is>
          <t>SRC-11 section D2</t>
        </is>
      </c>
      <c r="AK73" s="6" t="inlineStr">
        <is>
          <t>SRC-06 E30</t>
        </is>
      </c>
      <c r="AL73" s="6" t="inlineStr">
        <is>
          <t>S11</t>
        </is>
      </c>
    </row>
    <row r="74" ht="153" customHeight="1">
      <c r="A74" s="5" t="inlineStr">
        <is>
          <t>C-E02/E31</t>
        </is>
      </c>
      <c r="B74" s="6" t="inlineStr">
        <is>
          <t>ScaleMCP/MemTool/Toolshed/Manus/HAL/tau-bench and Spring AI/langgraph-bigtool: follow-up status unclear</t>
        </is>
      </c>
      <c r="C74" s="6" t="inlineStr">
        <is>
          <t>DEFERRED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104</v>
      </c>
      <c r="L74" s="6" t="inlineStr">
        <is>
          <t>W2 Desk work (no model runs)</t>
        </is>
      </c>
      <c r="M74" s="6" t="inlineStr">
        <is>
          <t>S11</t>
        </is>
      </c>
      <c r="N74" s="6" t="inlineStr">
        <is>
          <t>Lead + steward</t>
        </is>
      </c>
      <c r="O74" s="6" t="inlineStr">
        <is>
          <t>none until the trigger fires</t>
        </is>
      </c>
      <c r="P74" s="6" t="inlineStr">
        <is>
          <t>Partly</t>
        </is>
      </c>
      <c r="Q74" s="6" t="inlineStr">
        <is>
          <t>Source check</t>
        </is>
      </c>
      <c r="R74" s="6" t="inlineStr">
        <is>
          <t>Sub-item</t>
        </is>
      </c>
      <c r="S74" s="6" t="inlineStr">
        <is>
          <t>C-E02</t>
        </is>
      </c>
      <c r="T74" s="6" t="inlineStr">
        <is>
          <t>SRC-06 E31: ScaleMCP, MemTool, Toolshed, Manus, HAL and tau-bench groups and Spring AI / langgraph-bigtool code; follow-up status is unclear.</t>
        </is>
      </c>
      <c r="U74"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2026-10-20</t>
        </is>
      </c>
      <c r="AF74" s="6" t="inlineStr">
        <is>
          <t>grep of design/package-v3 and design/package-v4 01-05 (lead, 2026-10-20); see also this row's earlier basis</t>
        </is>
      </c>
      <c r="AG74" s="6" t="inlineStr">
        <is>
          <t>A document quotes Manus, HAL, tau-bench, Spring AI, langgraph-bigtool or Toolshed</t>
        </is>
      </c>
      <c r="AH74" s="6" t="inlineStr">
        <is>
          <t>No (AUTH-016 covers web fetches for this item)</t>
        </is>
      </c>
      <c r="AI74" s="6" t="inlineStr"/>
      <c r="AJ74" s="6" t="inlineStr">
        <is>
          <t>SRC-11 section D2</t>
        </is>
      </c>
      <c r="AK74" s="6" t="inlineStr">
        <is>
          <t>SRC-06 E31</t>
        </is>
      </c>
      <c r="AL74" s="6" t="inlineStr">
        <is>
          <t>S11</t>
        </is>
      </c>
    </row>
    <row r="75" ht="115.5" customHeight="1">
      <c r="A75" s="5" t="inlineStr">
        <is>
          <t>C-E02/E32</t>
        </is>
      </c>
      <c r="B75" s="6" t="inlineStr">
        <is>
          <t>95 near-miss stored texts: abstracts read, ~12 read deeper</t>
        </is>
      </c>
      <c r="C75" s="6" t="inlineStr">
        <is>
          <t>DEFERRED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105</v>
      </c>
      <c r="L75" s="6" t="inlineStr">
        <is>
          <t>W2 Desk work (no model runs)</t>
        </is>
      </c>
      <c r="M75" s="6" t="inlineStr">
        <is>
          <t>S11</t>
        </is>
      </c>
      <c r="N75" s="6" t="inlineStr">
        <is>
          <t>Lead + steward</t>
        </is>
      </c>
      <c r="O75" s="6" t="inlineStr">
        <is>
          <t>none until the trigger fires</t>
        </is>
      </c>
      <c r="P75" s="6" t="inlineStr">
        <is>
          <t>Partly</t>
        </is>
      </c>
      <c r="Q75" s="6" t="inlineStr">
        <is>
          <t>Source check</t>
        </is>
      </c>
      <c r="R75" s="6" t="inlineStr">
        <is>
          <t>Sub-item</t>
        </is>
      </c>
      <c r="S75" s="6" t="inlineStr">
        <is>
          <t>C-E02</t>
        </is>
      </c>
      <c r="T75" s="6" t="inlineStr">
        <is>
          <t>SRC-06 E32: 95 near-miss stored texts had abstracts read; only about 12 were read deeper.</t>
        </is>
      </c>
      <c r="U75"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75" s="6" t="inlineStr">
        <is>
          <t>Decisive ones prioritised; broad absence claims not made.</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2026-10-20</t>
        </is>
      </c>
      <c r="AF75" s="6" t="inlineStr">
        <is>
          <t>grep of design/package-v3 and design/package-v4 01-05 (lead, 2026-10-20); see also this row's earlier basis</t>
        </is>
      </c>
      <c r="AG75" s="6" t="inlineStr">
        <is>
          <t>A broad absence claim is about to be made, or a decisive near-miss text is identified</t>
        </is>
      </c>
      <c r="AH75" s="6" t="inlineStr">
        <is>
          <t>No (AUTH-016 covers web fetches for this item)</t>
        </is>
      </c>
      <c r="AI75" s="6" t="inlineStr"/>
      <c r="AJ75" s="6" t="inlineStr">
        <is>
          <t>SRC-11 section D2</t>
        </is>
      </c>
      <c r="AK75" s="6" t="inlineStr">
        <is>
          <t>SRC-06 E32</t>
        </is>
      </c>
      <c r="AL75" s="6" t="inlineStr">
        <is>
          <t>S11</t>
        </is>
      </c>
    </row>
    <row r="76" ht="140.5" customHeight="1">
      <c r="A76" s="5" t="inlineStr">
        <is>
          <t>C-E02/E33</t>
        </is>
      </c>
      <c r="B76" s="6" t="inlineStr">
        <is>
          <t>Historical web fetches were model-generated extracts; 'verbatim' may be paraphrase</t>
        </is>
      </c>
      <c r="C76" s="6" t="inlineStr">
        <is>
          <t>DEFERRED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106</v>
      </c>
      <c r="L76" s="6" t="inlineStr">
        <is>
          <t>W2 Desk work (no model runs)</t>
        </is>
      </c>
      <c r="M76" s="6" t="inlineStr">
        <is>
          <t>S11</t>
        </is>
      </c>
      <c r="N76" s="6" t="inlineStr">
        <is>
          <t>Lead + steward</t>
        </is>
      </c>
      <c r="O76" s="6" t="inlineStr">
        <is>
          <t>none until the trigger fires</t>
        </is>
      </c>
      <c r="P76" s="6" t="inlineStr">
        <is>
          <t>Partly</t>
        </is>
      </c>
      <c r="Q76" s="6" t="inlineStr">
        <is>
          <t>Source check</t>
        </is>
      </c>
      <c r="R76" s="6" t="inlineStr">
        <is>
          <t>Sub-item</t>
        </is>
      </c>
      <c r="S76" s="6" t="inlineStr">
        <is>
          <t>C-E02</t>
        </is>
      </c>
      <c r="T76" s="6" t="inlineStr">
        <is>
          <t>SRC-06 E33: historical web fetches were model-generated extracts, so 'verbatim' quotes may be paraphrase.</t>
        </is>
      </c>
      <c r="U76"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76" s="6" t="inlineStr">
        <is>
          <t>Raw original used before any direct quote.</t>
        </is>
      </c>
      <c r="W76" s="6" t="inlineStr"/>
      <c r="X76" s="6" t="inlineStr"/>
      <c r="Y76" s="6" t="inlineStr"/>
      <c r="Z76" s="6" t="inlineStr"/>
      <c r="AA76" s="6" t="inlineStr"/>
      <c r="AB76" s="6" t="inlineStr">
        <is>
          <t>SOURCE+ACCESS</t>
        </is>
      </c>
      <c r="AC76" s="6" t="inlineStr">
        <is>
          <t>n/a (sub-item)</t>
        </is>
      </c>
      <c r="AD76" s="6" t="inlineStr">
        <is>
          <t>NEW (SRC-11 sub-row)</t>
        </is>
      </c>
      <c r="AE76" s="6" t="inlineStr">
        <is>
          <t>2026-10-20</t>
        </is>
      </c>
      <c r="AF76" s="6" t="inlineStr">
        <is>
          <t>grep of design/package-v3 and design/package-v4 01-05 (lead, 2026-10-20); see also this row's earlier basis</t>
        </is>
      </c>
      <c r="AG76" s="6" t="inlineStr">
        <is>
          <t>Before any direct quote from a web page stored in the origin (r4-* pages): compare it with a fresh litfetch copy</t>
        </is>
      </c>
      <c r="AH76" s="6" t="inlineStr">
        <is>
          <t>No (AUTH-016 covers web fetches for this item)</t>
        </is>
      </c>
      <c r="AI76" s="6" t="inlineStr"/>
      <c r="AJ76" s="6" t="inlineStr">
        <is>
          <t>SRC-11 section D2</t>
        </is>
      </c>
      <c r="AK76" s="6" t="inlineStr">
        <is>
          <t>SRC-06 E33</t>
        </is>
      </c>
      <c r="AL76" s="6" t="inlineStr">
        <is>
          <t>S11</t>
        </is>
      </c>
    </row>
    <row r="77" ht="90.5" customHeight="1">
      <c r="A77" s="5" t="inlineStr">
        <is>
          <t>C-E02/E34</t>
        </is>
      </c>
      <c r="B77" s="6" t="inlineStr">
        <is>
          <t>Historical 'not found' claims used only 2-3 queries</t>
        </is>
      </c>
      <c r="C77" s="6" t="inlineStr">
        <is>
          <t>PARTLY ANSWERED</t>
        </is>
      </c>
      <c r="D77" s="6">
        <f>IFERROR(INDEX(Lists!$B$2:$B$14,MATCH(C77,Lists!$A$2:$A$14,0)),"?")</f>
        <v/>
      </c>
      <c r="E77" s="6">
        <f>IF(COUNTIFS(Links!$B$2:$B$600,A77,Links!$E$2:$E$600,"Yes")&gt;0,"REVISE","")</f>
        <v/>
      </c>
      <c r="F77" s="6">
        <f>COUNTIFS(Links!$B$2:$B$600,A77,Links!$D$2:$D$600,"No",Links!$C$2:$C$600,"&lt;&gt;INFORMS")</f>
        <v/>
      </c>
      <c r="G77" s="11" t="inlineStr">
        <is>
          <t>LITERATURE-DIRECTED</t>
        </is>
      </c>
      <c r="H77" s="6" t="inlineStr">
        <is>
          <t>K14 Source &amp; vendor verification</t>
        </is>
      </c>
      <c r="I77" s="6" t="inlineStr">
        <is>
          <t>G4 Before claims</t>
        </is>
      </c>
      <c r="J77" s="6" t="inlineStr">
        <is>
          <t>Normal</t>
        </is>
      </c>
      <c r="K77" s="6" t="n">
        <v>107</v>
      </c>
      <c r="L77" s="6" t="inlineStr">
        <is>
          <t>W2 Desk work (no model runs)</t>
        </is>
      </c>
      <c r="M77" s="6" t="inlineStr">
        <is>
          <t>S11</t>
        </is>
      </c>
      <c r="N77" s="6" t="inlineStr">
        <is>
          <t>Lead + steward</t>
        </is>
      </c>
      <c r="O77" s="6" t="inlineStr">
        <is>
          <t>Directed search (needs scope)</t>
        </is>
      </c>
      <c r="P77" s="6" t="inlineStr">
        <is>
          <t>Partly</t>
        </is>
      </c>
      <c r="Q77" s="6" t="inlineStr">
        <is>
          <t>Source check</t>
        </is>
      </c>
      <c r="R77" s="6" t="inlineStr">
        <is>
          <t>Sub-item</t>
        </is>
      </c>
      <c r="S77" s="6" t="inlineStr">
        <is>
          <t>C-E02</t>
        </is>
      </c>
      <c r="T77" s="6" t="inlineStr">
        <is>
          <t>SRC-06 E34: historical 'not found' claims used only 2-3 queries and missed stored sources.</t>
        </is>
      </c>
      <c r="U77"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77" s="6" t="inlineStr">
        <is>
          <t>Each absence claim carries a bounded search log.</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2026-10-19</t>
        </is>
      </c>
      <c r="AF77" s="6" t="inlineStr">
        <is>
          <t>ops/threads/T-20261019-102/TASK.md</t>
        </is>
      </c>
      <c r="AG77" s="6" t="inlineStr"/>
      <c r="AH77" s="6" t="inlineStr">
        <is>
          <t>No (AUTH-016 covers web fetches for this item)</t>
        </is>
      </c>
      <c r="AI77" s="6" t="inlineStr"/>
      <c r="AJ77" s="6" t="inlineStr">
        <is>
          <t>SRC-11 section D2</t>
        </is>
      </c>
      <c r="AK77" s="6" t="inlineStr">
        <is>
          <t>SRC-06 E34</t>
        </is>
      </c>
      <c r="AL77" s="6" t="inlineStr">
        <is>
          <t>S11</t>
        </is>
      </c>
    </row>
    <row r="78" ht="300" customHeight="1">
      <c r="A78" s="5" t="inlineStr">
        <is>
          <t>C-E02/STEWARDUNREAD</t>
        </is>
      </c>
      <c r="B78" s="6" t="inlineStr">
        <is>
          <t>Steward did not read appendices of TheMCPCompany, LiveMCPBench, When2Call, SING, the cache study</t>
        </is>
      </c>
      <c r="C78" s="6" t="inlineStr">
        <is>
          <t>DEFERRED</t>
        </is>
      </c>
      <c r="D78" s="6">
        <f>IFERROR(INDEX(Lists!$B$2:$B$14,MATCH(C78,Lists!$A$2:$A$14,0)),"?")</f>
        <v/>
      </c>
      <c r="E78" s="6">
        <f>IF(COUNTIFS(Links!$B$2:$B$600,A78,Links!$E$2:$E$600,"Yes")&gt;0,"REVISE","")</f>
        <v/>
      </c>
      <c r="F78" s="6">
        <f>COUNTIFS(Links!$B$2:$B$600,A78,Links!$D$2:$D$600,"No",Links!$C$2:$C$600,"&lt;&gt;INFORMS")</f>
        <v/>
      </c>
      <c r="G78" s="14" t="inlineStr">
        <is>
          <t>SOURCE-REREAD</t>
        </is>
      </c>
      <c r="H78" s="6" t="inlineStr">
        <is>
          <t>K14 Source &amp; vendor verification</t>
        </is>
      </c>
      <c r="I78" s="6" t="inlineStr">
        <is>
          <t>G4 Before claims</t>
        </is>
      </c>
      <c r="J78" s="6" t="inlineStr">
        <is>
          <t>Normal</t>
        </is>
      </c>
      <c r="K78" s="6" t="n">
        <v>108</v>
      </c>
      <c r="L78" s="6" t="inlineStr">
        <is>
          <t>W2 Desk work (no model runs)</t>
        </is>
      </c>
      <c r="M78" s="6" t="inlineStr">
        <is>
          <t>S11</t>
        </is>
      </c>
      <c r="N78" s="6" t="inlineStr">
        <is>
          <t>Lead + fresh reviewer</t>
        </is>
      </c>
      <c r="O78" s="6" t="inlineStr">
        <is>
          <t>none until the trigger fires</t>
        </is>
      </c>
      <c r="P78" s="6" t="inlineStr">
        <is>
          <t>Yes - stored text, unread</t>
        </is>
      </c>
      <c r="Q78" s="6" t="inlineStr">
        <is>
          <t>Record fix</t>
        </is>
      </c>
      <c r="R78" s="6" t="inlineStr">
        <is>
          <t>Sub-item</t>
        </is>
      </c>
      <c r="S78" s="6" t="inlineStr">
        <is>
          <t>C-E02</t>
        </is>
      </c>
      <c r="T78" s="6" t="inlineStr">
        <is>
          <t>v4-05 section 5: TheMCPCompany trajectories and appendices, LiveMCPBench appendices other than cited, When2Call appendices, SING appendices (prompts) and the cache-study appendices were not read.</t>
        </is>
      </c>
      <c r="U78"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78" s="6" t="inlineStr">
        <is>
          <t>Read if a claim depends on them.</t>
        </is>
      </c>
      <c r="W78" s="6" t="inlineStr"/>
      <c r="X78" s="6" t="inlineStr"/>
      <c r="Y78" s="6" t="inlineStr"/>
      <c r="Z78" s="6" t="inlineStr"/>
      <c r="AA78" s="6" t="inlineStr"/>
      <c r="AB78" s="6" t="inlineStr">
        <is>
          <t>RECORD+SOURCE</t>
        </is>
      </c>
      <c r="AC78" s="6" t="inlineStr">
        <is>
          <t>n/a (sub-item)</t>
        </is>
      </c>
      <c r="AD78" s="6" t="inlineStr">
        <is>
          <t>NEW (repo sweep)</t>
        </is>
      </c>
      <c r="AE78" s="6" t="inlineStr">
        <is>
          <t>2026-10-20</t>
        </is>
      </c>
      <c r="AF78" s="6" t="inlineStr">
        <is>
          <t>grep of design/package-v3 and design/package-v4 01-05 (lead, 2026-10-20); see also this row's earlier basis</t>
        </is>
      </c>
      <c r="AG78" s="6" t="inlineStr">
        <is>
          <t>A claim depends on an unread trajectory or appendix</t>
        </is>
      </c>
      <c r="AH78" s="6" t="inlineStr">
        <is>
          <t>No (AUTH-016 covers web fetches for this item)</t>
        </is>
      </c>
      <c r="AI78" s="6" t="inlineStr"/>
      <c r="AJ78" s="6" t="inlineStr">
        <is>
          <t>repo: v4-03 section 6 / RV-0005 / RV-0007</t>
        </is>
      </c>
      <c r="AK78" s="6" t="inlineStr"/>
      <c r="AL78" s="6" t="inlineStr">
        <is>
          <t>S11</t>
        </is>
      </c>
    </row>
    <row r="79" ht="128" customHeight="1">
      <c r="A79" s="5" t="inlineStr">
        <is>
          <t>C-X09</t>
        </is>
      </c>
      <c r="B79" s="6" t="inlineStr">
        <is>
          <t>Re-read decisive papers/tables or ask authors (the check behind C-E01..E03 and C-S19).</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110</v>
      </c>
      <c r="L79" s="6" t="inlineStr">
        <is>
          <t>W2 Desk work (no model runs)</t>
        </is>
      </c>
      <c r="M79" s="6" t="inlineStr">
        <is>
          <t>S11</t>
        </is>
      </c>
      <c r="N79" s="6" t="inlineStr">
        <is>
          <t>Lead + steward</t>
        </is>
      </c>
      <c r="O79" s="6" t="inlineStr">
        <is>
          <t>You send the author asks; approve 06 row 3.29</t>
        </is>
      </c>
      <c r="P79" s="6" t="inlineStr">
        <is>
          <t>Yes - stored text, unread</t>
        </is>
      </c>
      <c r="Q79" s="6" t="inlineStr">
        <is>
          <t>Test</t>
        </is>
      </c>
      <c r="R79" s="6" t="inlineStr">
        <is>
          <t>Check</t>
        </is>
      </c>
      <c r="S79" s="6" t="inlineStr"/>
      <c r="T79" s="6" t="inlineStr">
        <is>
          <t>Re-read decisive papers/tables or ask authors (the check behind C-E01..E03 and C-S19).</t>
        </is>
      </c>
      <c r="U79"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79" s="6" t="inlineStr">
        <is>
          <t>Pivotal sources read and cited with version; authors asked where needed.</t>
        </is>
      </c>
      <c r="W79" s="6" t="inlineStr"/>
      <c r="X79" s="6" t="inlineStr">
        <is>
          <t>C-D01</t>
        </is>
      </c>
      <c r="Y79" s="6" t="inlineStr"/>
      <c r="Z79" s="6" t="inlineStr">
        <is>
          <t>AUTHOR-OR-VENDOR</t>
        </is>
      </c>
      <c r="AA79" s="6" t="inlineStr"/>
      <c r="AB79" s="6" t="inlineStr">
        <is>
          <t>SOURCE</t>
        </is>
      </c>
      <c r="AC79" s="6" t="inlineStr">
        <is>
          <t>PARTLY DONE - OPEN</t>
        </is>
      </c>
      <c r="AD79" s="6" t="inlineStr">
        <is>
          <t>NARROWED</t>
        </is>
      </c>
      <c r="AE79" s="6" t="inlineStr">
        <is>
          <t>2026-10-20</t>
        </is>
      </c>
      <c r="AF79" s="6" t="inlineStr">
        <is>
          <t>SUM-0005..0009</t>
        </is>
      </c>
      <c r="AG79" s="6" t="inlineStr"/>
      <c r="AH79" s="6" t="inlineStr">
        <is>
          <t>No (AUTH-016 covers web fetches for this item)</t>
        </is>
      </c>
      <c r="AI79" s="6" t="inlineStr"/>
      <c r="AJ79" s="6" t="inlineStr">
        <is>
          <t>SRC-11 canonical</t>
        </is>
      </c>
      <c r="AK79" s="6" t="inlineStr">
        <is>
          <t>SRC-06 X09</t>
        </is>
      </c>
      <c r="AL79" s="6" t="inlineStr">
        <is>
          <t>S11</t>
        </is>
      </c>
    </row>
    <row r="80" ht="65.5" customHeight="1">
      <c r="A80" s="5" t="inlineStr">
        <is>
          <t>C-S05</t>
        </is>
      </c>
      <c r="B80" s="6" t="inlineStr">
        <is>
          <t>Vendor tool-search gain (49% to 74%) has no public method or sample and is unreplicated.</t>
        </is>
      </c>
      <c r="C80" s="6" t="inlineStr">
        <is>
          <t>NOT LOCATED</t>
        </is>
      </c>
      <c r="D80" s="6">
        <f>IFERROR(INDEX(Lists!$B$2:$B$14,MATCH(C80,Lists!$A$2:$A$14,0)),"?")</f>
        <v/>
      </c>
      <c r="E80" s="6">
        <f>IF(COUNTIFS(Links!$B$2:$B$600,A80,Links!$E$2:$E$600,"Yes")&gt;0,"REVISE","")</f>
        <v/>
      </c>
      <c r="F80" s="6">
        <f>COUNTIFS(Links!$B$2:$B$600,A80,Links!$D$2:$D$600,"No",Links!$C$2:$C$600,"&lt;&gt;INFORMS")</f>
        <v/>
      </c>
      <c r="G80" s="16" t="inlineStr">
        <is>
          <t>AUTHOR-OR-VENDOR</t>
        </is>
      </c>
      <c r="H80" s="6" t="inlineStr">
        <is>
          <t>K14 Source &amp; vendor verification</t>
        </is>
      </c>
      <c r="I80" s="6" t="inlineStr">
        <is>
          <t>G4 Before claims</t>
        </is>
      </c>
      <c r="J80" s="6" t="inlineStr">
        <is>
          <t>Normal</t>
        </is>
      </c>
      <c r="K80" s="6" t="n">
        <v>112</v>
      </c>
      <c r="L80" s="6" t="inlineStr">
        <is>
          <t>W2 Desk work (no model runs)</t>
        </is>
      </c>
      <c r="M80" s="6" t="inlineStr">
        <is>
          <t>S12</t>
        </is>
      </c>
      <c r="N80" s="6" t="inlineStr">
        <is>
          <t>Vendor (or an independent benchmark)</t>
        </is>
      </c>
      <c r="O80" s="6" t="inlineStr">
        <is>
          <t>You send the drafted ask (design/ledger/notes/AUTHOR-ASKS-DRAFT-20261020.md, section 3) and record the reply; until then it waits on the authors</t>
        </is>
      </c>
      <c r="P80" s="6" t="inlineStr">
        <is>
          <t>No</t>
        </is>
      </c>
      <c r="Q80" s="6" t="inlineStr">
        <is>
          <t>Source check</t>
        </is>
      </c>
      <c r="R80" s="6" t="inlineStr">
        <is>
          <t>Item</t>
        </is>
      </c>
      <c r="S80" s="6" t="inlineStr"/>
      <c r="T80" s="6" t="inlineStr">
        <is>
          <t>Vendor tool-search gain (49% to 74%) has no public method or sample and is unreplicated.</t>
        </is>
      </c>
      <c r="U80" s="6" t="inlineStr">
        <is>
          <t>Three differently worded searches found no third-party measurement (not located is not 'does not exist').</t>
        </is>
      </c>
      <c r="V80" s="6" t="inlineStr">
        <is>
          <t>Method/data supplied, or recorded as 'not provided' and cited as a vendor claim.</t>
        </is>
      </c>
      <c r="W80" s="6" t="inlineStr"/>
      <c r="X80" s="6" t="inlineStr">
        <is>
          <t>C-S02</t>
        </is>
      </c>
      <c r="Y80" s="6" t="inlineStr"/>
      <c r="Z80" s="6" t="inlineStr">
        <is>
          <t>TEST-PILOT</t>
        </is>
      </c>
      <c r="AA80" s="6" t="inlineStr">
        <is>
          <t>K11 End-to-end comparison</t>
        </is>
      </c>
      <c r="AB80" s="6" t="inlineStr">
        <is>
          <t>SOURCE+DATA</t>
        </is>
      </c>
      <c r="AC80" s="6" t="inlineStr">
        <is>
          <t>OPEN</t>
        </is>
      </c>
      <c r="AD80" s="6" t="inlineStr">
        <is>
          <t>NOT LOCATED</t>
        </is>
      </c>
      <c r="AE80" s="6" t="inlineStr">
        <is>
          <t>2026-10-20</t>
        </is>
      </c>
      <c r="AF80" s="6" t="inlineStr">
        <is>
          <t>v4-05 section 1B and saturation note; EXT-0074</t>
        </is>
      </c>
      <c r="AG80" s="6" t="inlineStr"/>
      <c r="AH80" s="6" t="inlineStr">
        <is>
          <t>No for the ask</t>
        </is>
      </c>
      <c r="AI80" s="6" t="inlineStr"/>
      <c r="AJ80" s="6" t="inlineStr">
        <is>
          <t>SRC-11 canonical</t>
        </is>
      </c>
      <c r="AK80" s="6" t="inlineStr">
        <is>
          <t>SRC-06 S09</t>
        </is>
      </c>
      <c r="AL80" s="6" t="inlineStr">
        <is>
          <t>S12</t>
        </is>
      </c>
    </row>
    <row r="81" ht="103" customHeight="1">
      <c r="A81" s="5" t="inlineStr">
        <is>
          <t>C-S19</t>
        </is>
      </c>
      <c r="B81" s="6" t="inlineStr">
        <is>
          <t>MCPVerse v1/v2 discrepancies (score shift, copied v2 Table 4 cells, denominators, pool, reproduction, nativ...</t>
        </is>
      </c>
      <c r="C81" s="6" t="inlineStr">
        <is>
          <t>PARTLY ANSWERED</t>
        </is>
      </c>
      <c r="D81" s="6">
        <f>IFERROR(INDEX(Lists!$B$2:$B$14,MATCH(C81,Lists!$A$2:$A$14,0)),"?")</f>
        <v/>
      </c>
      <c r="E81" s="6">
        <f>IF(COUNTIFS(Links!$B$2:$B$600,A81,Links!$E$2:$E$600,"Yes")&gt;0,"REVISE","")</f>
        <v/>
      </c>
      <c r="F81" s="6">
        <f>COUNTIFS(Links!$B$2:$B$600,A81,Links!$D$2:$D$600,"No",Links!$C$2:$C$600,"&lt;&gt;INFORMS")</f>
        <v/>
      </c>
      <c r="G81" s="16" t="inlineStr">
        <is>
          <t>AUTHOR-OR-VENDOR</t>
        </is>
      </c>
      <c r="H81" s="6" t="inlineStr">
        <is>
          <t>K14 Source &amp; vendor verification</t>
        </is>
      </c>
      <c r="I81" s="6" t="inlineStr">
        <is>
          <t>G5 Housekeeping / no block</t>
        </is>
      </c>
      <c r="J81" s="6" t="inlineStr">
        <is>
          <t>Low</t>
        </is>
      </c>
      <c r="K81" s="6" t="n">
        <v>113</v>
      </c>
      <c r="L81" s="6" t="inlineStr">
        <is>
          <t>W2 Desk work (no model runs)</t>
        </is>
      </c>
      <c r="M81" s="6" t="inlineStr">
        <is>
          <t>S12</t>
        </is>
      </c>
      <c r="N81" s="6" t="inlineStr">
        <is>
          <t>Authors; or defer</t>
        </is>
      </c>
      <c r="O81" s="6" t="inlineStr">
        <is>
          <t>Author asks (S40, S41, S43 judge identity)</t>
        </is>
      </c>
      <c r="P81" s="6" t="inlineStr">
        <is>
          <t>Yes - stored text, unread</t>
        </is>
      </c>
      <c r="Q81" s="6" t="inlineStr">
        <is>
          <t>Source check</t>
        </is>
      </c>
      <c r="R81" s="6" t="inlineStr">
        <is>
          <t>Item</t>
        </is>
      </c>
      <c r="S81" s="6" t="inlineStr"/>
      <c r="T81" s="6" t="inlineStr">
        <is>
          <t>MCPVerse v1/v2 discrepancies (score shift, copied v2 Table 4 cells, denominators, pool, reproduction, native vs prompt calling).</t>
        </is>
      </c>
      <c r="U81"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1" s="6" t="inlineStr">
        <is>
          <t>Author reply or 'author unavailable' recorded; defer unless it becomes a cited premise.</t>
        </is>
      </c>
      <c r="W81" s="6" t="inlineStr"/>
      <c r="X81" s="6" t="inlineStr"/>
      <c r="Y81" s="6" t="inlineStr"/>
      <c r="Z81" s="6" t="inlineStr">
        <is>
          <t>SOURCE-REREAD, ACCEPT-LIMITATION</t>
        </is>
      </c>
      <c r="AA81" s="6" t="inlineStr"/>
      <c r="AB81" s="6" t="inlineStr">
        <is>
          <t>SOURCE+AUTHOR+DATA</t>
        </is>
      </c>
      <c r="AC81" s="6" t="inlineStr">
        <is>
          <t>PARTLY ANSWERED - OPEN</t>
        </is>
      </c>
      <c r="AD81" s="6" t="inlineStr">
        <is>
          <t>UNCHANGED</t>
        </is>
      </c>
      <c r="AE81" s="6" t="inlineStr">
        <is>
          <t>2026-10-19</t>
        </is>
      </c>
      <c r="AF81" s="6" t="inlineStr">
        <is>
          <t>FND-0026 (findings/SUM-0028); EXT-0203, EXT-0204; evidence/literature-20261019/pages/INDEX.md (MCPVerse v2 pages 5, 7, 9)</t>
        </is>
      </c>
      <c r="AG81" s="6" t="inlineStr">
        <is>
          <t>If MCPVerse becomes a cited premise</t>
        </is>
      </c>
      <c r="AH81" s="6" t="inlineStr">
        <is>
          <t>No</t>
        </is>
      </c>
      <c r="AI81" s="6" t="inlineStr"/>
      <c r="AJ81" s="6" t="inlineStr">
        <is>
          <t>SRC-11 canonical</t>
        </is>
      </c>
      <c r="AK81" s="6" t="inlineStr">
        <is>
          <t>SRC-06 S40-S46, SRC-07 23, SRC-07 24</t>
        </is>
      </c>
      <c r="AL81" s="6" t="inlineStr">
        <is>
          <t>S12</t>
        </is>
      </c>
    </row>
    <row r="82" ht="278" customHeight="1">
      <c r="A82" s="5" t="inlineStr">
        <is>
          <t>C-S19/S40</t>
        </is>
      </c>
      <c r="B82" s="6" t="inlineStr">
        <is>
          <t>Cause of the v1/v2 Claude score shift (judge change insufficient)</t>
        </is>
      </c>
      <c r="C82" s="6" t="inlineStr">
        <is>
          <t>PARTLY ANSWERED</t>
        </is>
      </c>
      <c r="D82" s="6">
        <f>IFERROR(INDEX(Lists!$B$2:$B$14,MATCH(C82,Lists!$A$2:$A$14,0)),"?")</f>
        <v/>
      </c>
      <c r="E82" s="6">
        <f>IF(COUNTIFS(Links!$B$2:$B$600,A82,Links!$E$2:$E$600,"Yes")&gt;0,"REVISE","")</f>
        <v/>
      </c>
      <c r="F82" s="6">
        <f>COUNTIFS(Links!$B$2:$B$600,A82,Links!$D$2:$D$600,"No",Links!$C$2:$C$600,"&lt;&gt;INFORMS")</f>
        <v/>
      </c>
      <c r="G82" s="16" t="inlineStr">
        <is>
          <t>AUTHOR-OR-VENDOR</t>
        </is>
      </c>
      <c r="H82" s="6" t="inlineStr">
        <is>
          <t>K14 Source &amp; vendor verification</t>
        </is>
      </c>
      <c r="I82" s="6" t="inlineStr">
        <is>
          <t>G5 Housekeeping / no block</t>
        </is>
      </c>
      <c r="J82" s="6" t="inlineStr">
        <is>
          <t>Low</t>
        </is>
      </c>
      <c r="K82" s="6" t="n">
        <v>114</v>
      </c>
      <c r="L82" s="6" t="inlineStr">
        <is>
          <t>W2 Desk work (no model runs)</t>
        </is>
      </c>
      <c r="M82" s="6" t="inlineStr">
        <is>
          <t>S12</t>
        </is>
      </c>
      <c r="N82" s="6" t="inlineStr">
        <is>
          <t>Authors / team</t>
        </is>
      </c>
      <c r="O82" s="6" t="inlineStr">
        <is>
          <t>You send the drafted ask (design/ledger/notes/AUTHOR-ASKS-DRAFT-20261020.md, section 1) and record the reply; until then it waits on the authors</t>
        </is>
      </c>
      <c r="P82" s="6" t="inlineStr">
        <is>
          <t>Partly</t>
        </is>
      </c>
      <c r="Q82" s="6" t="inlineStr">
        <is>
          <t>Source check</t>
        </is>
      </c>
      <c r="R82" s="6" t="inlineStr">
        <is>
          <t>Sub-item</t>
        </is>
      </c>
      <c r="S82" s="6" t="inlineStr">
        <is>
          <t>C-S19</t>
        </is>
      </c>
      <c r="T82" s="6" t="inlineStr">
        <is>
          <t>SRC-06 S40 / SRC-07 23: a judge change does not explain the v1/v2 Claude shift; the actual cause (protocol, task/model mix, reruns) is open.</t>
        </is>
      </c>
      <c r="U82"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82" s="6" t="inlineStr">
        <is>
          <t>Authors / raw logs / reproduction.</t>
        </is>
      </c>
      <c r="W82" s="6" t="inlineStr"/>
      <c r="X82" s="6" t="inlineStr"/>
      <c r="Y82" s="6" t="inlineStr"/>
      <c r="Z82" s="6" t="inlineStr"/>
      <c r="AA82" s="6" t="inlineStr"/>
      <c r="AB82" s="6" t="inlineStr">
        <is>
          <t>SOURCE+AUTHOR</t>
        </is>
      </c>
      <c r="AC82" s="6" t="inlineStr">
        <is>
          <t>n/a (sub-item)</t>
        </is>
      </c>
      <c r="AD82" s="6" t="inlineStr">
        <is>
          <t>NEW (SRC-11 sub-row)</t>
        </is>
      </c>
      <c r="AE82" s="6" t="inlineStr">
        <is>
          <t>2026-10-20</t>
        </is>
      </c>
      <c r="AF82" s="6" t="inlineStr">
        <is>
          <t>FND-0026 (findings/SUM-0028); EXT-0203, EXT-0204; evidence/literature-20261019/pages/INDEX.md (MCPVerse v2 pages 5, 7, 9); EXT-0204</t>
        </is>
      </c>
      <c r="AG82" s="6" t="inlineStr"/>
      <c r="AH82" s="6" t="inlineStr">
        <is>
          <t>No</t>
        </is>
      </c>
      <c r="AI82" s="6" t="inlineStr"/>
      <c r="AJ82" s="6" t="inlineStr">
        <is>
          <t>SRC-11 section D3</t>
        </is>
      </c>
      <c r="AK82" s="6" t="inlineStr">
        <is>
          <t>SRC-06 S40</t>
        </is>
      </c>
      <c r="AL82" s="6" t="inlineStr">
        <is>
          <t>S12</t>
        </is>
      </c>
    </row>
    <row r="83" ht="140.5" customHeight="1">
      <c r="A83" s="5" t="inlineStr">
        <is>
          <t>C-S19/S41</t>
        </is>
      </c>
      <c r="B83" s="6" t="inlineStr">
        <is>
          <t>Copied cells in v2 Table 4 (Claude/Gemini)</t>
        </is>
      </c>
      <c r="C83" s="6" t="inlineStr">
        <is>
          <t>PARTLY ANSWERED</t>
        </is>
      </c>
      <c r="D83" s="6">
        <f>IFERROR(INDEX(Lists!$B$2:$B$14,MATCH(C83,Lists!$A$2:$A$14,0)),"?")</f>
        <v/>
      </c>
      <c r="E83" s="6">
        <f>IF(COUNTIFS(Links!$B$2:$B$600,A83,Links!$E$2:$E$600,"Yes")&gt;0,"REVISE","")</f>
        <v/>
      </c>
      <c r="F83" s="6">
        <f>COUNTIFS(Links!$B$2:$B$600,A83,Links!$D$2:$D$600,"No",Links!$C$2:$C$600,"&lt;&gt;INFORMS")</f>
        <v/>
      </c>
      <c r="G83" s="16" t="inlineStr">
        <is>
          <t>AUTHOR-OR-VENDOR</t>
        </is>
      </c>
      <c r="H83" s="6" t="inlineStr">
        <is>
          <t>K14 Source &amp; vendor verification</t>
        </is>
      </c>
      <c r="I83" s="6" t="inlineStr">
        <is>
          <t>G5 Housekeeping / no block</t>
        </is>
      </c>
      <c r="J83" s="6" t="inlineStr">
        <is>
          <t>Low</t>
        </is>
      </c>
      <c r="K83" s="6" t="n">
        <v>115</v>
      </c>
      <c r="L83" s="6" t="inlineStr">
        <is>
          <t>W2 Desk work (no model runs)</t>
        </is>
      </c>
      <c r="M83" s="6" t="inlineStr">
        <is>
          <t>S12</t>
        </is>
      </c>
      <c r="N83" s="6" t="inlineStr">
        <is>
          <t>Authors / team</t>
        </is>
      </c>
      <c r="O83" s="6" t="inlineStr">
        <is>
          <t>You send the drafted ask (design/ledger/notes/AUTHOR-ASKS-DRAFT-20261020.md, section 1) and record the reply; until then it waits on the authors</t>
        </is>
      </c>
      <c r="P83" s="6" t="inlineStr">
        <is>
          <t>Partly</t>
        </is>
      </c>
      <c r="Q83" s="6" t="inlineStr">
        <is>
          <t>Source check</t>
        </is>
      </c>
      <c r="R83" s="6" t="inlineStr">
        <is>
          <t>Sub-item</t>
        </is>
      </c>
      <c r="S83" s="6" t="inlineStr">
        <is>
          <t>C-S19</t>
        </is>
      </c>
      <c r="T83" s="6" t="inlineStr">
        <is>
          <t>SRC-06 S41 / SRC-07 24: apparent copied cells identified; the correct v2 Table 4 Claude/Gemini cells are unknown.</t>
        </is>
      </c>
      <c r="U83"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83" s="6" t="inlineStr">
        <is>
          <t>Authors / raw logs / reproduction.</t>
        </is>
      </c>
      <c r="W83" s="6" t="inlineStr"/>
      <c r="X83" s="6" t="inlineStr"/>
      <c r="Y83" s="6" t="inlineStr"/>
      <c r="Z83" s="6" t="inlineStr"/>
      <c r="AA83" s="6" t="inlineStr"/>
      <c r="AB83" s="6" t="inlineStr">
        <is>
          <t>SOURCE+AUTHOR</t>
        </is>
      </c>
      <c r="AC83" s="6" t="inlineStr">
        <is>
          <t>n/a (sub-item)</t>
        </is>
      </c>
      <c r="AD83" s="6" t="inlineStr">
        <is>
          <t>NEW (SRC-11 sub-row)</t>
        </is>
      </c>
      <c r="AE83" s="6" t="inlineStr">
        <is>
          <t>2026-10-20</t>
        </is>
      </c>
      <c r="AF83" s="6" t="inlineStr">
        <is>
          <t>FND-0026 (findings/SUM-0028); EXT-0203, EXT-0204; evidence/literature-20261019/pages/INDEX.md (MCPVerse v2 pages 5, 7, 9)</t>
        </is>
      </c>
      <c r="AG83" s="6" t="inlineStr"/>
      <c r="AH83" s="6" t="inlineStr">
        <is>
          <t>No</t>
        </is>
      </c>
      <c r="AI83" s="6" t="inlineStr"/>
      <c r="AJ83" s="6" t="inlineStr">
        <is>
          <t>SRC-11 section D3</t>
        </is>
      </c>
      <c r="AK83" s="6" t="inlineStr">
        <is>
          <t>SRC-06 S41</t>
        </is>
      </c>
      <c r="AL83" s="6" t="inlineStr">
        <is>
          <t>S12</t>
        </is>
      </c>
    </row>
    <row r="84" ht="300" customHeight="1">
      <c r="A84" s="5" t="inlineStr">
        <is>
          <t>C-S19/S42</t>
        </is>
      </c>
      <c r="B84" s="6" t="inlineStr">
        <is>
          <t>Printed per-level counts and 250-vs-311 mismatch</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G5 Housekeeping / no block</t>
        </is>
      </c>
      <c r="J84" s="6" t="inlineStr">
        <is>
          <t>Low</t>
        </is>
      </c>
      <c r="K84" s="6" t="n">
        <v>116</v>
      </c>
      <c r="L84" s="6" t="inlineStr">
        <is>
          <t>W2 Desk work (no model runs)</t>
        </is>
      </c>
      <c r="M84" s="6" t="inlineStr">
        <is>
          <t>S12</t>
        </is>
      </c>
      <c r="N84" s="6" t="inlineStr">
        <is>
          <t>Authors / team</t>
        </is>
      </c>
      <c r="O84" s="6" t="inlineStr">
        <is>
          <t>You send the drafted ask (design/ledger/notes/AUTHOR-ASKS-DRAFT-20261020.md, section 1) and record the reply; until then it waits on the authors</t>
        </is>
      </c>
      <c r="P84" s="6" t="inlineStr">
        <is>
          <t>Partly</t>
        </is>
      </c>
      <c r="Q84" s="6" t="inlineStr">
        <is>
          <t>Source check</t>
        </is>
      </c>
      <c r="R84" s="6" t="inlineStr">
        <is>
          <t>Sub-item</t>
        </is>
      </c>
      <c r="S84" s="6" t="inlineStr">
        <is>
          <t>C-S19</t>
        </is>
      </c>
      <c r="T84" s="6" t="inlineStr">
        <is>
          <t>SRC-06 S42: printed per-level counts and a 250-vs-311 mismatch; denominators unknown.</t>
        </is>
      </c>
      <c r="U84"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84" s="6" t="inlineStr">
        <is>
          <t>Authors / raw logs / reproduction.</t>
        </is>
      </c>
      <c r="W84" s="6" t="inlineStr"/>
      <c r="X84" s="6" t="inlineStr"/>
      <c r="Y84" s="6" t="inlineStr">
        <is>
          <t>Q-U22</t>
        </is>
      </c>
      <c r="Z84" s="6" t="inlineStr"/>
      <c r="AA84" s="6" t="inlineStr"/>
      <c r="AB84" s="6" t="inlineStr">
        <is>
          <t>SOURCE+AUTHOR</t>
        </is>
      </c>
      <c r="AC84" s="6" t="inlineStr">
        <is>
          <t>n/a (sub-item)</t>
        </is>
      </c>
      <c r="AD84" s="6" t="inlineStr">
        <is>
          <t>NEW (SRC-11 sub-row)</t>
        </is>
      </c>
      <c r="AE84" s="6" t="inlineStr">
        <is>
          <t>2026-10-20</t>
        </is>
      </c>
      <c r="AF84" s="6" t="inlineStr">
        <is>
          <t>FND-0026 (findings/SUM-0028); EXT-0203, EXT-0204; evidence/literature-20261019/pages/INDEX.md (MCPVerse v2 pages 5, 7, 9)</t>
        </is>
      </c>
      <c r="AG84" s="6" t="inlineStr"/>
      <c r="AH84" s="6" t="inlineStr">
        <is>
          <t>No</t>
        </is>
      </c>
      <c r="AI84" s="6" t="inlineStr"/>
      <c r="AJ84" s="6" t="inlineStr">
        <is>
          <t>SRC-11 section D3</t>
        </is>
      </c>
      <c r="AK84" s="6" t="inlineStr">
        <is>
          <t>SRC-06 S42</t>
        </is>
      </c>
      <c r="AL84" s="6" t="inlineStr">
        <is>
          <t>S12</t>
        </is>
      </c>
    </row>
    <row r="85" ht="300" customHeight="1">
      <c r="A85" s="5" t="inlineStr">
        <is>
          <t>C-S19/S43</t>
        </is>
      </c>
      <c r="B85" s="6" t="inlineStr">
        <is>
          <t>Retrieve pool (32/65) and retrieve-mode judge behaviour</t>
        </is>
      </c>
      <c r="C85" s="6" t="inlineStr">
        <is>
          <t>PARTLY ANSWERED</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G5 Housekeeping / no block</t>
        </is>
      </c>
      <c r="J85" s="6" t="inlineStr">
        <is>
          <t>Low</t>
        </is>
      </c>
      <c r="K85" s="6" t="n">
        <v>117</v>
      </c>
      <c r="L85" s="6" t="inlineStr">
        <is>
          <t>W2 Desk work (no model runs)</t>
        </is>
      </c>
      <c r="M85" s="6" t="inlineStr">
        <is>
          <t>S12</t>
        </is>
      </c>
      <c r="N85" s="6" t="inlineStr">
        <is>
          <t>Authors / team</t>
        </is>
      </c>
      <c r="O85" s="6" t="inlineStr">
        <is>
          <t>You send the drafted ask (design/ledger/notes/AUTHOR-ASKS-DRAFT-20261020.md, section 1) and record the reply; until then it waits on the authors</t>
        </is>
      </c>
      <c r="P85" s="6" t="inlineStr">
        <is>
          <t>Yes - stored text, unread</t>
        </is>
      </c>
      <c r="Q85" s="6" t="inlineStr">
        <is>
          <t>Source check</t>
        </is>
      </c>
      <c r="R85" s="6" t="inlineStr">
        <is>
          <t>Sub-item</t>
        </is>
      </c>
      <c r="S85" s="6" t="inlineStr">
        <is>
          <t>C-S19</t>
        </is>
      </c>
      <c r="T85" s="6" t="inlineStr">
        <is>
          <t>SRC-06 S43: the retrieve pool (32/65) and retrieve-mode judge behaviour are unknown.</t>
        </is>
      </c>
      <c r="U85"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85" s="6" t="inlineStr">
        <is>
          <t>Authors / raw logs / reproduction.</t>
        </is>
      </c>
      <c r="W85" s="6" t="inlineStr"/>
      <c r="X85" s="6" t="inlineStr"/>
      <c r="Y85" s="6" t="inlineStr"/>
      <c r="Z85" s="6" t="inlineStr"/>
      <c r="AA85" s="6" t="inlineStr"/>
      <c r="AB85" s="6" t="inlineStr">
        <is>
          <t>SOURCE+AUTHOR</t>
        </is>
      </c>
      <c r="AC85" s="6" t="inlineStr">
        <is>
          <t>n/a (sub-item)</t>
        </is>
      </c>
      <c r="AD85" s="6" t="inlineStr">
        <is>
          <t>NEW (SRC-11 sub-row)</t>
        </is>
      </c>
      <c r="AE85" s="6" t="inlineStr">
        <is>
          <t>2026-10-20</t>
        </is>
      </c>
      <c r="AF85" s="6" t="inlineStr">
        <is>
          <t>FND-0026 (findings/SUM-0028); EXT-0203, EXT-0204; evidence/literature-20261019/pages/INDEX.md (MCPVerse v2 pages 5, 7, 9)</t>
        </is>
      </c>
      <c r="AG85" s="6" t="inlineStr"/>
      <c r="AH85" s="6" t="inlineStr">
        <is>
          <t>No</t>
        </is>
      </c>
      <c r="AI85" s="6" t="inlineStr"/>
      <c r="AJ85" s="6" t="inlineStr">
        <is>
          <t>SRC-11 section D3</t>
        </is>
      </c>
      <c r="AK85" s="6" t="inlineStr">
        <is>
          <t>SRC-06 S43</t>
        </is>
      </c>
      <c r="AL85" s="6" t="inlineStr">
        <is>
          <t>S12</t>
        </is>
      </c>
    </row>
    <row r="86" ht="28" customHeight="1">
      <c r="A86" s="5" t="inlineStr">
        <is>
          <t>C-S19/S44</t>
        </is>
      </c>
      <c r="B86" s="6" t="inlineStr">
        <is>
          <t>Does the released repo reproduce the paper numbers?</t>
        </is>
      </c>
      <c r="C86" s="6" t="inlineStr">
        <is>
          <t>OPEN</t>
        </is>
      </c>
      <c r="D86" s="6">
        <f>IFERROR(INDEX(Lists!$B$2:$B$14,MATCH(C86,Lists!$A$2:$A$14,0)),"?")</f>
        <v/>
      </c>
      <c r="E86" s="6">
        <f>IF(COUNTIFS(Links!$B$2:$B$600,A86,Links!$E$2:$E$600,"Yes")&gt;0,"REVISE","")</f>
        <v/>
      </c>
      <c r="F86" s="6">
        <f>COUNTIFS(Links!$B$2:$B$600,A86,Links!$D$2:$D$600,"No",Links!$C$2:$C$600,"&lt;&gt;INFORMS")</f>
        <v/>
      </c>
      <c r="G86" s="17" t="inlineStr">
        <is>
          <t>TEST-PILOT</t>
        </is>
      </c>
      <c r="H86" s="6" t="inlineStr">
        <is>
          <t>K14 Source &amp; vendor verification</t>
        </is>
      </c>
      <c r="I86" s="6" t="inlineStr">
        <is>
          <t>G5 Housekeeping / no block</t>
        </is>
      </c>
      <c r="J86" s="6" t="inlineStr">
        <is>
          <t>Low</t>
        </is>
      </c>
      <c r="K86" s="6" t="n">
        <v>118</v>
      </c>
      <c r="L86" s="6" t="inlineStr">
        <is>
          <t>W2 Desk work (no model runs)</t>
        </is>
      </c>
      <c r="M86" s="6" t="inlineStr">
        <is>
          <t>S12</t>
        </is>
      </c>
      <c r="N86" s="6" t="inlineStr">
        <is>
          <t>Authors / team</t>
        </is>
      </c>
      <c r="O86" s="6" t="inlineStr">
        <is>
          <t>Needs an AUTH and a protocol</t>
        </is>
      </c>
      <c r="P86" s="6" t="inlineStr">
        <is>
          <t>No</t>
        </is>
      </c>
      <c r="Q86" s="6" t="inlineStr">
        <is>
          <t>Source check</t>
        </is>
      </c>
      <c r="R86" s="6" t="inlineStr">
        <is>
          <t>Sub-item</t>
        </is>
      </c>
      <c r="S86" s="6" t="inlineStr">
        <is>
          <t>C-S19</t>
        </is>
      </c>
      <c r="T86" s="6" t="inlineStr">
        <is>
          <t>SRC-06 S44: whether the released repository reproduces the paper's numbers is unknown (no reproduction in reviewed material).</t>
        </is>
      </c>
      <c r="U86" s="6" t="inlineStr">
        <is>
          <t>No reproduction anywhere in the repo.</t>
        </is>
      </c>
      <c r="V86" s="6" t="inlineStr">
        <is>
          <t>Authors / raw logs / reproduction.</t>
        </is>
      </c>
      <c r="W86" s="6" t="inlineStr"/>
      <c r="X86" s="6" t="inlineStr"/>
      <c r="Y86" s="6" t="inlineStr"/>
      <c r="Z86" s="6" t="inlineStr"/>
      <c r="AA86" s="6" t="inlineStr"/>
      <c r="AB86" s="6" t="inlineStr">
        <is>
          <t>DATA</t>
        </is>
      </c>
      <c r="AC86" s="6" t="inlineStr">
        <is>
          <t>n/a (sub-item)</t>
        </is>
      </c>
      <c r="AD86" s="6" t="inlineStr">
        <is>
          <t>NEW (SRC-11 sub-row)</t>
        </is>
      </c>
      <c r="AE86" s="6" t="inlineStr">
        <is>
          <t>2026-10-19</t>
        </is>
      </c>
      <c r="AF86" s="6" t="inlineStr">
        <is>
          <t>needs code download</t>
        </is>
      </c>
      <c r="AG86" s="6" t="inlineStr"/>
      <c r="AH86" s="6" t="inlineStr">
        <is>
          <t>No</t>
        </is>
      </c>
      <c r="AI86" s="6" t="inlineStr"/>
      <c r="AJ86" s="6" t="inlineStr">
        <is>
          <t>SRC-11 section D3</t>
        </is>
      </c>
      <c r="AK86" s="6" t="inlineStr">
        <is>
          <t>SRC-06 S44</t>
        </is>
      </c>
      <c r="AL86" s="6" t="inlineStr">
        <is>
          <t>S12</t>
        </is>
      </c>
    </row>
    <row r="87" ht="28" customHeight="1">
      <c r="A87" s="5" t="inlineStr">
        <is>
          <t>C-S19/S46</t>
        </is>
      </c>
      <c r="B87" s="6" t="inlineStr">
        <is>
          <t>Native vs prompt calling: frozen report's 'workaround' wording</t>
        </is>
      </c>
      <c r="C87" s="6" t="inlineStr">
        <is>
          <t>OPEN</t>
        </is>
      </c>
      <c r="D87" s="6">
        <f>IFERROR(INDEX(Lists!$B$2:$B$14,MATCH(C87,Lists!$A$2:$A$14,0)),"?")</f>
        <v/>
      </c>
      <c r="E87" s="6">
        <f>IF(COUNTIFS(Links!$B$2:$B$600,A87,Links!$E$2:$E$600,"Yes")&gt;0,"REVISE","")</f>
        <v/>
      </c>
      <c r="F87" s="6">
        <f>COUNTIFS(Links!$B$2:$B$600,A87,Links!$D$2:$D$600,"No",Links!$C$2:$C$600,"&lt;&gt;INFORMS")</f>
        <v/>
      </c>
      <c r="G87" s="8" t="inlineStr">
        <is>
          <t>RECORDS-AT-HAND</t>
        </is>
      </c>
      <c r="H87" s="6" t="inlineStr">
        <is>
          <t>K14 Source &amp; vendor verification</t>
        </is>
      </c>
      <c r="I87" s="6" t="inlineStr">
        <is>
          <t>G5 Housekeeping / no block</t>
        </is>
      </c>
      <c r="J87" s="6" t="inlineStr">
        <is>
          <t>Low</t>
        </is>
      </c>
      <c r="K87" s="6" t="n">
        <v>120</v>
      </c>
      <c r="L87" s="6" t="inlineStr">
        <is>
          <t>W2 Desk work (no model runs)</t>
        </is>
      </c>
      <c r="M87" s="6" t="inlineStr">
        <is>
          <t>S12</t>
        </is>
      </c>
      <c r="N87" s="6" t="inlineStr">
        <is>
          <t>Authors / team</t>
        </is>
      </c>
      <c r="O87" s="6" t="inlineStr">
        <is>
          <t>Lead drafts the fix; you approve</t>
        </is>
      </c>
      <c r="P87" s="6" t="inlineStr">
        <is>
          <t>No</t>
        </is>
      </c>
      <c r="Q87" s="6" t="inlineStr">
        <is>
          <t>Source check</t>
        </is>
      </c>
      <c r="R87" s="6" t="inlineStr">
        <is>
          <t>Sub-item</t>
        </is>
      </c>
      <c r="S87" s="6" t="inlineStr">
        <is>
          <t>C-S19</t>
        </is>
      </c>
      <c r="T87" s="6" t="inlineStr">
        <is>
          <t>SRC-06 S46: native versus prompt calling is a different treatment; the frozen report's 'workaround' wording needs correcting.</t>
        </is>
      </c>
      <c r="U87" s="6" t="inlineStr">
        <is>
          <t>Outside the repo.</t>
        </is>
      </c>
      <c r="V87" s="6" t="inlineStr">
        <is>
          <t>Authors / raw logs / reproduction.</t>
        </is>
      </c>
      <c r="W87" s="6" t="inlineStr"/>
      <c r="X87" s="6" t="inlineStr"/>
      <c r="Y87" s="6" t="inlineStr"/>
      <c r="Z87" s="6" t="inlineStr"/>
      <c r="AA87" s="6" t="inlineStr"/>
      <c r="AB87" s="6" t="inlineStr">
        <is>
          <t>RECORD</t>
        </is>
      </c>
      <c r="AC87" s="6" t="inlineStr">
        <is>
          <t>n/a (sub-item)</t>
        </is>
      </c>
      <c r="AD87" s="6" t="inlineStr">
        <is>
          <t>NEW (SRC-11 sub-row)</t>
        </is>
      </c>
      <c r="AE87" s="6" t="inlineStr">
        <is>
          <t>2026-10-19</t>
        </is>
      </c>
      <c r="AF87" s="6" t="inlineStr">
        <is>
          <t>Phase 1 report outside repo</t>
        </is>
      </c>
      <c r="AG87" s="6" t="inlineStr"/>
      <c r="AH87" s="6" t="inlineStr">
        <is>
          <t>No</t>
        </is>
      </c>
      <c r="AI87" s="6" t="inlineStr"/>
      <c r="AJ87" s="6" t="inlineStr">
        <is>
          <t>SRC-11 section D3</t>
        </is>
      </c>
      <c r="AK87" s="6" t="inlineStr">
        <is>
          <t>SRC-06 S46</t>
        </is>
      </c>
      <c r="AL87" s="6" t="inlineStr">
        <is>
          <t>S12</t>
        </is>
      </c>
    </row>
    <row r="88" ht="300" customHeight="1">
      <c r="A88" s="5" t="inlineStr">
        <is>
          <t>AS-09</t>
        </is>
      </c>
      <c r="B88" s="6" t="inlineStr">
        <is>
          <t>Supervisor assertion A9: The partial-information idea comes from another party's documentation</t>
        </is>
      </c>
      <c r="C88" s="6" t="inlineStr">
        <is>
          <t>PARTLY ANSWERED</t>
        </is>
      </c>
      <c r="D88" s="6">
        <f>IFERROR(INDEX(Lists!$B$2:$B$14,MATCH(C88,Lists!$A$2:$A$14,0)),"?")</f>
        <v/>
      </c>
      <c r="E88" s="6">
        <f>IF(COUNTIFS(Links!$B$2:$B$600,A88,Links!$E$2:$E$600,"Yes")&gt;0,"REVISE","")</f>
        <v/>
      </c>
      <c r="F88" s="6">
        <f>COUNTIFS(Links!$B$2:$B$600,A88,Links!$D$2:$D$600,"No",Links!$C$2:$C$600,"&lt;&gt;INFORMS")</f>
        <v/>
      </c>
      <c r="G88" s="11" t="inlineStr">
        <is>
          <t>LITERATURE-DIRECTED</t>
        </is>
      </c>
      <c r="H88" s="6" t="inlineStr">
        <is>
          <t>K14 Source &amp; vendor verification</t>
        </is>
      </c>
      <c r="I88" s="6" t="inlineStr">
        <is>
          <t>G5 Housekeeping / no block</t>
        </is>
      </c>
      <c r="J88" s="6" t="inlineStr">
        <is>
          <t>Low</t>
        </is>
      </c>
      <c r="K88" s="6" t="n">
        <v>125</v>
      </c>
      <c r="L88" s="6" t="inlineStr">
        <is>
          <t>W2 Desk work (no model runs)</t>
        </is>
      </c>
      <c r="M88" s="6" t="inlineStr">
        <is>
          <t>S13</t>
        </is>
      </c>
      <c r="N88" s="6" t="inlineStr">
        <is>
          <t>Lead / team</t>
        </is>
      </c>
      <c r="O88" s="6" t="inlineStr">
        <is>
          <t>Q-J28 stays for the name; Executor's documentation is the first candidate</t>
        </is>
      </c>
      <c r="P88" s="6" t="inlineStr">
        <is>
          <t>No</t>
        </is>
      </c>
      <c r="Q88" s="6" t="inlineStr">
        <is>
          <t>Claim to test</t>
        </is>
      </c>
      <c r="R88" s="6" t="inlineStr">
        <is>
          <t>Item</t>
        </is>
      </c>
      <c r="S88" s="6" t="inlineStr"/>
      <c r="T88" s="6" t="inlineStr">
        <is>
          <t>REQ-A1 A9: The partial-information idea comes from another party's documentation. Source unnamed; prior art to locate.</t>
        </is>
      </c>
      <c r="U88"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 2026-10-21 (AUTH-018): 'what I have said this partial thingy this is also ... cames out from someone else. I didn't invent it ... I just read their doc' (INT-T-004 E593) and 'if you look at executor they are doing the same thing that I already mentioned ... giving you partial information' (E605-E607): the documentation is not named; Executor is the project he points to.</t>
        </is>
      </c>
      <c r="V88" s="6" t="inlineStr">
        <is>
          <t>Source unnamed; prior art to locate.</t>
        </is>
      </c>
      <c r="W88" s="6" t="inlineStr"/>
      <c r="X88" s="6" t="inlineStr"/>
      <c r="Y88" s="6" t="inlineStr">
        <is>
          <t>Q-J28</t>
        </is>
      </c>
      <c r="Z88" s="6" t="inlineStr"/>
      <c r="AA88" s="6" t="inlineStr"/>
      <c r="AB88" s="6" t="inlineStr">
        <is>
          <t>SOURCE</t>
        </is>
      </c>
      <c r="AC88" s="6" t="inlineStr">
        <is>
          <t>n/a (REGISTER E)</t>
        </is>
      </c>
      <c r="AD88" s="6" t="inlineStr">
        <is>
          <t>NEW (repo sweep)</t>
        </is>
      </c>
      <c r="AE88" s="6" t="inlineStr">
        <is>
          <t>2026-10-21</t>
        </is>
      </c>
      <c r="AF88" s="6" t="inlineStr">
        <is>
          <t>INT-T-004 (requirements/intake/2026-10-21-supervisor-meeting-2026-10-02-excerpts.md); mapping design/ledger/notes/MEETINGS-MAPPING-20261021.md checked line by line by FND-0035 and FND-0036; REGISTER section H</t>
        </is>
      </c>
      <c r="AG88" s="6" t="inlineStr"/>
      <c r="AH88" s="6" t="inlineStr">
        <is>
          <t>No</t>
        </is>
      </c>
      <c r="AI88" s="6" t="inlineStr"/>
      <c r="AJ88" s="6" t="inlineStr">
        <is>
          <t>repo: REGISTER section E / EXT-0004</t>
        </is>
      </c>
      <c r="AK88" s="6" t="inlineStr">
        <is>
          <t>REQ-A1 A9</t>
        </is>
      </c>
      <c r="AL88" s="6" t="inlineStr">
        <is>
          <t>S11</t>
        </is>
      </c>
    </row>
    <row r="89" ht="300" customHeight="1">
      <c r="A89" s="5" t="inlineStr">
        <is>
          <t>C-E02/UNREADLEADS</t>
        </is>
      </c>
      <c r="B89" s="6" t="inlineStr">
        <is>
          <t>Reference lists (KAIST, cache study), agent-memory survey 2602.06052 not read</t>
        </is>
      </c>
      <c r="C89" s="6" t="inlineStr">
        <is>
          <t>DEFERRED</t>
        </is>
      </c>
      <c r="D89" s="6">
        <f>IFERROR(INDEX(Lists!$B$2:$B$14,MATCH(C89,Lists!$A$2:$A$14,0)),"?")</f>
        <v/>
      </c>
      <c r="E89" s="6">
        <f>IF(COUNTIFS(Links!$B$2:$B$600,A89,Links!$E$2:$E$600,"Yes")&gt;0,"REVISE","")</f>
        <v/>
      </c>
      <c r="F89" s="6">
        <f>COUNTIFS(Links!$B$2:$B$600,A89,Links!$D$2:$D$600,"No",Links!$C$2:$C$600,"&lt;&gt;INFORMS")</f>
        <v/>
      </c>
      <c r="G89" s="11" t="inlineStr">
        <is>
          <t>LITERATURE-DIRECTED</t>
        </is>
      </c>
      <c r="H89" s="6" t="inlineStr">
        <is>
          <t>K14 Source &amp; vendor verification</t>
        </is>
      </c>
      <c r="I89" s="6" t="inlineStr">
        <is>
          <t>G4 Before claims</t>
        </is>
      </c>
      <c r="J89" s="6" t="inlineStr">
        <is>
          <t>Normal</t>
        </is>
      </c>
      <c r="K89" s="6" t="n">
        <v>126</v>
      </c>
      <c r="L89" s="6" t="inlineStr">
        <is>
          <t>W2 Desk work (no model runs)</t>
        </is>
      </c>
      <c r="M89" s="6" t="inlineStr">
        <is>
          <t>S13</t>
        </is>
      </c>
      <c r="N89" s="6" t="inlineStr">
        <is>
          <t>Lead + fresh reviewer</t>
        </is>
      </c>
      <c r="O89" s="6" t="inlineStr">
        <is>
          <t>none until the trigger fires</t>
        </is>
      </c>
      <c r="P89" s="6" t="inlineStr">
        <is>
          <t>Partly</t>
        </is>
      </c>
      <c r="Q89" s="6" t="inlineStr">
        <is>
          <t>Record fix</t>
        </is>
      </c>
      <c r="R89" s="6" t="inlineStr">
        <is>
          <t>Sub-item</t>
        </is>
      </c>
      <c r="S89" s="6" t="inlineStr">
        <is>
          <t>C-E02</t>
        </is>
      </c>
      <c r="T89" s="6" t="inlineStr">
        <is>
          <t>v4-05 section 5 'not done': reference lists of KAIST and the cache study and the agent-memory survey (arXiv 2602.06052) were not read.</t>
        </is>
      </c>
      <c r="U89"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89" s="6" t="inlineStr">
        <is>
          <t>Read or marked out of scope.</t>
        </is>
      </c>
      <c r="W89" s="6" t="inlineStr"/>
      <c r="X89" s="6" t="inlineStr"/>
      <c r="Y89" s="6" t="inlineStr">
        <is>
          <t>Q-U21</t>
        </is>
      </c>
      <c r="Z89" s="6" t="inlineStr"/>
      <c r="AA89" s="6" t="inlineStr"/>
      <c r="AB89" s="6" t="inlineStr">
        <is>
          <t>RECORD+SOURCE</t>
        </is>
      </c>
      <c r="AC89" s="6" t="inlineStr">
        <is>
          <t>n/a (sub-item)</t>
        </is>
      </c>
      <c r="AD89" s="6" t="inlineStr">
        <is>
          <t>NEW (repo sweep)</t>
        </is>
      </c>
      <c r="AE89" s="6" t="inlineStr">
        <is>
          <t>2026-10-20</t>
        </is>
      </c>
      <c r="AF89" s="6" t="inlineStr">
        <is>
          <t>FND-0032 (findings/SUM-0034); evidence/literature-20261019/pdf-memory-survey-2602.06052.txt</t>
        </is>
      </c>
      <c r="AG89" s="6" t="inlineStr">
        <is>
          <t>A claim depends on a paper cited in the KAIST or cache-study reference lists, or on a survey section not read (lines 560-1015, 1777-2340, 2500-3005, 3065-3370)</t>
        </is>
      </c>
      <c r="AH89" s="6" t="inlineStr">
        <is>
          <t>No (AUTH-016 covers web fetches for this item)</t>
        </is>
      </c>
      <c r="AI89" s="6" t="inlineStr"/>
      <c r="AJ89" s="6" t="inlineStr">
        <is>
          <t>repo: v4-03 section 6 / RV-0005 / RV-0007</t>
        </is>
      </c>
      <c r="AK89" s="6" t="inlineStr"/>
      <c r="AL89" s="6" t="inlineStr">
        <is>
          <t>S13</t>
        </is>
      </c>
    </row>
    <row r="90" ht="300" customHeight="1">
      <c r="A90" s="5" t="inlineStr">
        <is>
          <t>N-19</t>
        </is>
      </c>
      <c r="B90" s="6" t="inlineStr">
        <is>
          <t>Stale counts and safeguard text in records</t>
        </is>
      </c>
      <c r="C90" s="6" t="inlineStr">
        <is>
          <t>PARTLY ANSWERED</t>
        </is>
      </c>
      <c r="D90" s="6">
        <f>IFERROR(INDEX(Lists!$B$2:$B$14,MATCH(C90,Lists!$A$2:$A$14,0)),"?")</f>
        <v/>
      </c>
      <c r="E90" s="6">
        <f>IF(COUNTIFS(Links!$B$2:$B$600,A90,Links!$E$2:$E$600,"Yes")&gt;0,"REVISE","")</f>
        <v/>
      </c>
      <c r="F90" s="6">
        <f>COUNTIFS(Links!$B$2:$B$600,A90,Links!$D$2:$D$600,"No",Links!$C$2:$C$600,"&lt;&gt;INFORMS")</f>
        <v/>
      </c>
      <c r="G90" s="8" t="inlineStr">
        <is>
          <t>RECORDS-AT-HAND</t>
        </is>
      </c>
      <c r="H90" s="6" t="inlineStr">
        <is>
          <t>K17 Record repair &amp; procedure error</t>
        </is>
      </c>
      <c r="I90" s="6" t="inlineStr">
        <is>
          <t>G5 Housekeeping / no block</t>
        </is>
      </c>
      <c r="J90" s="6" t="inlineStr">
        <is>
          <t>Low</t>
        </is>
      </c>
      <c r="K90" s="6" t="n">
        <v>129</v>
      </c>
      <c r="L90" s="6" t="inlineStr">
        <is>
          <t>W2 Desk work (no model runs)</t>
        </is>
      </c>
      <c r="M90" s="6" t="inlineStr">
        <is>
          <t>S15</t>
        </is>
      </c>
      <c r="N90" s="6" t="inlineStr">
        <is>
          <t>Lead (STATE, v4-05); you (pinned files)</t>
        </is>
      </c>
      <c r="O90" s="6" t="inlineStr">
        <is>
          <t>You decide whether the proposed wording for CLAUDE.md and SAFEGUARDS rows 5 and 17 may be applied</t>
        </is>
      </c>
      <c r="P90" s="6" t="inlineStr">
        <is>
          <t>Answered (see basis)</t>
        </is>
      </c>
      <c r="Q90" s="6" t="inlineStr">
        <is>
          <t>Record fix</t>
        </is>
      </c>
      <c r="R90" s="6" t="inlineStr">
        <is>
          <t>Item</t>
        </is>
      </c>
      <c r="S90" s="6" t="inlineStr"/>
      <c r="T90" s="6" t="inlineStr">
        <is>
          <t>STATE says AUTH-013 had 23 searches / 32 sources; v4-05 section 5 says 18 / 28 while its header says 27 / 37 (manifest has 37 rows); SAFEGUARDS rows 5 and 17 and CLAUDE.md predate AUTH-012/014/015.</t>
        </is>
      </c>
      <c r="U90"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90" s="6" t="inlineStr">
        <is>
          <t>Counts and safeguard text updated.</t>
        </is>
      </c>
      <c r="W90" s="6" t="inlineStr"/>
      <c r="X90" s="6" t="inlineStr"/>
      <c r="Y90" s="6" t="inlineStr">
        <is>
          <t>Q-U11</t>
        </is>
      </c>
      <c r="Z90" s="6" t="inlineStr"/>
      <c r="AA90" s="6" t="inlineStr"/>
      <c r="AB90" s="6" t="inlineStr">
        <is>
          <t>RECORD</t>
        </is>
      </c>
      <c r="AC90" s="6" t="inlineStr">
        <is>
          <t>n/a (new)</t>
        </is>
      </c>
      <c r="AD90" s="6" t="inlineStr">
        <is>
          <t>NEW (repo sweep)</t>
        </is>
      </c>
      <c r="AE90" s="6" t="inlineStr">
        <is>
          <t>2026-10-20</t>
        </is>
      </c>
      <c r="AF90" s="6" t="inlineStr">
        <is>
          <t>reviews/RV-0015.md; evidence/literature-20261019/README.md</t>
        </is>
      </c>
      <c r="AG90" s="6" t="inlineStr"/>
      <c r="AH90" s="6" t="inlineStr">
        <is>
          <t>No</t>
        </is>
      </c>
      <c r="AI90" s="6" t="inlineStr"/>
      <c r="AJ90" s="6" t="inlineStr">
        <is>
          <t>review 19 Oct section 6.6</t>
        </is>
      </c>
      <c r="AK90" s="6" t="inlineStr"/>
      <c r="AL90" s="6" t="inlineStr">
        <is>
          <t>S03</t>
        </is>
      </c>
    </row>
    <row r="91" ht="165.5" customHeight="1">
      <c r="A91" s="5" t="inlineStr">
        <is>
          <t>C-R01/C03</t>
        </is>
      </c>
      <c r="B91" s="6" t="inlineStr">
        <is>
          <t>R6 timing, query source, recovery assumptions</t>
        </is>
      </c>
      <c r="C91" s="6" t="inlineStr">
        <is>
          <t>PARTLY ANSWERED</t>
        </is>
      </c>
      <c r="D91" s="6">
        <f>IFERROR(INDEX(Lists!$B$2:$B$14,MATCH(C91,Lists!$A$2:$A$14,0)),"?")</f>
        <v/>
      </c>
      <c r="E91" s="6">
        <f>IF(COUNTIFS(Links!$B$2:$B$600,A91,Links!$E$2:$E$600,"Yes")&gt;0,"REVISE","")</f>
        <v/>
      </c>
      <c r="F91" s="6">
        <f>COUNTIFS(Links!$B$2:$B$600,A91,Links!$D$2:$D$600,"No",Links!$C$2:$C$600,"&lt;&gt;INFORMS")</f>
        <v/>
      </c>
      <c r="G91" s="8" t="inlineStr">
        <is>
          <t>RECORDS-AT-HAND</t>
        </is>
      </c>
      <c r="H91" s="6" t="inlineStr">
        <is>
          <t>K17 Record repair &amp; procedure error</t>
        </is>
      </c>
      <c r="I91" s="6" t="inlineStr">
        <is>
          <t>G3 Before confirmatory study</t>
        </is>
      </c>
      <c r="J91" s="6" t="inlineStr">
        <is>
          <t>Normal</t>
        </is>
      </c>
      <c r="K91" s="6" t="n">
        <v>132</v>
      </c>
      <c r="L91" s="6" t="inlineStr">
        <is>
          <t>W2 Desk work (no model runs)</t>
        </is>
      </c>
      <c r="M91" s="6" t="inlineStr">
        <is>
          <t>S15</t>
        </is>
      </c>
      <c r="N91" s="6" t="inlineStr">
        <is>
          <t>Lead + fresh reviewer</t>
        </is>
      </c>
      <c r="O91" s="6" t="inlineStr">
        <is>
          <t>You approve RA14 and choose among the R1TRIG options</t>
        </is>
      </c>
      <c r="P91" s="6" t="inlineStr">
        <is>
          <t>Partly</t>
        </is>
      </c>
      <c r="Q91" s="6" t="inlineStr">
        <is>
          <t>Scientific unknown</t>
        </is>
      </c>
      <c r="R91" s="6" t="inlineStr">
        <is>
          <t>Sub-item</t>
        </is>
      </c>
      <c r="S91" s="6" t="inlineStr">
        <is>
          <t>C-R01</t>
        </is>
      </c>
      <c r="T91" s="6" t="inlineStr">
        <is>
          <t>SRC-06 C03: R6 (trigger) timing, scripted-query provenance, recovery assumptions.</t>
        </is>
      </c>
      <c r="U91" s="6" t="inlineStr">
        <is>
          <t>Trigger placed after tool results and at finish; R6 itself has no supporting evidence. Batch 15 (2026-10-20): RV-0008 (CH-0041, APPLIED-PARTLY): the trigger is placed after tool results and when the agent proposes to finish (v4 02 line 42), the provenance of any scripted query is an arm-specification item (v3 02 line 71), RA12 and RA13 were added; missing: the assumption that the provider permits changing the visible tool set between turns (drafted as RA14 in design/package-v4/06-corrections-proposed.md section 4) and what the trigger does after the budget says no (C-R01/R1TRIG).</t>
        </is>
      </c>
      <c r="V91" s="6" t="inlineStr">
        <is>
          <t>Independent re-check and a dated fix.</t>
        </is>
      </c>
      <c r="W91" s="6" t="inlineStr"/>
      <c r="X91" s="6" t="inlineStr"/>
      <c r="Y91" s="6" t="inlineStr"/>
      <c r="Z91" s="6" t="inlineStr"/>
      <c r="AA91" s="6" t="inlineStr"/>
      <c r="AB91" s="6" t="inlineStr">
        <is>
          <t>RECORD+DATA</t>
        </is>
      </c>
      <c r="AC91" s="6" t="inlineStr">
        <is>
          <t>n/a (sub-item)</t>
        </is>
      </c>
      <c r="AD91" s="6" t="inlineStr">
        <is>
          <t>NEW (SRC-11 sub-row)</t>
        </is>
      </c>
      <c r="AE91" s="6" t="inlineStr">
        <is>
          <t>2026-10-20</t>
        </is>
      </c>
      <c r="AF91" s="6" t="inlineStr">
        <is>
          <t>reviews/RV-0008.md (fresh reviewer, same model family, read the current text); design/package-v4/06-corrections-proposed.md</t>
        </is>
      </c>
      <c r="AG91" s="6" t="inlineStr"/>
      <c r="AH91" s="6" t="inlineStr">
        <is>
          <t>No</t>
        </is>
      </c>
      <c r="AI91" s="6" t="inlineStr"/>
      <c r="AJ91" s="6" t="inlineStr">
        <is>
          <t>SRC-11 section D4</t>
        </is>
      </c>
      <c r="AK91" s="6" t="inlineStr">
        <is>
          <t>SRC-06 C03, CH-0041</t>
        </is>
      </c>
      <c r="AL91" s="6" t="inlineStr">
        <is>
          <t>S09</t>
        </is>
      </c>
    </row>
    <row r="92" ht="28" customHeight="1">
      <c r="A92" s="5" t="inlineStr">
        <is>
          <t>C-R01/C04</t>
        </is>
      </c>
      <c r="B92" s="6" t="inlineStr">
        <is>
          <t>Outcome-split accounting, provider usage, task shedding</t>
        </is>
      </c>
      <c r="C92" s="6" t="inlineStr">
        <is>
          <t>OPEN</t>
        </is>
      </c>
      <c r="D92" s="6">
        <f>IFERROR(INDEX(Lists!$B$2:$B$14,MATCH(C92,Lists!$A$2:$A$14,0)),"?")</f>
        <v/>
      </c>
      <c r="E92" s="6">
        <f>IF(COUNTIFS(Links!$B$2:$B$600,A92,Links!$E$2:$E$600,"Yes")&gt;0,"REVISE","")</f>
        <v/>
      </c>
      <c r="F92" s="6">
        <f>COUNTIFS(Links!$B$2:$B$600,A92,Links!$D$2:$D$600,"No",Links!$C$2:$C$600,"&lt;&gt;INFORMS")</f>
        <v/>
      </c>
      <c r="G92" s="17" t="inlineStr">
        <is>
          <t>TEST-PILOT</t>
        </is>
      </c>
      <c r="H92" s="6" t="inlineStr">
        <is>
          <t>K17 Record repair &amp; procedure error</t>
        </is>
      </c>
      <c r="I92" s="6" t="inlineStr">
        <is>
          <t>G3 Before confirmatory study</t>
        </is>
      </c>
      <c r="J92" s="6" t="inlineStr">
        <is>
          <t>Normal</t>
        </is>
      </c>
      <c r="K92" s="6" t="n">
        <v>133</v>
      </c>
      <c r="L92" s="6" t="inlineStr">
        <is>
          <t>W2 Desk work (no model runs)</t>
        </is>
      </c>
      <c r="M92" s="6" t="inlineStr">
        <is>
          <t>S15</t>
        </is>
      </c>
      <c r="N92" s="6" t="inlineStr">
        <is>
          <t>Lead + fresh reviewer</t>
        </is>
      </c>
      <c r="O92" s="6" t="inlineStr">
        <is>
          <t>Needs an AUTH and a protocol</t>
        </is>
      </c>
      <c r="P92" s="6" t="inlineStr">
        <is>
          <t>Partly</t>
        </is>
      </c>
      <c r="Q92" s="6" t="inlineStr">
        <is>
          <t>Scientific unknown</t>
        </is>
      </c>
      <c r="R92" s="6" t="inlineStr">
        <is>
          <t>Sub-item</t>
        </is>
      </c>
      <c r="S92" s="6" t="inlineStr">
        <is>
          <t>C-R01</t>
        </is>
      </c>
      <c r="T92" s="6" t="inlineStr">
        <is>
          <t>SRC-06 C04: outcome-split accounting, whether provider usage counts deferred definitions, and expensive-task shedding.</t>
        </is>
      </c>
      <c r="U92" s="6" t="inlineStr">
        <is>
          <t>Stratum guard added; tokens-by-outcome split belongs to E1.</t>
        </is>
      </c>
      <c r="V92" s="6" t="inlineStr">
        <is>
          <t>Independent re-check and a dated fix.</t>
        </is>
      </c>
      <c r="W92" s="6" t="inlineStr"/>
      <c r="X92" s="6" t="inlineStr"/>
      <c r="Y92" s="6" t="inlineStr"/>
      <c r="Z92" s="6" t="inlineStr"/>
      <c r="AA92" s="6" t="inlineStr"/>
      <c r="AB92" s="6" t="inlineStr">
        <is>
          <t>RECORD+DATA</t>
        </is>
      </c>
      <c r="AC92" s="6" t="inlineStr">
        <is>
          <t>n/a (sub-item)</t>
        </is>
      </c>
      <c r="AD92" s="6" t="inlineStr">
        <is>
          <t>NEW (SRC-11 sub-row)</t>
        </is>
      </c>
      <c r="AE92" s="6" t="inlineStr">
        <is>
          <t>2026-10-19</t>
        </is>
      </c>
      <c r="AF92" s="6" t="inlineStr">
        <is>
          <t>v3-04 section 1 (CH-0042 residual); v4-02 section 8</t>
        </is>
      </c>
      <c r="AG92" s="6" t="inlineStr"/>
      <c r="AH92" s="6" t="inlineStr">
        <is>
          <t>No</t>
        </is>
      </c>
      <c r="AI92" s="6" t="inlineStr"/>
      <c r="AJ92" s="6" t="inlineStr">
        <is>
          <t>SRC-11 section D4</t>
        </is>
      </c>
      <c r="AK92" s="6" t="inlineStr">
        <is>
          <t>SRC-06 C04, CH-0042</t>
        </is>
      </c>
      <c r="AL92" s="6" t="inlineStr">
        <is>
          <t>S09</t>
        </is>
      </c>
    </row>
    <row r="93" ht="103" customHeight="1">
      <c r="A93" s="5" t="inlineStr">
        <is>
          <t>C-R01/C06</t>
        </is>
      </c>
      <c r="B93" s="6" t="inlineStr">
        <is>
          <t>No-miss searches; conditional I_disc / tau</t>
        </is>
      </c>
      <c r="C93" s="6" t="inlineStr">
        <is>
          <t>PARTLY ANSWERED</t>
        </is>
      </c>
      <c r="D93" s="6">
        <f>IFERROR(INDEX(Lists!$B$2:$B$14,MATCH(C93,Lists!$A$2:$A$14,0)),"?")</f>
        <v/>
      </c>
      <c r="E93" s="6">
        <f>IF(COUNTIFS(Links!$B$2:$B$600,A93,Links!$E$2:$E$600,"Yes")&gt;0,"REVISE","")</f>
        <v/>
      </c>
      <c r="F93" s="6">
        <f>COUNTIFS(Links!$B$2:$B$600,A93,Links!$D$2:$D$600,"No",Links!$C$2:$C$600,"&lt;&gt;INFORMS")</f>
        <v/>
      </c>
      <c r="G93" s="8" t="inlineStr">
        <is>
          <t>RECORDS-AT-HAND</t>
        </is>
      </c>
      <c r="H93" s="6" t="inlineStr">
        <is>
          <t>K17 Record repair &amp; procedure error</t>
        </is>
      </c>
      <c r="I93" s="6" t="inlineStr">
        <is>
          <t>G3 Before confirmatory study</t>
        </is>
      </c>
      <c r="J93" s="6" t="inlineStr">
        <is>
          <t>Normal</t>
        </is>
      </c>
      <c r="K93" s="6" t="n">
        <v>135</v>
      </c>
      <c r="L93" s="6" t="inlineStr">
        <is>
          <t>W2 Desk work (no model runs)</t>
        </is>
      </c>
      <c r="M93" s="6" t="inlineStr">
        <is>
          <t>S15</t>
        </is>
      </c>
      <c r="N93" s="6" t="inlineStr">
        <is>
          <t>Lead + fresh reviewer</t>
        </is>
      </c>
      <c r="O93" s="6" t="inlineStr">
        <is>
          <t>Specify with C-S08/EVENTS once the pilot design is chosen</t>
        </is>
      </c>
      <c r="P93" s="6" t="inlineStr">
        <is>
          <t>Partly</t>
        </is>
      </c>
      <c r="Q93" s="6" t="inlineStr">
        <is>
          <t>Scientific unknown</t>
        </is>
      </c>
      <c r="R93" s="6" t="inlineStr">
        <is>
          <t>Sub-item</t>
        </is>
      </c>
      <c r="S93" s="6" t="inlineStr">
        <is>
          <t>C-R01</t>
        </is>
      </c>
      <c r="T93" s="6" t="inlineStr">
        <is>
          <t>SRC-06 C06: searches in trajectories that need no deferred tool; I_disc and tau must be conditional on the needed tool.</t>
        </is>
      </c>
      <c r="U93" s="6" t="inlineStr">
        <is>
          <t>Counted events defined in v4-05; the conditional terms are not specified. Batch 15 (2026-10-20): carried by C-S08/EVENTS: the counted events are defined in v4 05 (search or request call; domain-tool call; direct answer), the conditional terms for I_disc and tau (conditional on the needed tool being hidden) are a specification item on that row.</t>
        </is>
      </c>
      <c r="V93" s="6" t="inlineStr">
        <is>
          <t>Independent re-check and a dated fix.</t>
        </is>
      </c>
      <c r="W93" s="6" t="inlineStr"/>
      <c r="X93" s="6" t="inlineStr"/>
      <c r="Y93" s="6" t="inlineStr"/>
      <c r="Z93" s="6" t="inlineStr"/>
      <c r="AA93" s="6" t="inlineStr"/>
      <c r="AB93" s="6" t="inlineStr">
        <is>
          <t>RECORD+DATA</t>
        </is>
      </c>
      <c r="AC93" s="6" t="inlineStr">
        <is>
          <t>n/a (sub-item)</t>
        </is>
      </c>
      <c r="AD93" s="6" t="inlineStr">
        <is>
          <t>NEW (SRC-11 sub-row)</t>
        </is>
      </c>
      <c r="AE93" s="6" t="inlineStr">
        <is>
          <t>2026-10-20</t>
        </is>
      </c>
      <c r="AF93" s="6" t="inlineStr">
        <is>
          <t>v4 05 line 83; row C-S08/EVENTS</t>
        </is>
      </c>
      <c r="AG93" s="6" t="inlineStr"/>
      <c r="AH93" s="6" t="inlineStr">
        <is>
          <t>No</t>
        </is>
      </c>
      <c r="AI93" s="6" t="inlineStr"/>
      <c r="AJ93" s="6" t="inlineStr">
        <is>
          <t>SRC-11 section D4</t>
        </is>
      </c>
      <c r="AK93" s="6" t="inlineStr">
        <is>
          <t>SRC-06 C06</t>
        </is>
      </c>
      <c r="AL93" s="6" t="inlineStr">
        <is>
          <t>S09</t>
        </is>
      </c>
    </row>
    <row r="94" ht="40.5" customHeight="1">
      <c r="A94" s="5" t="inlineStr">
        <is>
          <t>C-R01</t>
        </is>
      </c>
      <c r="B94" s="6" t="inlineStr">
        <is>
          <t>v3 challenge residuals: D4 arm/multiplicity, substitute reference, trigger timing, outcome-split accounting...</t>
        </is>
      </c>
      <c r="C94" s="6" t="inlineStr">
        <is>
          <t>PARTLY ANSWERED</t>
        </is>
      </c>
      <c r="D94" s="6">
        <f>IFERROR(INDEX(Lists!$B$2:$B$14,MATCH(C94,Lists!$A$2:$A$14,0)),"?")</f>
        <v/>
      </c>
      <c r="E94" s="6">
        <f>IF(COUNTIFS(Links!$B$2:$B$600,A94,Links!$E$2:$E$600,"Yes")&gt;0,"REVISE","")</f>
        <v/>
      </c>
      <c r="F94" s="6">
        <f>COUNTIFS(Links!$B$2:$B$600,A94,Links!$D$2:$D$600,"No",Links!$C$2:$C$600,"&lt;&gt;INFORMS")</f>
        <v/>
      </c>
      <c r="G94" s="8" t="inlineStr">
        <is>
          <t>RECORDS-AT-HAND</t>
        </is>
      </c>
      <c r="H94" s="6" t="inlineStr">
        <is>
          <t>K17 Record repair &amp; procedure error</t>
        </is>
      </c>
      <c r="I94" s="6" t="inlineStr">
        <is>
          <t>G3 Before confirmatory study</t>
        </is>
      </c>
      <c r="J94" s="6" t="inlineStr">
        <is>
          <t>Normal</t>
        </is>
      </c>
      <c r="K94" s="6" t="n">
        <v>136</v>
      </c>
      <c r="L94" s="6" t="inlineStr">
        <is>
          <t>W2 Desk work (no model runs)</t>
        </is>
      </c>
      <c r="M94" s="6" t="inlineStr">
        <is>
          <t>S15</t>
        </is>
      </c>
      <c r="N94" s="6" t="inlineStr">
        <is>
          <t>Lead + fresh reviewer</t>
        </is>
      </c>
      <c r="O94" s="6" t="inlineStr">
        <is>
          <t>Lead drafts the fix; you approve</t>
        </is>
      </c>
      <c r="P94" s="6" t="inlineStr">
        <is>
          <t>Partly</t>
        </is>
      </c>
      <c r="Q94" s="6" t="inlineStr">
        <is>
          <t>Record fix</t>
        </is>
      </c>
      <c r="R94" s="6" t="inlineStr">
        <is>
          <t>Item</t>
        </is>
      </c>
      <c r="S94" s="6" t="inlineStr"/>
      <c r="T94" s="6" t="inlineStr">
        <is>
          <t>v3 challenge residuals: D4 arm/multiplicity, substitute reference, trigger timing, outcome-split accounting, fair baseline, no-miss searches.</t>
        </is>
      </c>
      <c r="U94" s="6" t="inlineStr">
        <is>
          <t>v4 corrected the text; 11 of 13 v4 challenges closed; the last edits were not re-verified by the challenger; figures never rendered.</t>
        </is>
      </c>
      <c r="V94" s="6" t="inlineStr">
        <is>
          <t>Last edits re-checked independently; figures rendered; data residuals tied to their tests.</t>
        </is>
      </c>
      <c r="W94" s="6" t="inlineStr">
        <is>
          <t>C-D08</t>
        </is>
      </c>
      <c r="X94" s="6" t="inlineStr">
        <is>
          <t>C-S14</t>
        </is>
      </c>
      <c r="Y94" s="6" t="inlineStr"/>
      <c r="Z94" s="6" t="inlineStr">
        <is>
          <t>DESK-ANALYSIS, TEST-PILOT</t>
        </is>
      </c>
      <c r="AA94" s="6" t="inlineStr">
        <is>
          <t>K5 Evaluation contract</t>
        </is>
      </c>
      <c r="AB94" s="6" t="inlineStr">
        <is>
          <t>DATA+DEC+RECORD</t>
        </is>
      </c>
      <c r="AC94" s="6" t="inlineStr">
        <is>
          <t>PARTLY ANSWERED - OPEN</t>
        </is>
      </c>
      <c r="AD94" s="6" t="inlineStr">
        <is>
          <t>RE-CHARACTERISED</t>
        </is>
      </c>
      <c r="AE94" s="6" t="inlineStr">
        <is>
          <t>2026-10-19</t>
        </is>
      </c>
      <c r="AF94" s="6" t="inlineStr">
        <is>
          <t>v4-03 sections 5-6; CH-0045..0057; RV-0005</t>
        </is>
      </c>
      <c r="AG94" s="6" t="inlineStr"/>
      <c r="AH94" s="6" t="inlineStr">
        <is>
          <t>No</t>
        </is>
      </c>
      <c r="AI94" s="6" t="inlineStr"/>
      <c r="AJ94" s="6" t="inlineStr">
        <is>
          <t>SRC-11 canonical</t>
        </is>
      </c>
      <c r="AK94" s="6" t="inlineStr">
        <is>
          <t>SRC-06 C01-C06, v4-03 residuals</t>
        </is>
      </c>
      <c r="AL94" s="6" t="inlineStr">
        <is>
          <t>S09</t>
        </is>
      </c>
    </row>
    <row r="95" ht="278" customHeight="1">
      <c r="A95" s="5" t="inlineStr">
        <is>
          <t>C-R01/FIG2</t>
        </is>
      </c>
      <c r="B95" s="6" t="inlineStr">
        <is>
          <t>Figure 2 has no path to the outcome for a Regime B run with no declared margin</t>
        </is>
      </c>
      <c r="C95" s="6" t="inlineStr">
        <is>
          <t>PARTLY ANSWERED</t>
        </is>
      </c>
      <c r="D95" s="6">
        <f>IFERROR(INDEX(Lists!$B$2:$B$14,MATCH(C95,Lists!$A$2:$A$14,0)),"?")</f>
        <v/>
      </c>
      <c r="E95" s="6">
        <f>IF(COUNTIFS(Links!$B$2:$B$600,A95,Links!$E$2:$E$600,"Yes")&gt;0,"REVISE","")</f>
        <v/>
      </c>
      <c r="F95" s="6">
        <f>COUNTIFS(Links!$B$2:$B$600,A95,Links!$D$2:$D$600,"No",Links!$C$2:$C$600,"&lt;&gt;INFORMS")</f>
        <v/>
      </c>
      <c r="G95" s="8" t="inlineStr">
        <is>
          <t>RECORDS-AT-HAND</t>
        </is>
      </c>
      <c r="H95" s="6" t="inlineStr">
        <is>
          <t>K17 Record repair &amp; procedure error</t>
        </is>
      </c>
      <c r="I95" s="6" t="inlineStr">
        <is>
          <t>G1 Before any implementation</t>
        </is>
      </c>
      <c r="J95" s="6" t="inlineStr">
        <is>
          <t>High</t>
        </is>
      </c>
      <c r="K95" s="6" t="n">
        <v>137</v>
      </c>
      <c r="L95" s="6" t="inlineStr">
        <is>
          <t>W2 Desk work (no model runs)</t>
        </is>
      </c>
      <c r="M95" s="6" t="inlineStr">
        <is>
          <t>S15</t>
        </is>
      </c>
      <c r="N95" s="6" t="inlineStr">
        <is>
          <t>Lead drafts, you approve</t>
        </is>
      </c>
      <c r="O95" s="6" t="inlineStr">
        <is>
          <t>You render the block in VS Code and approve or correct it; your approval (in your words) closes this row</t>
        </is>
      </c>
      <c r="P95" s="6" t="inlineStr">
        <is>
          <t>Answered (see basis)</t>
        </is>
      </c>
      <c r="Q95" s="6" t="inlineStr">
        <is>
          <t>Record fix</t>
        </is>
      </c>
      <c r="R95" s="6" t="inlineStr">
        <is>
          <t>Sub-item</t>
        </is>
      </c>
      <c r="S95" s="6" t="inlineStr">
        <is>
          <t>C-R01/V4RES</t>
        </is>
      </c>
      <c r="T95"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95"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95" s="6" t="inlineStr">
        <is>
          <t>Figure 2 (and the brief's copy, if any) has a path to O for every regime and outcome, re-read by a reviewer.</t>
        </is>
      </c>
      <c r="W95" s="6" t="inlineStr"/>
      <c r="X95" s="6" t="inlineStr"/>
      <c r="Y95" s="6" t="inlineStr"/>
      <c r="Z95" s="6" t="inlineStr"/>
      <c r="AA95" s="6" t="inlineStr"/>
      <c r="AB95" s="6" t="inlineStr">
        <is>
          <t>RECORD+DEC</t>
        </is>
      </c>
      <c r="AC95" s="6" t="inlineStr">
        <is>
          <t>n/a (sub-item)</t>
        </is>
      </c>
      <c r="AD95" s="6" t="inlineStr">
        <is>
          <t>NEW (repo sweep)</t>
        </is>
      </c>
      <c r="AE95" s="6" t="inlineStr">
        <is>
          <t>2026-10-20</t>
        </is>
      </c>
      <c r="AF95" s="6" t="inlineStr">
        <is>
          <t>design/package-v4/06-corrections-proposed.md section 1; reviews/RV-0011.md</t>
        </is>
      </c>
      <c r="AG95" s="6" t="inlineStr"/>
      <c r="AH95" s="6" t="inlineStr">
        <is>
          <t>No (editing needs the human's approval)</t>
        </is>
      </c>
      <c r="AI95" s="6" t="inlineStr"/>
      <c r="AJ95" s="6" t="inlineStr">
        <is>
          <t>RV-0009 (Reviewer 6b1), confirmed by the lead</t>
        </is>
      </c>
      <c r="AK95" s="6" t="inlineStr"/>
      <c r="AL95" s="6" t="inlineStr">
        <is>
          <t>S15</t>
        </is>
      </c>
    </row>
    <row r="96" ht="165.5" customHeight="1">
      <c r="A96" s="5" t="inlineStr">
        <is>
          <t>C-R01/FIG2-POINTS</t>
        </is>
      </c>
      <c r="B96" s="6" t="inlineStr">
        <is>
          <t>Four design points the Figure 2 check left unresolved: expose-all in the feasible set, option (b), Regime B decision rule, the regime-size loop</t>
        </is>
      </c>
      <c r="C96" s="6" t="inlineStr">
        <is>
          <t>OPEN</t>
        </is>
      </c>
      <c r="D96" s="6">
        <f>IFERROR(INDEX(Lists!$B$2:$B$14,MATCH(C96,Lists!$A$2:$A$14,0)),"?")</f>
        <v/>
      </c>
      <c r="E96" s="6">
        <f>IF(COUNTIFS(Links!$B$2:$B$600,A96,Links!$E$2:$E$600,"Yes")&gt;0,"REVISE","")</f>
        <v/>
      </c>
      <c r="F96" s="6">
        <f>COUNTIFS(Links!$B$2:$B$600,A96,Links!$D$2:$D$600,"No",Links!$C$2:$C$600,"&lt;&gt;INFORMS")</f>
        <v/>
      </c>
      <c r="G96" s="9" t="inlineStr">
        <is>
          <t>USER-DECISION</t>
        </is>
      </c>
      <c r="H96" s="6" t="inlineStr">
        <is>
          <t>K17 Record repair &amp; procedure error</t>
        </is>
      </c>
      <c r="I96" s="6" t="inlineStr">
        <is>
          <t>G1 Before any implementation</t>
        </is>
      </c>
      <c r="J96" s="6" t="inlineStr">
        <is>
          <t>Normal</t>
        </is>
      </c>
      <c r="K96" s="6" t="n">
        <v>138</v>
      </c>
      <c r="L96" s="6" t="inlineStr">
        <is>
          <t>W2 Desk work (no model runs)</t>
        </is>
      </c>
      <c r="M96" s="6" t="inlineStr">
        <is>
          <t>S15</t>
        </is>
      </c>
      <c r="N96" s="6" t="inlineStr">
        <is>
          <t>You (or Joaa)</t>
        </is>
      </c>
      <c r="O96" s="6" t="inlineStr">
        <is>
          <t>You or Joaa decide the four points, or say they stay open</t>
        </is>
      </c>
      <c r="P96" s="6" t="inlineStr">
        <is>
          <t>Partly</t>
        </is>
      </c>
      <c r="Q96" s="6" t="inlineStr">
        <is>
          <t>Decision</t>
        </is>
      </c>
      <c r="R96" s="6" t="inlineStr">
        <is>
          <t>Sub-item</t>
        </is>
      </c>
      <c r="S96" s="6" t="inlineStr">
        <is>
          <t>C-R01/FIG2</t>
        </is>
      </c>
      <c r="T96"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96" s="6" t="inlineStr">
        <is>
          <t>Found by a fresh reviewer on 2026-10-20; the sources do not settle (a) to (c); (d) is unchanged from the earlier figure. The drafted replacement draws exits the sources support and says in its text that these four points are open.</t>
        </is>
      </c>
      <c r="V96" s="6" t="inlineStr">
        <is>
          <t>Each point decided in the human's or the supervisor's words, or recorded as open.</t>
        </is>
      </c>
      <c r="W96" s="6" t="inlineStr"/>
      <c r="X96" s="6" t="inlineStr"/>
      <c r="Y96" s="6" t="inlineStr"/>
      <c r="Z96" s="6" t="inlineStr"/>
      <c r="AA96" s="6" t="inlineStr"/>
      <c r="AB96" s="6" t="inlineStr">
        <is>
          <t>RECORD+DEC</t>
        </is>
      </c>
      <c r="AC96" s="6" t="inlineStr">
        <is>
          <t>n/a (sub-item)</t>
        </is>
      </c>
      <c r="AD96" s="6" t="inlineStr">
        <is>
          <t>NEW (repo sweep)</t>
        </is>
      </c>
      <c r="AE96" s="6" t="inlineStr">
        <is>
          <t>2026-10-20</t>
        </is>
      </c>
      <c r="AF96" s="6" t="inlineStr">
        <is>
          <t>reviews/RV-0011.md (1c, 1b, 1e); design/package-v4/06-corrections-proposed.md section 1</t>
        </is>
      </c>
      <c r="AG96" s="6" t="inlineStr"/>
      <c r="AH96" s="6" t="inlineStr">
        <is>
          <t>No</t>
        </is>
      </c>
      <c r="AI96" s="6" t="inlineStr"/>
      <c r="AJ96" s="6" t="inlineStr">
        <is>
          <t>RV-0011 (batch 11)</t>
        </is>
      </c>
      <c r="AK96" s="6" t="inlineStr"/>
      <c r="AL96" s="6" t="inlineStr">
        <is>
          <t>S15</t>
        </is>
      </c>
    </row>
    <row r="97" ht="203" customHeight="1">
      <c r="A97" s="5" t="inlineStr">
        <is>
          <t>C-R01/R1TRIG</t>
        </is>
      </c>
      <c r="B97" s="6" t="inlineStr">
        <is>
          <t>A trigger can re-fire on every finish proposal when the budget is exhausted</t>
        </is>
      </c>
      <c r="C97" s="6" t="inlineStr">
        <is>
          <t>PARTLY ANSWERED</t>
        </is>
      </c>
      <c r="D97" s="6">
        <f>IFERROR(INDEX(Lists!$B$2:$B$14,MATCH(C97,Lists!$A$2:$A$14,0)),"?")</f>
        <v/>
      </c>
      <c r="E97" s="6">
        <f>IF(COUNTIFS(Links!$B$2:$B$600,A97,Links!$E$2:$E$600,"Yes")&gt;0,"REVISE","")</f>
        <v/>
      </c>
      <c r="F97" s="6">
        <f>COUNTIFS(Links!$B$2:$B$600,A97,Links!$D$2:$D$600,"No",Links!$C$2:$C$600,"&lt;&gt;INFORMS")</f>
        <v/>
      </c>
      <c r="G97" s="8" t="inlineStr">
        <is>
          <t>RECORDS-AT-HAND</t>
        </is>
      </c>
      <c r="H97" s="6" t="inlineStr">
        <is>
          <t>K17 Record repair &amp; procedure error</t>
        </is>
      </c>
      <c r="I97" s="6" t="inlineStr">
        <is>
          <t>G2 Before the affected pilot/arm</t>
        </is>
      </c>
      <c r="J97" s="6" t="inlineStr">
        <is>
          <t>Normal</t>
        </is>
      </c>
      <c r="K97" s="6" t="n">
        <v>139</v>
      </c>
      <c r="L97" s="6" t="inlineStr">
        <is>
          <t>W2 Desk work (no model runs)</t>
        </is>
      </c>
      <c r="M97" s="6" t="inlineStr">
        <is>
          <t>S15</t>
        </is>
      </c>
      <c r="N97" s="6" t="inlineStr">
        <is>
          <t>Lead drafts, you approve</t>
        </is>
      </c>
      <c r="O97" s="6" t="inlineStr">
        <is>
          <t>You or Joaa choose (a), (b) or (c)</t>
        </is>
      </c>
      <c r="P97" s="6" t="inlineStr">
        <is>
          <t>Answered (see basis)</t>
        </is>
      </c>
      <c r="Q97" s="6" t="inlineStr">
        <is>
          <t>Record fix</t>
        </is>
      </c>
      <c r="R97" s="6" t="inlineStr">
        <is>
          <t>Sub-item</t>
        </is>
      </c>
      <c r="S97" s="6" t="inlineStr">
        <is>
          <t>C-R01/V4RES</t>
        </is>
      </c>
      <c r="T97" s="6" t="inlineStr">
        <is>
          <t>RV-0009 R1 residual: P3/P3f 'yes' still goes to B and B 'no' still returns 'unavailable' to A (02 lines 24, 28, 33), so a trigger can fire on every finish proposal until the call limit; neither 02 nor 03 says what happens when the budget is exhausted.</t>
        </is>
      </c>
      <c r="U97"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97" s="6" t="inlineStr">
        <is>
          <t>The protocol states what the trigger does after the call limit is reached.</t>
        </is>
      </c>
      <c r="W97" s="6" t="inlineStr"/>
      <c r="X97" s="6" t="inlineStr"/>
      <c r="Y97" s="6" t="inlineStr"/>
      <c r="Z97" s="6" t="inlineStr"/>
      <c r="AA97" s="6" t="inlineStr"/>
      <c r="AB97" s="6" t="inlineStr">
        <is>
          <t>RECORD+DEC</t>
        </is>
      </c>
      <c r="AC97" s="6" t="inlineStr">
        <is>
          <t>n/a (sub-item)</t>
        </is>
      </c>
      <c r="AD97" s="6" t="inlineStr">
        <is>
          <t>NEW (repo sweep)</t>
        </is>
      </c>
      <c r="AE97" s="6" t="inlineStr">
        <is>
          <t>2026-10-20</t>
        </is>
      </c>
      <c r="AF97" s="6" t="inlineStr">
        <is>
          <t>design/package-v4/06-corrections-proposed.md section 2; reviews/RV-0012.md</t>
        </is>
      </c>
      <c r="AG97" s="6" t="inlineStr"/>
      <c r="AH97" s="6" t="inlineStr">
        <is>
          <t>No (editing needs the human's approval)</t>
        </is>
      </c>
      <c r="AI97" s="6" t="inlineStr"/>
      <c r="AJ97" s="6" t="inlineStr">
        <is>
          <t>RV-0009 (Reviewer 6b1)</t>
        </is>
      </c>
      <c r="AK97" s="6" t="inlineStr"/>
      <c r="AL97" s="6" t="inlineStr">
        <is>
          <t>S15</t>
        </is>
      </c>
    </row>
    <row r="98" ht="300" customHeight="1">
      <c r="A98" s="5" t="inlineStr">
        <is>
          <t>C-R01/RENDER</t>
        </is>
      </c>
      <c r="B98" s="6" t="inlineStr">
        <is>
          <t>Mermaid figures were never rendered</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G4 Before claims</t>
        </is>
      </c>
      <c r="J98" s="6" t="inlineStr">
        <is>
          <t>Normal</t>
        </is>
      </c>
      <c r="K98" s="6" t="n">
        <v>140</v>
      </c>
      <c r="L98" s="6" t="inlineStr">
        <is>
          <t>W2 Desk work (no model runs)</t>
        </is>
      </c>
      <c r="M98" s="6" t="inlineStr">
        <is>
          <t>S15</t>
        </is>
      </c>
      <c r="N98" s="6" t="inlineStr">
        <is>
          <t>You (render in VS Code); lead (concept check)</t>
        </is>
      </c>
      <c r="O98" s="6" t="inlineStr">
        <is>
          <t>Lead fixes the concept defects in the successor note; you render the figures in VS Code and report anything that looks wrong</t>
        </is>
      </c>
      <c r="P98" s="6" t="inlineStr">
        <is>
          <t>No</t>
        </is>
      </c>
      <c r="Q98" s="6" t="inlineStr">
        <is>
          <t>Record fix</t>
        </is>
      </c>
      <c r="R98" s="6" t="inlineStr">
        <is>
          <t>Sub-item</t>
        </is>
      </c>
      <c r="S98" s="6" t="inlineStr">
        <is>
          <t>C-R01</t>
        </is>
      </c>
      <c r="T98" s="6" t="inlineStr">
        <is>
          <t>No renderer was installed; Figure 1 and 2 syntax is unverified.</t>
        </is>
      </c>
      <c r="U98"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98" s="6" t="inlineStr">
        <is>
          <t>Checked and corrected or labelled unverifiable: labelled unverifiable; your acceptance pending.</t>
        </is>
      </c>
      <c r="W98" s="6" t="inlineStr"/>
      <c r="X98" s="6" t="inlineStr"/>
      <c r="Y98" s="6" t="inlineStr"/>
      <c r="Z98" s="6" t="inlineStr"/>
      <c r="AA98" s="6" t="inlineStr"/>
      <c r="AB98" s="6" t="inlineStr">
        <is>
          <t>RECORD+SOURCE</t>
        </is>
      </c>
      <c r="AC98" s="6" t="inlineStr">
        <is>
          <t>n/a (sub-item)</t>
        </is>
      </c>
      <c r="AD98" s="6" t="inlineStr">
        <is>
          <t>NEW (repo sweep)</t>
        </is>
      </c>
      <c r="AE98" s="6" t="inlineStr">
        <is>
          <t>2026-10-20</t>
        </is>
      </c>
      <c r="AF98" s="6" t="inlineStr">
        <is>
          <t>chat message of 2026-10-20; RV-0009</t>
        </is>
      </c>
      <c r="AG98" s="6" t="inlineStr"/>
      <c r="AH98" s="6" t="inlineStr">
        <is>
          <t>No</t>
        </is>
      </c>
      <c r="AI98" s="6" t="inlineStr">
        <is>
          <t>Rendering unverified; to be accepted as a stated limitation or checked by the human in any Mermaid viewer.</t>
        </is>
      </c>
      <c r="AJ98" s="6" t="inlineStr">
        <is>
          <t>repo: v4-03 section 6 / RV-0005 / RV-0007</t>
        </is>
      </c>
      <c r="AK98" s="6" t="inlineStr"/>
      <c r="AL98" s="6" t="inlineStr">
        <is>
          <t>S15</t>
        </is>
      </c>
    </row>
    <row r="99" ht="165.5" customHeight="1">
      <c r="A99" s="5" t="inlineStr">
        <is>
          <t>C-R01/V4-03-STALE</t>
        </is>
      </c>
      <c r="B99" s="6" t="inlineStr">
        <is>
          <t>Stale wording in v4 03 that conflicts with the corrected stage-inclusion rule</t>
        </is>
      </c>
      <c r="C99" s="6" t="inlineStr">
        <is>
          <t>PARTLY ANSWERED</t>
        </is>
      </c>
      <c r="D99" s="6">
        <f>IFERROR(INDEX(Lists!$B$2:$B$14,MATCH(C99,Lists!$A$2:$A$14,0)),"?")</f>
        <v/>
      </c>
      <c r="E99" s="6">
        <f>IF(COUNTIFS(Links!$B$2:$B$600,A99,Links!$E$2:$E$600,"Yes")&gt;0,"REVISE","")</f>
        <v/>
      </c>
      <c r="F99" s="6">
        <f>COUNTIFS(Links!$B$2:$B$600,A99,Links!$D$2:$D$600,"No",Links!$C$2:$C$600,"&lt;&gt;INFORMS")</f>
        <v/>
      </c>
      <c r="G99" s="8" t="inlineStr">
        <is>
          <t>RECORDS-AT-HAND</t>
        </is>
      </c>
      <c r="H99" s="6" t="inlineStr">
        <is>
          <t>K17 Record repair &amp; procedure error</t>
        </is>
      </c>
      <c r="I99" s="6" t="inlineStr">
        <is>
          <t>G4 Before claims</t>
        </is>
      </c>
      <c r="J99" s="6" t="inlineStr">
        <is>
          <t>Normal</t>
        </is>
      </c>
      <c r="K99" s="6" t="n">
        <v>141</v>
      </c>
      <c r="L99" s="6" t="inlineStr">
        <is>
          <t>W2 Desk work (no model runs)</t>
        </is>
      </c>
      <c r="M99" s="6" t="inlineStr">
        <is>
          <t>S15</t>
        </is>
      </c>
      <c r="N99" s="6" t="inlineStr">
        <is>
          <t>Lead drafts, you approve</t>
        </is>
      </c>
      <c r="O99" s="6" t="inlineStr">
        <is>
          <t>You approve the replacement sentences</t>
        </is>
      </c>
      <c r="P99" s="6" t="inlineStr">
        <is>
          <t>Answered (see basis)</t>
        </is>
      </c>
      <c r="Q99" s="6" t="inlineStr">
        <is>
          <t>Record fix</t>
        </is>
      </c>
      <c r="R99" s="6" t="inlineStr">
        <is>
          <t>Sub-item</t>
        </is>
      </c>
      <c r="S99" s="6" t="inlineStr">
        <is>
          <t>C-R01/V4RES</t>
        </is>
      </c>
      <c r="T99"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99"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99" s="6" t="inlineStr">
        <is>
          <t>03 states the same stage-inclusion rule as 02, or a successor note records the difference.</t>
        </is>
      </c>
      <c r="W99" s="6" t="inlineStr"/>
      <c r="X99" s="6" t="inlineStr"/>
      <c r="Y99" s="6" t="inlineStr"/>
      <c r="Z99" s="6" t="inlineStr"/>
      <c r="AA99" s="6" t="inlineStr"/>
      <c r="AB99" s="6" t="inlineStr">
        <is>
          <t>RECORD+DEC</t>
        </is>
      </c>
      <c r="AC99" s="6" t="inlineStr">
        <is>
          <t>n/a (sub-item)</t>
        </is>
      </c>
      <c r="AD99" s="6" t="inlineStr">
        <is>
          <t>NEW (repo sweep)</t>
        </is>
      </c>
      <c r="AE99" s="6" t="inlineStr">
        <is>
          <t>2026-10-20</t>
        </is>
      </c>
      <c r="AF99" s="6" t="inlineStr">
        <is>
          <t>design/package-v4/06-corrections-proposed.md section 3 rows 3.1-3.4; reviews/RV-0012.md</t>
        </is>
      </c>
      <c r="AG99" s="6" t="inlineStr"/>
      <c r="AH99" s="6" t="inlineStr">
        <is>
          <t>No (editing needs the human's approval)</t>
        </is>
      </c>
      <c r="AI99" s="6" t="inlineStr"/>
      <c r="AJ99" s="6" t="inlineStr">
        <is>
          <t>RV-0009 (Reviewer 6b1)</t>
        </is>
      </c>
      <c r="AK99" s="6" t="inlineStr"/>
      <c r="AL99" s="6" t="inlineStr">
        <is>
          <t>S15</t>
        </is>
      </c>
    </row>
    <row r="100" ht="128" customHeight="1">
      <c r="A100" s="5" t="inlineStr">
        <is>
          <t>C-R03</t>
        </is>
      </c>
      <c r="B100" s="6" t="inlineStr">
        <is>
          <t>v3 artefacts not independently verified: simulation not rerun, single challenger, summaries unverified, par...</t>
        </is>
      </c>
      <c r="C100" s="6" t="inlineStr">
        <is>
          <t>PARTLY ANSWERED</t>
        </is>
      </c>
      <c r="D100" s="6">
        <f>IFERROR(INDEX(Lists!$B$2:$B$14,MATCH(C100,Lists!$A$2:$A$14,0)),"?")</f>
        <v/>
      </c>
      <c r="E100" s="6">
        <f>IF(COUNTIFS(Links!$B$2:$B$600,A100,Links!$E$2:$E$600,"Yes")&gt;0,"REVISE","")</f>
        <v/>
      </c>
      <c r="F100" s="6">
        <f>COUNTIFS(Links!$B$2:$B$600,A100,Links!$D$2:$D$600,"No",Links!$C$2:$C$600,"&lt;&gt;INFORMS")</f>
        <v/>
      </c>
      <c r="G100" s="8" t="inlineStr">
        <is>
          <t>RECORDS-AT-HAND</t>
        </is>
      </c>
      <c r="H100" s="6" t="inlineStr">
        <is>
          <t>K17 Record repair &amp; procedure error</t>
        </is>
      </c>
      <c r="I100" s="6" t="inlineStr">
        <is>
          <t>G4 Before claims</t>
        </is>
      </c>
      <c r="J100" s="6" t="inlineStr">
        <is>
          <t>Normal</t>
        </is>
      </c>
      <c r="K100" s="6" t="n">
        <v>143</v>
      </c>
      <c r="L100" s="6" t="inlineStr">
        <is>
          <t>W2 Desk work (no model runs)</t>
        </is>
      </c>
      <c r="M100" s="6" t="inlineStr">
        <is>
          <t>S15</t>
        </is>
      </c>
      <c r="N100" s="6" t="inlineStr">
        <is>
          <t>Lead + fresh reviewer</t>
        </is>
      </c>
      <c r="O100" s="6" t="inlineStr">
        <is>
          <t>Rerun the simulation if its outputs are quoted (see C-R03/C20)</t>
        </is>
      </c>
      <c r="P100" s="6" t="inlineStr">
        <is>
          <t>Partly</t>
        </is>
      </c>
      <c r="Q100" s="6" t="inlineStr">
        <is>
          <t>Record fix</t>
        </is>
      </c>
      <c r="R100" s="6" t="inlineStr">
        <is>
          <t>Item</t>
        </is>
      </c>
      <c r="S100" s="6" t="inlineStr"/>
      <c r="T100" s="6" t="inlineStr">
        <is>
          <t>v3 artefacts not independently verified: simulation not rerun, single challenger, summaries unverified, partly supported pivotal passages.</t>
        </is>
      </c>
      <c r="U100"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00" s="6" t="inlineStr">
        <is>
          <t>Each artifact verified or labelled; stale counts fixed.</t>
        </is>
      </c>
      <c r="W100" s="6" t="inlineStr"/>
      <c r="X100" s="6" t="inlineStr"/>
      <c r="Y100" s="6" t="inlineStr"/>
      <c r="Z100" s="6" t="inlineStr">
        <is>
          <t>DESK-ANALYSIS, SOURCE-REREAD</t>
        </is>
      </c>
      <c r="AA100" s="6" t="inlineStr">
        <is>
          <t>K14 Source &amp; vendor verification</t>
        </is>
      </c>
      <c r="AB100" s="6" t="inlineStr">
        <is>
          <t>RECORD+SOURCE+DATA</t>
        </is>
      </c>
      <c r="AC100" s="6" t="inlineStr">
        <is>
          <t>OPEN</t>
        </is>
      </c>
      <c r="AD100" s="6" t="inlineStr">
        <is>
          <t>UNCHANGED</t>
        </is>
      </c>
      <c r="AE100" s="6" t="inlineStr">
        <is>
          <t>2026-10-19</t>
        </is>
      </c>
      <c r="AF100" s="6" t="inlineStr">
        <is>
          <t>RV-0008 (reviews/RV-0008.md), thread T-20261019-104; RV-0009 (reviews/RV-0009.md), thread T-20261019-104; RV-0010 (reviews/RV-0010.md), thread T-20261019-104</t>
        </is>
      </c>
      <c r="AG100" s="6" t="inlineStr"/>
      <c r="AH100" s="6" t="inlineStr">
        <is>
          <t>No</t>
        </is>
      </c>
      <c r="AI100" s="6" t="inlineStr"/>
      <c r="AJ100" s="6" t="inlineStr">
        <is>
          <t>SRC-11 canonical</t>
        </is>
      </c>
      <c r="AK100" s="6" t="inlineStr">
        <is>
          <t>SRC-06 C20-C27</t>
        </is>
      </c>
      <c r="AL100" s="6" t="inlineStr">
        <is>
          <t>S15</t>
        </is>
      </c>
    </row>
    <row r="101" ht="28" customHeight="1">
      <c r="A101" s="5" t="inlineStr">
        <is>
          <t>C-R03/C20</t>
        </is>
      </c>
      <c r="B101" s="6" t="inlineStr">
        <is>
          <t>No computational rerun of the simulation/limits</t>
        </is>
      </c>
      <c r="C101" s="6" t="inlineStr">
        <is>
          <t>OPEN</t>
        </is>
      </c>
      <c r="D101" s="6">
        <f>IFERROR(INDEX(Lists!$B$2:$B$14,MATCH(C101,Lists!$A$2:$A$14,0)),"?")</f>
        <v/>
      </c>
      <c r="E101" s="6">
        <f>IF(COUNTIFS(Links!$B$2:$B$600,A101,Links!$E$2:$E$600,"Yes")&gt;0,"REVISE","")</f>
        <v/>
      </c>
      <c r="F101" s="6">
        <f>COUNTIFS(Links!$B$2:$B$600,A101,Links!$D$2:$D$600,"No",Links!$C$2:$C$600,"&lt;&gt;INFORMS")</f>
        <v/>
      </c>
      <c r="G101" s="13" t="inlineStr">
        <is>
          <t>DESK-ANALYSIS</t>
        </is>
      </c>
      <c r="H101" s="6" t="inlineStr">
        <is>
          <t>K17 Record repair &amp; procedure error</t>
        </is>
      </c>
      <c r="I101" s="6" t="inlineStr">
        <is>
          <t>G4 Before claims</t>
        </is>
      </c>
      <c r="J101" s="6" t="inlineStr">
        <is>
          <t>Normal</t>
        </is>
      </c>
      <c r="K101" s="6" t="n">
        <v>144</v>
      </c>
      <c r="L101" s="6" t="inlineStr">
        <is>
          <t>W2 Desk work (no model runs)</t>
        </is>
      </c>
      <c r="M101" s="6" t="inlineStr">
        <is>
          <t>S15</t>
        </is>
      </c>
      <c r="N101" s="6" t="inlineStr">
        <is>
          <t>Lead + fresh reviewer</t>
        </is>
      </c>
      <c r="O101" s="6" t="inlineStr">
        <is>
          <t>Lead computes or writes it (no model runs)</t>
        </is>
      </c>
      <c r="P101" s="6" t="inlineStr">
        <is>
          <t>No</t>
        </is>
      </c>
      <c r="Q101" s="6" t="inlineStr">
        <is>
          <t>Scientific unknown</t>
        </is>
      </c>
      <c r="R101" s="6" t="inlineStr">
        <is>
          <t>Sub-item</t>
        </is>
      </c>
      <c r="S101" s="6" t="inlineStr">
        <is>
          <t>C-R03</t>
        </is>
      </c>
      <c r="T101" s="6" t="inlineStr">
        <is>
          <t>SRC-06 C20: the v3 greedy-core simulation and limits were not computationally re-run.</t>
        </is>
      </c>
      <c r="U101" s="6" t="inlineStr">
        <is>
          <t>Not rerun in the repo.</t>
        </is>
      </c>
      <c r="V101" s="6" t="inlineStr">
        <is>
          <t>Simulation rerun and results compared.</t>
        </is>
      </c>
      <c r="W101" s="6" t="inlineStr"/>
      <c r="X101" s="6" t="inlineStr"/>
      <c r="Y101" s="6" t="inlineStr">
        <is>
          <t>Q-U26</t>
        </is>
      </c>
      <c r="Z101" s="6" t="inlineStr"/>
      <c r="AA101" s="6" t="inlineStr"/>
      <c r="AB101" s="6" t="inlineStr">
        <is>
          <t>RECORD+DATA</t>
        </is>
      </c>
      <c r="AC101" s="6" t="inlineStr">
        <is>
          <t>n/a (sub-item)</t>
        </is>
      </c>
      <c r="AD101" s="6" t="inlineStr">
        <is>
          <t>NEW (SRC-11 sub-row)</t>
        </is>
      </c>
      <c r="AE101" s="6" t="inlineStr">
        <is>
          <t>2026-10-19</t>
        </is>
      </c>
      <c r="AF101" s="6" t="inlineStr">
        <is>
          <t>v4-03 section 3 ('not re-derived')</t>
        </is>
      </c>
      <c r="AG101" s="6" t="inlineStr"/>
      <c r="AH101" s="6" t="inlineStr">
        <is>
          <t>No</t>
        </is>
      </c>
      <c r="AI101" s="6" t="inlineStr"/>
      <c r="AJ101" s="6" t="inlineStr">
        <is>
          <t>SRC-11 section D4</t>
        </is>
      </c>
      <c r="AK101" s="6" t="inlineStr">
        <is>
          <t>SRC-06 C20</t>
        </is>
      </c>
      <c r="AL101" s="6" t="inlineStr">
        <is>
          <t>S15</t>
        </is>
      </c>
    </row>
    <row r="102" ht="28" customHeight="1">
      <c r="A102" s="5" t="inlineStr">
        <is>
          <t>C-R03/C21</t>
        </is>
      </c>
      <c r="B102" s="6" t="inlineStr">
        <is>
          <t>Only one challenger</t>
        </is>
      </c>
      <c r="C102" s="6" t="inlineStr">
        <is>
          <t>OPEN</t>
        </is>
      </c>
      <c r="D102" s="6">
        <f>IFERROR(INDEX(Lists!$B$2:$B$14,MATCH(C102,Lists!$A$2:$A$14,0)),"?")</f>
        <v/>
      </c>
      <c r="E102" s="6">
        <f>IF(COUNTIFS(Links!$B$2:$B$600,A102,Links!$E$2:$E$600,"Yes")&gt;0,"REVISE","")</f>
        <v/>
      </c>
      <c r="F102" s="6">
        <f>COUNTIFS(Links!$B$2:$B$600,A102,Links!$D$2:$D$600,"No",Links!$C$2:$C$600,"&lt;&gt;INFORMS")</f>
        <v/>
      </c>
      <c r="G102" s="12" t="inlineStr">
        <is>
          <t>ACCEPT-LIMITATION</t>
        </is>
      </c>
      <c r="H102" s="6" t="inlineStr">
        <is>
          <t>K17 Record repair &amp; procedure error</t>
        </is>
      </c>
      <c r="I102" s="6" t="inlineStr">
        <is>
          <t>G4 Before claims</t>
        </is>
      </c>
      <c r="J102" s="6" t="inlineStr">
        <is>
          <t>Normal</t>
        </is>
      </c>
      <c r="K102" s="6" t="n">
        <v>145</v>
      </c>
      <c r="L102" s="6" t="inlineStr">
        <is>
          <t>W2 Desk work (no model runs)</t>
        </is>
      </c>
      <c r="M102" s="6" t="inlineStr">
        <is>
          <t>S15</t>
        </is>
      </c>
      <c r="N102" s="6" t="inlineStr">
        <is>
          <t>Lead + fresh reviewer</t>
        </is>
      </c>
      <c r="O102" s="6" t="inlineStr">
        <is>
          <t>You accept or reject the limit (Q-U20)</t>
        </is>
      </c>
      <c r="P102" s="6" t="inlineStr">
        <is>
          <t>Partly</t>
        </is>
      </c>
      <c r="Q102" s="6" t="inlineStr">
        <is>
          <t>Limitation</t>
        </is>
      </c>
      <c r="R102" s="6" t="inlineStr">
        <is>
          <t>Sub-item</t>
        </is>
      </c>
      <c r="S102" s="6" t="inlineStr">
        <is>
          <t>C-R03</t>
        </is>
      </c>
      <c r="T102" s="6" t="inlineStr">
        <is>
          <t>SRC-06 C21: only one challenger reviewed v3.</t>
        </is>
      </c>
      <c r="U102" s="6" t="inlineStr">
        <is>
          <t>Same model family on every review.</t>
        </is>
      </c>
      <c r="V102" s="6" t="inlineStr">
        <is>
          <t>Limitation stated, or a different-provider review.</t>
        </is>
      </c>
      <c r="W102" s="6" t="inlineStr"/>
      <c r="X102" s="6" t="inlineStr"/>
      <c r="Y102" s="6" t="inlineStr">
        <is>
          <t>Q-U20</t>
        </is>
      </c>
      <c r="Z102" s="6" t="inlineStr"/>
      <c r="AA102" s="6" t="inlineStr"/>
      <c r="AB102" s="6" t="inlineStr">
        <is>
          <t>RECORD+DATA</t>
        </is>
      </c>
      <c r="AC102" s="6" t="inlineStr">
        <is>
          <t>n/a (sub-item)</t>
        </is>
      </c>
      <c r="AD102" s="6" t="inlineStr">
        <is>
          <t>NEW (SRC-11 sub-row)</t>
        </is>
      </c>
      <c r="AE102" s="6" t="inlineStr">
        <is>
          <t>2026-10-19</t>
        </is>
      </c>
      <c r="AF102" s="6" t="inlineStr">
        <is>
          <t>v3-04 header; SAFEGUARDS row 12 (all Sonnet)</t>
        </is>
      </c>
      <c r="AG102" s="6" t="inlineStr"/>
      <c r="AH102" s="6" t="inlineStr">
        <is>
          <t>No</t>
        </is>
      </c>
      <c r="AI102" s="6" t="inlineStr"/>
      <c r="AJ102" s="6" t="inlineStr">
        <is>
          <t>SRC-11 section D4</t>
        </is>
      </c>
      <c r="AK102" s="6" t="inlineStr">
        <is>
          <t>SRC-06 C21</t>
        </is>
      </c>
      <c r="AL102" s="6" t="inlineStr">
        <is>
          <t>S15</t>
        </is>
      </c>
    </row>
    <row r="103" ht="278" customHeight="1">
      <c r="A103" s="5" t="inlineStr">
        <is>
          <t>C-R03/C22-RESID</t>
        </is>
      </c>
      <c r="B103" s="6" t="inlineStr">
        <is>
          <t>Edits that the AUTH-004 concessions promised but the proposal records still lack</t>
        </is>
      </c>
      <c r="C103" s="6" t="inlineStr">
        <is>
          <t>OPEN</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G5 Housekeeping / no block</t>
        </is>
      </c>
      <c r="J103" s="6" t="inlineStr">
        <is>
          <t>Low</t>
        </is>
      </c>
      <c r="K103" s="6" t="n">
        <v>147</v>
      </c>
      <c r="L103" s="6" t="inlineStr">
        <is>
          <t>W2 Desk work (no model runs)</t>
        </is>
      </c>
      <c r="M103" s="6" t="inlineStr">
        <is>
          <t>S15</t>
        </is>
      </c>
      <c r="N103" s="6" t="inlineStr">
        <is>
          <t>You (approve); the proposals' owner or a successor note</t>
        </is>
      </c>
      <c r="O103" s="6" t="inlineStr">
        <is>
          <t>You decide whether the earlier proposal records (DPR-0001 to DPR-0003, HYP-0002/0004/0005) are edited or a successor note records the residues; the live packages v3 and v4 were built on DPR-0004 and DPR-0005</t>
        </is>
      </c>
      <c r="P103" s="6" t="inlineStr">
        <is>
          <t>Answered (see basis)</t>
        </is>
      </c>
      <c r="Q103" s="6" t="inlineStr">
        <is>
          <t>Record fix</t>
        </is>
      </c>
      <c r="R103" s="6" t="inlineStr">
        <is>
          <t>Sub-item</t>
        </is>
      </c>
      <c r="S103" s="6" t="inlineStr">
        <is>
          <t>C-R03/C22</t>
        </is>
      </c>
      <c r="T103" s="6" t="inlineStr">
        <is>
          <t>Found by re-checking the 19 concessions (RV-0017, RV-0018, RV-0019): CH-0004 item 2 (mark S2 and S7 'vehicle-contaminated': harmless, absent); CH-0008 item 1 (DPR-0002 line 65 states 'agent-driven schema loading' for EXT-0045 and EXT-0046, which say only 'the additional selection stage'; the method section of s4f-2b-ondevice-adaptive-2511-03728 is stored and unread); CH-0011 (DPR-0001 line 155 keeps the old 'without success evidence' wording); CH-0012 and CH-0017 (DPR-0002 lines 72 and 78(i) keep an unscoped 'no evidence for a purely system-side trigger' and drop the [U] label); CH-0013 (DPR-0003 line 87); CH-0014 ('no task reached the budget' is true for budget 30 only; EXT-0042 shows 5 of 50 at budget 12); CH-0015 (two requested edits absent: HYP-0005 line 14 still says no measurement of catalogue filtering was found and does not mention Toollery or EXT-0053); CH-0016 items 3 and 4 (the class of derived signals; the stage-five example) unanswered; CH-0017 item 7 (EXT-0054's ragged token column and the inconsistent deltas of S4F-PA line 60), HYP-0002 line 14 (lists App. N as not re-read and says no extract up to EXT-0049 compares staged and single-stage selection, while DPR-0002 and DPR-0003 use EXT-0053 for it), DPR-0003 line 108 ('unresolved' where line 12 settles it); CH-0019 item 3 (a capability-gradient note at HYP-0004).</t>
        </is>
      </c>
      <c r="U103" s="6" t="inlineStr">
        <is>
          <t>The substantive points of all 19 challenges were warranted; these are leftovers in earlier proposal records. FitText section 4.2, which several of them ask for, was read on 2026-10-20 (EXT-0224, EXT-0225, EXT-0226, see C-R03/C23).</t>
        </is>
      </c>
      <c r="V103" s="6" t="inlineStr">
        <is>
          <t>Each leftover edited, or recorded in a successor note, or accepted as superseded by DPR-0004 and DPR-0005 and the v3 and v4 packages.</t>
        </is>
      </c>
      <c r="W103" s="6" t="inlineStr"/>
      <c r="X103" s="6" t="inlineStr"/>
      <c r="Y103" s="6" t="inlineStr"/>
      <c r="Z103" s="6" t="inlineStr"/>
      <c r="AA103" s="6" t="inlineStr"/>
      <c r="AB103" s="6" t="inlineStr">
        <is>
          <t>RECORD</t>
        </is>
      </c>
      <c r="AC103" s="6" t="inlineStr">
        <is>
          <t>n/a (sub-item)</t>
        </is>
      </c>
      <c r="AD103" s="6" t="inlineStr">
        <is>
          <t>NEW (repo sweep)</t>
        </is>
      </c>
      <c r="AE103" s="6" t="inlineStr">
        <is>
          <t>2026-10-20</t>
        </is>
      </c>
      <c r="AF103" s="6" t="inlineStr">
        <is>
          <t>reviews/RV-0017.md, RV-0018.md, RV-0019.md (fresh reviewers, same model family; RV-0018 ended at its turn limit after CH-0016 and CH-0017 to CH-0019 were done in RV-0019; no shell, so no origin extraction runs)</t>
        </is>
      </c>
      <c r="AG103" s="6" t="inlineStr"/>
      <c r="AH103" s="6" t="inlineStr">
        <is>
          <t>No (editing earlier records needs your approval)</t>
        </is>
      </c>
      <c r="AI103" s="6" t="inlineStr"/>
      <c r="AJ103" s="6" t="inlineStr">
        <is>
          <t>RV-0017 to RV-0019 (batch 15b)</t>
        </is>
      </c>
      <c r="AK103" s="6" t="inlineStr"/>
      <c r="AL103" s="6" t="inlineStr">
        <is>
          <t>S15</t>
        </is>
      </c>
    </row>
    <row r="104" ht="300" customHeight="1">
      <c r="A104" s="5" t="inlineStr">
        <is>
          <t>C-R03/C23</t>
        </is>
      </c>
      <c r="B104" s="6" t="inlineStr">
        <is>
          <t>RV-0002 draft residues</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G4 Before claims</t>
        </is>
      </c>
      <c r="J104" s="6" t="inlineStr">
        <is>
          <t>Normal</t>
        </is>
      </c>
      <c r="K104" s="6" t="n">
        <v>148</v>
      </c>
      <c r="L104" s="6" t="inlineStr">
        <is>
          <t>W2 Desk work (no model runs)</t>
        </is>
      </c>
      <c r="M104" s="6" t="inlineStr">
        <is>
          <t>S15</t>
        </is>
      </c>
      <c r="N104" s="6" t="inlineStr">
        <is>
          <t>Lead + fresh reviewer</t>
        </is>
      </c>
      <c r="O104" s="6" t="inlineStr">
        <is>
          <t>You decide whether the successor wording and the updated FitText sentences are recorded (a record edit)</t>
        </is>
      </c>
      <c r="P104" s="6" t="inlineStr">
        <is>
          <t>Partly</t>
        </is>
      </c>
      <c r="Q104" s="6" t="inlineStr">
        <is>
          <t>Record fix</t>
        </is>
      </c>
      <c r="R104" s="6" t="inlineStr">
        <is>
          <t>Sub-item</t>
        </is>
      </c>
      <c r="S104" s="6" t="inlineStr">
        <is>
          <t>C-R03</t>
        </is>
      </c>
      <c r="T104" s="6" t="inlineStr">
        <is>
          <t>SRC-06 C23: RV-0002 is a draft with residues.</t>
        </is>
      </c>
      <c r="U104"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 Batch 15b (2026-10-20): FitText section 4.2 was read in the stored source (EXT-0224, EXT-0225, EXT-0226; r1-fittext lines 107-111, 278-287, 1779-1793): 'The framework permits retrieval to be invoked during reasoning: at any step t, the agent may emit a pseudo-tool description dt, causing the system to update the function schema Ft+1 &lt;- Ft U Retrieve(dt, T)'; retrieval fires 'whenever the agent's emitted thought contains a delimited pseudo-tool block that is not a near-duplicate of a previously explored intent'; the system prompt preamble tells the agent 'The only function available at the start is "Finish". To call any other function, you must first retrieve it from a function corpus based on your needs ... write {BEGIN} [Describe the function you need in detail] {END}'. So the initiator is the agent, under a prescribed protocol in its system prompt (instructed, not uninstructed), and the system performs the retrieval and keeps the retrieved tools; this supports the later characterisation 'prompt-prescribed (V5)' (DPR-0004 line 73, RV-0003 line 56) and means the [U] initiator labels in DPR-0001 line 158 and HYP-0006 lines 8 and 14 are out of date.</t>
        </is>
      </c>
      <c r="V104" s="6" t="inlineStr">
        <is>
          <t>RV-0002 finalised or marked superseded.</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2026-10-20</t>
        </is>
      </c>
      <c r="AF104" s="6" t="inlineStr">
        <is>
          <t>EXT-0224, EXT-0225, EXT-0226; reviews/RV-0017.md, RV-0018.md, RV-0019.md (fresh reviewers, same model family; RV-0018 ended at its turn limit after CH-0016 and CH-0017 to CH-0019 were done in RV-0019; no shell, so no origin extraction runs)</t>
        </is>
      </c>
      <c r="AG104" s="6" t="inlineStr"/>
      <c r="AH104" s="6" t="inlineStr">
        <is>
          <t>No</t>
        </is>
      </c>
      <c r="AI104" s="6" t="inlineStr"/>
      <c r="AJ104" s="6" t="inlineStr">
        <is>
          <t>SRC-11 section D4</t>
        </is>
      </c>
      <c r="AK104" s="6" t="inlineStr">
        <is>
          <t>SRC-06 C23</t>
        </is>
      </c>
      <c r="AL104" s="6" t="inlineStr">
        <is>
          <t>S15</t>
        </is>
      </c>
    </row>
    <row r="105" ht="115.5" customHeight="1">
      <c r="A105" s="5" t="inlineStr">
        <is>
          <t>C-R03/C24</t>
        </is>
      </c>
      <c r="B105" s="6" t="inlineStr">
        <is>
          <t>Propagation defects (agreed fixes not carried into operative text)</t>
        </is>
      </c>
      <c r="C105" s="6" t="inlineStr">
        <is>
          <t>PARTLY ANSWERED</t>
        </is>
      </c>
      <c r="D105" s="6">
        <f>IFERROR(INDEX(Lists!$B$2:$B$14,MATCH(C105,Lists!$A$2:$A$14,0)),"?")</f>
        <v/>
      </c>
      <c r="E105" s="6">
        <f>IF(COUNTIFS(Links!$B$2:$B$600,A105,Links!$E$2:$E$600,"Yes")&gt;0,"REVISE","")</f>
        <v/>
      </c>
      <c r="F105" s="6">
        <f>COUNTIFS(Links!$B$2:$B$600,A105,Links!$D$2:$D$600,"No",Links!$C$2:$C$600,"&lt;&gt;INFORMS")</f>
        <v/>
      </c>
      <c r="G105" s="8" t="inlineStr">
        <is>
          <t>RECORDS-AT-HAND</t>
        </is>
      </c>
      <c r="H105" s="6" t="inlineStr">
        <is>
          <t>K17 Record repair &amp; procedure error</t>
        </is>
      </c>
      <c r="I105" s="6" t="inlineStr">
        <is>
          <t>G4 Before claims</t>
        </is>
      </c>
      <c r="J105" s="6" t="inlineStr">
        <is>
          <t>Normal</t>
        </is>
      </c>
      <c r="K105" s="6" t="n">
        <v>149</v>
      </c>
      <c r="L105" s="6" t="inlineStr">
        <is>
          <t>W2 Desk work (no model runs)</t>
        </is>
      </c>
      <c r="M105" s="6" t="inlineStr">
        <is>
          <t>S15</t>
        </is>
      </c>
      <c r="N105" s="6" t="inlineStr">
        <is>
          <t>Lead + fresh reviewer</t>
        </is>
      </c>
      <c r="O105" s="6" t="inlineStr">
        <is>
          <t>Operative wording to be verified per record when the successor notes are drafted</t>
        </is>
      </c>
      <c r="P105" s="6" t="inlineStr">
        <is>
          <t>Partly</t>
        </is>
      </c>
      <c r="Q105" s="6" t="inlineStr">
        <is>
          <t>Record fix</t>
        </is>
      </c>
      <c r="R105" s="6" t="inlineStr">
        <is>
          <t>Sub-item</t>
        </is>
      </c>
      <c r="S105" s="6" t="inlineStr">
        <is>
          <t>C-R03</t>
        </is>
      </c>
      <c r="T105" s="6" t="inlineStr">
        <is>
          <t>SRC-06 C24: agreed fixes were not carried into the operative text of several records.</t>
        </is>
      </c>
      <c r="U105"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05" s="6" t="inlineStr">
        <is>
          <t>Operative wording verified per record.</t>
        </is>
      </c>
      <c r="W105" s="6" t="inlineStr"/>
      <c r="X105" s="6" t="inlineStr"/>
      <c r="Y105" s="6" t="inlineStr"/>
      <c r="Z105" s="6" t="inlineStr"/>
      <c r="AA105" s="6" t="inlineStr"/>
      <c r="AB105" s="6" t="inlineStr">
        <is>
          <t>RECORD+DATA</t>
        </is>
      </c>
      <c r="AC105" s="6" t="inlineStr">
        <is>
          <t>n/a (sub-item)</t>
        </is>
      </c>
      <c r="AD105" s="6" t="inlineStr">
        <is>
          <t>NEW (SRC-11 sub-row)</t>
        </is>
      </c>
      <c r="AE105" s="6" t="inlineStr">
        <is>
          <t>2026-10-19</t>
        </is>
      </c>
      <c r="AF105" s="6" t="inlineStr">
        <is>
          <t>RV-0008 (reviews/RV-0008.md), thread T-20261019-104; RV-0009 (reviews/RV-0009.md), thread T-20261019-104</t>
        </is>
      </c>
      <c r="AG105" s="6" t="inlineStr"/>
      <c r="AH105" s="6" t="inlineStr">
        <is>
          <t>No</t>
        </is>
      </c>
      <c r="AI105" s="6" t="inlineStr"/>
      <c r="AJ105" s="6" t="inlineStr">
        <is>
          <t>SRC-11 section D4</t>
        </is>
      </c>
      <c r="AK105" s="6" t="inlineStr">
        <is>
          <t>SRC-06 C24</t>
        </is>
      </c>
      <c r="AL105" s="6" t="inlineStr">
        <is>
          <t>S15</t>
        </is>
      </c>
    </row>
    <row r="106" ht="28" customHeight="1">
      <c r="A106" s="5" t="inlineStr">
        <is>
          <t>C-R03/C25</t>
        </is>
      </c>
      <c r="B106" s="6" t="inlineStr">
        <is>
          <t>Unverified SUM/FND summaries</t>
        </is>
      </c>
      <c r="C106" s="6" t="inlineStr">
        <is>
          <t>OPEN</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G4 Before claims</t>
        </is>
      </c>
      <c r="J106" s="6" t="inlineStr">
        <is>
          <t>Normal</t>
        </is>
      </c>
      <c r="K106" s="6" t="n">
        <v>150</v>
      </c>
      <c r="L106" s="6" t="inlineStr">
        <is>
          <t>W2 Desk work (no model runs)</t>
        </is>
      </c>
      <c r="M106" s="6" t="inlineStr">
        <is>
          <t>S15</t>
        </is>
      </c>
      <c r="N106" s="6" t="inlineStr">
        <is>
          <t>Lead + fresh reviewer</t>
        </is>
      </c>
      <c r="O106" s="6" t="inlineStr">
        <is>
          <t>Lead drafts the fix; you approve</t>
        </is>
      </c>
      <c r="P106" s="6" t="inlineStr">
        <is>
          <t>Partly</t>
        </is>
      </c>
      <c r="Q106" s="6" t="inlineStr">
        <is>
          <t>Record fix</t>
        </is>
      </c>
      <c r="R106" s="6" t="inlineStr">
        <is>
          <t>Sub-item</t>
        </is>
      </c>
      <c r="S106" s="6" t="inlineStr">
        <is>
          <t>C-R03</t>
        </is>
      </c>
      <c r="T106" s="6" t="inlineStr">
        <is>
          <t>SRC-06 C25: SUM/FND summaries are unverified (front matter says unverified-until-human-checks).</t>
        </is>
      </c>
      <c r="U106" s="6" t="inlineStr">
        <is>
          <t>All steward summaries carry 'unverified'.</t>
        </is>
      </c>
      <c r="V106" s="6" t="inlineStr">
        <is>
          <t>A human or independent check per summary.</t>
        </is>
      </c>
      <c r="W106" s="6" t="inlineStr"/>
      <c r="X106" s="6" t="inlineStr"/>
      <c r="Y106" s="6" t="inlineStr">
        <is>
          <t>Q-U27</t>
        </is>
      </c>
      <c r="Z106" s="6" t="inlineStr"/>
      <c r="AA106" s="6" t="inlineStr"/>
      <c r="AB106" s="6" t="inlineStr">
        <is>
          <t>RECORD+DATA</t>
        </is>
      </c>
      <c r="AC106" s="6" t="inlineStr">
        <is>
          <t>n/a (sub-item)</t>
        </is>
      </c>
      <c r="AD106" s="6" t="inlineStr">
        <is>
          <t>NEW (SRC-11 sub-row)</t>
        </is>
      </c>
      <c r="AE106" s="6" t="inlineStr">
        <is>
          <t>2026-10-19</t>
        </is>
      </c>
      <c r="AF106" s="6" t="inlineStr">
        <is>
          <t>findings/SUM-0003..0009 front matter</t>
        </is>
      </c>
      <c r="AG106" s="6" t="inlineStr"/>
      <c r="AH106" s="6" t="inlineStr">
        <is>
          <t>No</t>
        </is>
      </c>
      <c r="AI106" s="6" t="inlineStr"/>
      <c r="AJ106" s="6" t="inlineStr">
        <is>
          <t>SRC-11 section D4</t>
        </is>
      </c>
      <c r="AK106" s="6" t="inlineStr">
        <is>
          <t>SRC-06 C25</t>
        </is>
      </c>
      <c r="AL106" s="6" t="inlineStr">
        <is>
          <t>S15</t>
        </is>
      </c>
    </row>
    <row r="107" ht="40.5" customHeight="1">
      <c r="A107" s="5" t="inlineStr">
        <is>
          <t>C-R03/C26</t>
        </is>
      </c>
      <c r="B107" s="6" t="inlineStr">
        <is>
          <t>Cost algebra fit / unreviewed numerical slip</t>
        </is>
      </c>
      <c r="C107" s="6" t="inlineStr">
        <is>
          <t>PARTLY ANSWERED</t>
        </is>
      </c>
      <c r="D107" s="6">
        <f>IFERROR(INDEX(Lists!$B$2:$B$14,MATCH(C107,Lists!$A$2:$A$14,0)),"?")</f>
        <v/>
      </c>
      <c r="E107" s="6">
        <f>IF(COUNTIFS(Links!$B$2:$B$600,A107,Links!$E$2:$E$600,"Yes")&gt;0,"REVISE","")</f>
        <v/>
      </c>
      <c r="F107" s="6">
        <f>COUNTIFS(Links!$B$2:$B$600,A107,Links!$D$2:$D$600,"No",Links!$C$2:$C$600,"&lt;&gt;INFORMS")</f>
        <v/>
      </c>
      <c r="G107" s="13" t="inlineStr">
        <is>
          <t>DESK-ANALYSIS</t>
        </is>
      </c>
      <c r="H107" s="6" t="inlineStr">
        <is>
          <t>K17 Record repair &amp; procedure error</t>
        </is>
      </c>
      <c r="I107" s="6" t="inlineStr">
        <is>
          <t>G4 Before claims</t>
        </is>
      </c>
      <c r="J107" s="6" t="inlineStr">
        <is>
          <t>Normal</t>
        </is>
      </c>
      <c r="K107" s="6" t="n">
        <v>151</v>
      </c>
      <c r="L107" s="6" t="inlineStr">
        <is>
          <t>W2 Desk work (no model runs)</t>
        </is>
      </c>
      <c r="M107" s="6" t="inlineStr">
        <is>
          <t>S15</t>
        </is>
      </c>
      <c r="N107" s="6" t="inlineStr">
        <is>
          <t>Lead + fresh reviewer</t>
        </is>
      </c>
      <c r="O107" s="6" t="inlineStr">
        <is>
          <t>Lead computes or writes it (no model runs)</t>
        </is>
      </c>
      <c r="P107" s="6" t="inlineStr">
        <is>
          <t>Partly</t>
        </is>
      </c>
      <c r="Q107" s="6" t="inlineStr">
        <is>
          <t>Scientific unknown</t>
        </is>
      </c>
      <c r="R107" s="6" t="inlineStr">
        <is>
          <t>Sub-item</t>
        </is>
      </c>
      <c r="S107" s="6" t="inlineStr">
        <is>
          <t>C-R03</t>
        </is>
      </c>
      <c r="T107" s="6" t="inlineStr">
        <is>
          <t>SRC-06 C26: cost-algebra fit and one unreviewed numerical slip (141 vs about 115 turns in v2).</t>
        </is>
      </c>
      <c r="U107" s="6" t="inlineStr">
        <is>
          <t>The v4-04 cost-ratio table was recomputed and matches; the earlier 141-vs-115 slip is not shown corrected.</t>
        </is>
      </c>
      <c r="V107" s="6" t="inlineStr">
        <is>
          <t>Closed-form algebra rechecked by a second reader.</t>
        </is>
      </c>
      <c r="W107" s="6" t="inlineStr"/>
      <c r="X107" s="6" t="inlineStr"/>
      <c r="Y107" s="6" t="inlineStr">
        <is>
          <t>Q-U26</t>
        </is>
      </c>
      <c r="Z107" s="6" t="inlineStr"/>
      <c r="AA107" s="6" t="inlineStr"/>
      <c r="AB107" s="6" t="inlineStr">
        <is>
          <t>RECORD+DATA</t>
        </is>
      </c>
      <c r="AC107" s="6" t="inlineStr">
        <is>
          <t>n/a (sub-item)</t>
        </is>
      </c>
      <c r="AD107" s="6" t="inlineStr">
        <is>
          <t>NEW (SRC-11 sub-row)</t>
        </is>
      </c>
      <c r="AE107" s="6" t="inlineStr">
        <is>
          <t>2026-10-19</t>
        </is>
      </c>
      <c r="AF107" s="6" t="inlineStr">
        <is>
          <t>v2-05 section 4; v4-04 section 3 (table recomputed in the review)</t>
        </is>
      </c>
      <c r="AG107" s="6" t="inlineStr"/>
      <c r="AH107" s="6" t="inlineStr">
        <is>
          <t>No</t>
        </is>
      </c>
      <c r="AI107" s="6" t="inlineStr"/>
      <c r="AJ107" s="6" t="inlineStr">
        <is>
          <t>SRC-11 section D4</t>
        </is>
      </c>
      <c r="AK107" s="6" t="inlineStr">
        <is>
          <t>SRC-06 C26</t>
        </is>
      </c>
      <c r="AL107" s="6" t="inlineStr">
        <is>
          <t>S15</t>
        </is>
      </c>
    </row>
    <row r="108" ht="115.5" customHeight="1">
      <c r="A108" s="5" t="inlineStr">
        <is>
          <t>C-R03/C27</t>
        </is>
      </c>
      <c r="B108" s="6" t="inlineStr">
        <is>
          <t>Four partly supported pivotal passages (V2, V3, V6, V8)</t>
        </is>
      </c>
      <c r="C108" s="6" t="inlineStr">
        <is>
          <t>DEFERRED</t>
        </is>
      </c>
      <c r="D108" s="6">
        <f>IFERROR(INDEX(Lists!$B$2:$B$14,MATCH(C108,Lists!$A$2:$A$14,0)),"?")</f>
        <v/>
      </c>
      <c r="E108" s="6">
        <f>IF(COUNTIFS(Links!$B$2:$B$600,A108,Links!$E$2:$E$600,"Yes")&gt;0,"REVISE","")</f>
        <v/>
      </c>
      <c r="F108" s="6">
        <f>COUNTIFS(Links!$B$2:$B$600,A108,Links!$D$2:$D$600,"No",Links!$C$2:$C$600,"&lt;&gt;INFORMS")</f>
        <v/>
      </c>
      <c r="G108" s="14" t="inlineStr">
        <is>
          <t>SOURCE-REREAD</t>
        </is>
      </c>
      <c r="H108" s="6" t="inlineStr">
        <is>
          <t>K17 Record repair &amp; procedure error</t>
        </is>
      </c>
      <c r="I108" s="6" t="inlineStr">
        <is>
          <t>G4 Before claims</t>
        </is>
      </c>
      <c r="J108" s="6" t="inlineStr">
        <is>
          <t>Normal</t>
        </is>
      </c>
      <c r="K108" s="6" t="n">
        <v>152</v>
      </c>
      <c r="L108" s="6" t="inlineStr">
        <is>
          <t>W2 Desk work (no model runs)</t>
        </is>
      </c>
      <c r="M108" s="6" t="inlineStr">
        <is>
          <t>S15</t>
        </is>
      </c>
      <c r="N108" s="6" t="inlineStr">
        <is>
          <t>Lead + fresh reviewer</t>
        </is>
      </c>
      <c r="O108" s="6" t="inlineStr">
        <is>
          <t>none until the trigger fires</t>
        </is>
      </c>
      <c r="P108" s="6" t="inlineStr">
        <is>
          <t>Partly</t>
        </is>
      </c>
      <c r="Q108" s="6" t="inlineStr">
        <is>
          <t>Source check</t>
        </is>
      </c>
      <c r="R108" s="6" t="inlineStr">
        <is>
          <t>Sub-item</t>
        </is>
      </c>
      <c r="S108" s="6" t="inlineStr">
        <is>
          <t>C-R03</t>
        </is>
      </c>
      <c r="T108" s="6" t="inlineStr">
        <is>
          <t>SRC-06 C27: four of the eight pivotal passages checked in v2 were only partly supported (V2 and V3 with a CANNOT DETERMINE component).</t>
        </is>
      </c>
      <c r="U108"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108" s="6" t="inlineStr">
        <is>
          <t>Each undetermined component resolved or labelled.</t>
        </is>
      </c>
      <c r="W108" s="6" t="inlineStr"/>
      <c r="X108" s="6" t="inlineStr"/>
      <c r="Y108" s="6" t="inlineStr"/>
      <c r="Z108" s="6" t="inlineStr"/>
      <c r="AA108" s="6" t="inlineStr"/>
      <c r="AB108" s="6" t="inlineStr">
        <is>
          <t>RECORD+DATA</t>
        </is>
      </c>
      <c r="AC108" s="6" t="inlineStr">
        <is>
          <t>n/a (sub-item)</t>
        </is>
      </c>
      <c r="AD108" s="6" t="inlineStr">
        <is>
          <t>NEW (SRC-11 sub-row)</t>
        </is>
      </c>
      <c r="AE108" s="6" t="inlineStr">
        <is>
          <t>2026-10-20</t>
        </is>
      </c>
      <c r="AF108" s="6" t="inlineStr">
        <is>
          <t>grep of design/package-v3 and design/package-v4 01-05 (lead, 2026-10-20)</t>
        </is>
      </c>
      <c r="AG108" s="6" t="inlineStr">
        <is>
          <t>C-S03/DEFUSAGE is answered, or a claim depends on a V2, V3, V6 or V8 passage</t>
        </is>
      </c>
      <c r="AH108" s="6" t="inlineStr">
        <is>
          <t>No</t>
        </is>
      </c>
      <c r="AI108" s="6" t="inlineStr"/>
      <c r="AJ108" s="6" t="inlineStr">
        <is>
          <t>SRC-11 section D4</t>
        </is>
      </c>
      <c r="AK108" s="6" t="inlineStr">
        <is>
          <t>SRC-06 C27</t>
        </is>
      </c>
      <c r="AL108" s="6" t="inlineStr">
        <is>
          <t>S15</t>
        </is>
      </c>
    </row>
    <row r="109" ht="300" customHeight="1">
      <c r="A109" s="5" t="inlineStr">
        <is>
          <t>C-R03/ROUND45-W</t>
        </is>
      </c>
      <c r="B109" s="6" t="inlineStr">
        <is>
          <t>Three wording problems in 05 rounds 4-5: in-sample AutoTailor, BFCL correlation, 'first measured cost effect of persisted memory'</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G4 Before claims</t>
        </is>
      </c>
      <c r="J109" s="6" t="inlineStr">
        <is>
          <t>Normal</t>
        </is>
      </c>
      <c r="K109" s="6" t="n">
        <v>156</v>
      </c>
      <c r="L109" s="6" t="inlineStr">
        <is>
          <t>W2 Desk work (no model runs)</t>
        </is>
      </c>
      <c r="M109" s="6" t="inlineStr">
        <is>
          <t>S15</t>
        </is>
      </c>
      <c r="N109" s="6" t="inlineStr">
        <is>
          <t>Lead drafts, you approve</t>
        </is>
      </c>
      <c r="O109" s="6" t="inlineStr">
        <is>
          <t>You approve the replacement wording</t>
        </is>
      </c>
      <c r="P109" s="6" t="inlineStr">
        <is>
          <t>Answered (see basis)</t>
        </is>
      </c>
      <c r="Q109" s="6" t="inlineStr">
        <is>
          <t>Record fix</t>
        </is>
      </c>
      <c r="R109" s="6" t="inlineStr">
        <is>
          <t>Sub-item</t>
        </is>
      </c>
      <c r="S109" s="6" t="inlineStr">
        <is>
          <t>C-R03/ROUND45</t>
        </is>
      </c>
      <c r="T109"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09"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109" s="6" t="inlineStr">
        <is>
          <t>05 states the in-sample calibration, hedges or recomputes the correlation without degenerate rows, and narrows the 'first' claim, or a successor note records it.</t>
        </is>
      </c>
      <c r="W109" s="6" t="inlineStr"/>
      <c r="X109" s="6" t="inlineStr"/>
      <c r="Y109" s="6" t="inlineStr"/>
      <c r="Z109" s="6" t="inlineStr"/>
      <c r="AA109" s="6" t="inlineStr"/>
      <c r="AB109" s="6" t="inlineStr">
        <is>
          <t>RECORD+DEC</t>
        </is>
      </c>
      <c r="AC109" s="6" t="inlineStr">
        <is>
          <t>n/a (sub-item)</t>
        </is>
      </c>
      <c r="AD109" s="6" t="inlineStr">
        <is>
          <t>NEW (repo sweep)</t>
        </is>
      </c>
      <c r="AE109" s="6" t="inlineStr">
        <is>
          <t>2026-10-20</t>
        </is>
      </c>
      <c r="AF109" s="6" t="inlineStr">
        <is>
          <t>design/package-v4/06-corrections-proposed.md section 3b; reviews/RV-0014.md, RV-0015.md, RV-0016.md (fresh reviewers, same model family, each read the source texts; RV-0014 and RV-0016 ended at their turn limit, drafts)</t>
        </is>
      </c>
      <c r="AG109" s="6" t="inlineStr"/>
      <c r="AH109" s="6" t="inlineStr">
        <is>
          <t>No (editing needs the human's approval)</t>
        </is>
      </c>
      <c r="AI109" s="6" t="inlineStr"/>
      <c r="AJ109" s="6" t="inlineStr">
        <is>
          <t>RV-0010 (Reviewer 6b2)</t>
        </is>
      </c>
      <c r="AK109" s="6" t="inlineStr"/>
      <c r="AL109" s="6" t="inlineStr">
        <is>
          <t>S15</t>
        </is>
      </c>
    </row>
    <row r="110" ht="300" customHeight="1">
      <c r="A110" s="5" t="inlineStr">
        <is>
          <t>C-R03/STUB</t>
        </is>
      </c>
      <c r="B110" s="6" t="inlineStr">
        <is>
          <t>Stub-schema effect on the 292K figure and 'Claude Code corpus' wording unverifiable</t>
        </is>
      </c>
      <c r="C110" s="6" t="inlineStr">
        <is>
          <t>DEFERRED</t>
        </is>
      </c>
      <c r="D110" s="6">
        <f>IFERROR(INDEX(Lists!$B$2:$B$14,MATCH(C110,Lists!$A$2:$A$14,0)),"?")</f>
        <v/>
      </c>
      <c r="E110" s="6">
        <f>IF(COUNTIFS(Links!$B$2:$B$600,A110,Links!$E$2:$E$600,"Yes")&gt;0,"REVISE","")</f>
        <v/>
      </c>
      <c r="F110" s="6">
        <f>COUNTIFS(Links!$B$2:$B$600,A110,Links!$D$2:$D$600,"No",Links!$C$2:$C$600,"&lt;&gt;INFORMS")</f>
        <v/>
      </c>
      <c r="G110" s="14" t="inlineStr">
        <is>
          <t>SOURCE-REREAD</t>
        </is>
      </c>
      <c r="H110" s="6" t="inlineStr">
        <is>
          <t>K17 Record repair &amp; procedure error</t>
        </is>
      </c>
      <c r="I110" s="6" t="inlineStr">
        <is>
          <t>G4 Before claims</t>
        </is>
      </c>
      <c r="J110" s="6" t="inlineStr">
        <is>
          <t>Normal</t>
        </is>
      </c>
      <c r="K110" s="6" t="n">
        <v>158</v>
      </c>
      <c r="L110" s="6" t="inlineStr">
        <is>
          <t>W2 Desk work (no model runs)</t>
        </is>
      </c>
      <c r="M110" s="6" t="inlineStr">
        <is>
          <t>S15</t>
        </is>
      </c>
      <c r="N110" s="6" t="inlineStr">
        <is>
          <t>Lead + fresh reviewer</t>
        </is>
      </c>
      <c r="O110" s="6" t="inlineStr">
        <is>
          <t>none until the trigger fires</t>
        </is>
      </c>
      <c r="P110" s="6" t="inlineStr">
        <is>
          <t>Yes - stored text, unread</t>
        </is>
      </c>
      <c r="Q110" s="6" t="inlineStr">
        <is>
          <t>Record fix</t>
        </is>
      </c>
      <c r="R110" s="6" t="inlineStr">
        <is>
          <t>Sub-item</t>
        </is>
      </c>
      <c r="S110" s="6" t="inlineStr">
        <is>
          <t>C-R03</t>
        </is>
      </c>
      <c r="T110"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10"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110" s="6" t="inlineStr">
        <is>
          <t>Each checked in the stored texts (s4c-g2-dynamicmcpbench, r3-promcp, r3-complexmcp).</t>
        </is>
      </c>
      <c r="W110" s="6" t="inlineStr"/>
      <c r="X110" s="6" t="inlineStr"/>
      <c r="Y110" s="6" t="inlineStr"/>
      <c r="Z110" s="6" t="inlineStr"/>
      <c r="AA110" s="6" t="inlineStr"/>
      <c r="AB110" s="6" t="inlineStr">
        <is>
          <t>RECORD+SOURCE</t>
        </is>
      </c>
      <c r="AC110" s="6" t="inlineStr">
        <is>
          <t>n/a (sub-item)</t>
        </is>
      </c>
      <c r="AD110" s="6" t="inlineStr">
        <is>
          <t>NEW (repo sweep)</t>
        </is>
      </c>
      <c r="AE110" s="6" t="inlineStr">
        <is>
          <t>2026-10-20</t>
        </is>
      </c>
      <c r="AF110" s="6" t="inlineStr">
        <is>
          <t>grep of design/package-v3 and design/package-v4 01-05 (lead, 2026-10-20)</t>
        </is>
      </c>
      <c r="AG110" s="6" t="inlineStr">
        <is>
          <t>The stub share or the effect on the 292k figure is to be used, or the phrase 'Claude Code corpus' is quoted</t>
        </is>
      </c>
      <c r="AH110" s="6" t="inlineStr">
        <is>
          <t>No</t>
        </is>
      </c>
      <c r="AI110" s="6" t="inlineStr"/>
      <c r="AJ110" s="6" t="inlineStr">
        <is>
          <t>repo: v4-03 section 6 / RV-0005 / RV-0007</t>
        </is>
      </c>
      <c r="AK110" s="6" t="inlineStr">
        <is>
          <t>SUM-0004</t>
        </is>
      </c>
      <c r="AL110" s="6" t="inlineStr">
        <is>
          <t>S15</t>
        </is>
      </c>
    </row>
    <row r="111" ht="300" customHeight="1">
      <c r="A111" s="5" t="inlineStr">
        <is>
          <t>N-17</t>
        </is>
      </c>
      <c r="B111" s="6" t="inlineStr">
        <is>
          <t>Challenge-record hygiene: 24 CH records still 'open'; fixes reported applied</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G4 Before claims</t>
        </is>
      </c>
      <c r="J111" s="6" t="inlineStr">
        <is>
          <t>Normal</t>
        </is>
      </c>
      <c r="K111" s="6" t="n">
        <v>159</v>
      </c>
      <c r="L111" s="6" t="inlineStr">
        <is>
          <t>W2 Desk work (no model runs)</t>
        </is>
      </c>
      <c r="M111" s="6" t="inlineStr">
        <is>
          <t>S15</t>
        </is>
      </c>
      <c r="N111" s="6" t="inlineStr">
        <is>
          <t>Lead + fresh reviewer</t>
        </is>
      </c>
      <c r="O111" s="6" t="inlineStr">
        <is>
          <t>Draft the answers to the ten residual records (rows N-17/UNANSWERED, N-17/WORDING) for your approval</t>
        </is>
      </c>
      <c r="P111" s="6" t="inlineStr">
        <is>
          <t>Answered (see basis)</t>
        </is>
      </c>
      <c r="Q111" s="6" t="inlineStr">
        <is>
          <t>Record fix</t>
        </is>
      </c>
      <c r="R111" s="6" t="inlineStr">
        <is>
          <t>Item</t>
        </is>
      </c>
      <c r="S111" s="6" t="inlineStr"/>
      <c r="T111" s="6" t="inlineStr">
        <is>
          <t>24 challenge records have front-matter status 'open' (CH-0038, 0040-0043, 0049, 0055, 0058-0074) although dispositions were reported applied in WD-022/023 and v4-05; the challenger did not re-check rounds 3-5 text; 49 others are 'conceded', 1 'withdrawn'.</t>
        </is>
      </c>
      <c r="U111"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11" s="6" t="inlineStr">
        <is>
          <t>Each record's status matches the text, with an independent re-check of the edits.</t>
        </is>
      </c>
      <c r="W111" s="6" t="inlineStr"/>
      <c r="X111" s="6" t="inlineStr"/>
      <c r="Y111" s="6" t="inlineStr"/>
      <c r="Z111" s="6" t="inlineStr"/>
      <c r="AA111" s="6" t="inlineStr"/>
      <c r="AB111" s="6" t="inlineStr">
        <is>
          <t>RECORD</t>
        </is>
      </c>
      <c r="AC111" s="6" t="inlineStr">
        <is>
          <t>n/a (new)</t>
        </is>
      </c>
      <c r="AD111" s="6" t="inlineStr">
        <is>
          <t>NEW (repo sweep)</t>
        </is>
      </c>
      <c r="AE111" s="6" t="inlineStr">
        <is>
          <t>2026-10-19</t>
        </is>
      </c>
      <c r="AF111" s="6" t="inlineStr">
        <is>
          <t>challenges/CH-0038..0071 (14 files, status and status_note lines); ops/AUTHORIZATIONS.md AUTH-017 (human, 2026-10-19); reviews/RV-0008.md</t>
        </is>
      </c>
      <c r="AG111" s="6" t="inlineStr"/>
      <c r="AH111" s="6" t="inlineStr">
        <is>
          <t>No</t>
        </is>
      </c>
      <c r="AI111" s="6" t="inlineStr"/>
      <c r="AJ111" s="6" t="inlineStr">
        <is>
          <t>repo: challenges/, reviews/RV-0005..0007</t>
        </is>
      </c>
      <c r="AK111" s="6" t="inlineStr">
        <is>
          <t>CH-0058, CH-0064, CH-0068, CH-0071, CH-0074, CH-0049, CH-0055</t>
        </is>
      </c>
      <c r="AL111" s="6" t="inlineStr">
        <is>
          <t>S15</t>
        </is>
      </c>
    </row>
    <row r="112" ht="290.5" customHeight="1">
      <c r="A112" s="5" t="inlineStr">
        <is>
          <t>N-17/UNANSWERED</t>
        </is>
      </c>
      <c r="B112" s="6" t="inlineStr">
        <is>
          <t>Eight objections in the 24 open challenge records are answered nowhere</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161</v>
      </c>
      <c r="L112" s="6" t="inlineStr">
        <is>
          <t>W2 Desk work (no model runs)</t>
        </is>
      </c>
      <c r="M112" s="6" t="inlineStr">
        <is>
          <t>S15</t>
        </is>
      </c>
      <c r="N112" s="6" t="inlineStr">
        <is>
          <t>Lead drafts, you approve</t>
        </is>
      </c>
      <c r="O112" s="6" t="inlineStr">
        <is>
          <t>You approve the drafting items and take or hand on the three decisions</t>
        </is>
      </c>
      <c r="P112" s="6" t="inlineStr">
        <is>
          <t>Answered (see basis)</t>
        </is>
      </c>
      <c r="Q112" s="6" t="inlineStr">
        <is>
          <t>Record fix</t>
        </is>
      </c>
      <c r="R112" s="6" t="inlineStr">
        <is>
          <t>Sub-item</t>
        </is>
      </c>
      <c r="S112" s="6" t="inlineStr">
        <is>
          <t>N-17</t>
        </is>
      </c>
      <c r="T112"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12"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12" s="6" t="inlineStr">
        <is>
          <t>Each objection is answered in the operative text, or recorded as accepted limitation or not applicable.</t>
        </is>
      </c>
      <c r="W112" s="6" t="inlineStr"/>
      <c r="X112" s="6" t="inlineStr"/>
      <c r="Y112" s="6" t="inlineStr"/>
      <c r="Z112" s="6" t="inlineStr"/>
      <c r="AA112" s="6" t="inlineStr"/>
      <c r="AB112" s="6" t="inlineStr">
        <is>
          <t>RECORD+DEC</t>
        </is>
      </c>
      <c r="AC112" s="6" t="inlineStr">
        <is>
          <t>n/a (sub-item)</t>
        </is>
      </c>
      <c r="AD112" s="6" t="inlineStr">
        <is>
          <t>NEW (repo sweep)</t>
        </is>
      </c>
      <c r="AE112" s="6" t="inlineStr">
        <is>
          <t>2026-10-20</t>
        </is>
      </c>
      <c r="AF112" s="6" t="inlineStr">
        <is>
          <t>design/package-v4/06-corrections-proposed.md section 4; reviews/RV-0008.md</t>
        </is>
      </c>
      <c r="AG112" s="6" t="inlineStr"/>
      <c r="AH112" s="6" t="inlineStr">
        <is>
          <t>No (editing needs the human's approval)</t>
        </is>
      </c>
      <c r="AI112" s="6" t="inlineStr"/>
      <c r="AJ112" s="6" t="inlineStr">
        <is>
          <t>RV-0008 (Reviewer 6a)</t>
        </is>
      </c>
      <c r="AK112" s="6" t="inlineStr"/>
      <c r="AL112" s="6" t="inlineStr">
        <is>
          <t>S15</t>
        </is>
      </c>
    </row>
    <row r="113" ht="300" customHeight="1">
      <c r="A113" s="5" t="inlineStr">
        <is>
          <t>N-17/WORDING</t>
        </is>
      </c>
      <c r="B113" s="6" t="inlineStr">
        <is>
          <t>Unhedged 'real gap' wording and three different counts in the literature summary and brief</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162</v>
      </c>
      <c r="L113" s="6" t="inlineStr">
        <is>
          <t>W2 Desk work (no model runs)</t>
        </is>
      </c>
      <c r="M113" s="6" t="inlineStr">
        <is>
          <t>S15</t>
        </is>
      </c>
      <c r="N113" s="6" t="inlineStr">
        <is>
          <t>Lead drafts, you approve</t>
        </is>
      </c>
      <c r="O113" s="6" t="inlineStr">
        <is>
          <t>You approve the replacement wording</t>
        </is>
      </c>
      <c r="P113" s="6" t="inlineStr">
        <is>
          <t>Answered (see basis)</t>
        </is>
      </c>
      <c r="Q113" s="6" t="inlineStr">
        <is>
          <t>Record fix</t>
        </is>
      </c>
      <c r="R113" s="6" t="inlineStr">
        <is>
          <t>Sub-item</t>
        </is>
      </c>
      <c r="S113" s="6" t="inlineStr">
        <is>
          <t>N-17</t>
        </is>
      </c>
      <c r="T113"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13"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113" s="6" t="inlineStr">
        <is>
          <t>The brief and 05 carry hedged wording ('no source found' not 'real gap') and one consistent count, or a successor note records both.</t>
        </is>
      </c>
      <c r="W113" s="6" t="inlineStr"/>
      <c r="X113" s="6" t="inlineStr"/>
      <c r="Y113" s="6" t="inlineStr"/>
      <c r="Z113" s="6" t="inlineStr"/>
      <c r="AA113" s="6" t="inlineStr"/>
      <c r="AB113" s="6" t="inlineStr">
        <is>
          <t>RECORD+DEC</t>
        </is>
      </c>
      <c r="AC113" s="6" t="inlineStr">
        <is>
          <t>n/a (sub-item)</t>
        </is>
      </c>
      <c r="AD113" s="6" t="inlineStr">
        <is>
          <t>NEW (repo sweep)</t>
        </is>
      </c>
      <c r="AE113" s="6" t="inlineStr">
        <is>
          <t>2026-10-20</t>
        </is>
      </c>
      <c r="AF113" s="6" t="inlineStr">
        <is>
          <t>design/package-v4/06-corrections-proposed.md section 3b</t>
        </is>
      </c>
      <c r="AG113" s="6" t="inlineStr"/>
      <c r="AH113" s="6" t="inlineStr">
        <is>
          <t>No (editing needs the human's approval)</t>
        </is>
      </c>
      <c r="AI113" s="6" t="inlineStr"/>
      <c r="AJ113" s="6" t="inlineStr">
        <is>
          <t>RV-0008 (Reviewer 6a) and lead check</t>
        </is>
      </c>
      <c r="AK113" s="6" t="inlineStr"/>
      <c r="AL113" s="6" t="inlineStr">
        <is>
          <t>S15</t>
        </is>
      </c>
    </row>
    <row r="114" ht="103" customHeight="1">
      <c r="A114" s="5" t="inlineStr">
        <is>
          <t>C-D09</t>
        </is>
      </c>
      <c r="B114" s="6" t="inlineStr">
        <is>
          <t>Authorization to run any experiment, smoke run or script (V3 E1-E8).</t>
        </is>
      </c>
      <c r="C114" s="6" t="inlineStr">
        <is>
          <t>OPEN</t>
        </is>
      </c>
      <c r="D114" s="6">
        <f>IFERROR(INDEX(Lists!$B$2:$B$14,MATCH(C114,Lists!$A$2:$A$14,0)),"?")</f>
        <v/>
      </c>
      <c r="E114" s="6">
        <f>IF(COUNTIFS(Links!$B$2:$B$600,A114,Links!$E$2:$E$600,"Yes")&gt;0,"REVISE","")</f>
        <v/>
      </c>
      <c r="F114" s="6">
        <f>COUNTIFS(Links!$B$2:$B$600,A114,Links!$D$2:$D$600,"No",Links!$C$2:$C$600,"&lt;&gt;INFORMS")</f>
        <v/>
      </c>
      <c r="G114" s="9" t="inlineStr">
        <is>
          <t>USER-DECISION</t>
        </is>
      </c>
      <c r="H114" s="6" t="inlineStr">
        <is>
          <t>K6 Deliverable &amp; authorization</t>
        </is>
      </c>
      <c r="I114" s="6" t="inlineStr">
        <is>
          <t>G1 Before any implementation</t>
        </is>
      </c>
      <c r="J114" s="6" t="inlineStr">
        <is>
          <t>High</t>
        </is>
      </c>
      <c r="K114" s="6" t="n">
        <v>164</v>
      </c>
      <c r="L114" s="6" t="inlineStr">
        <is>
          <t>W3 Pilots (AUTH)</t>
        </is>
      </c>
      <c r="M114" s="6" t="inlineStr">
        <is>
          <t>S16</t>
        </is>
      </c>
      <c r="N114" s="6" t="inlineStr">
        <is>
          <t>You (v4 also wants the supervisor's approval and a budget)</t>
        </is>
      </c>
      <c r="O114" s="6" t="inlineStr">
        <is>
          <t>Authorize the first experiment (Q-U14)</t>
        </is>
      </c>
      <c r="P114" s="6" t="inlineStr">
        <is>
          <t>n/a</t>
        </is>
      </c>
      <c r="Q114" s="6" t="inlineStr">
        <is>
          <t>Decision</t>
        </is>
      </c>
      <c r="R114" s="6" t="inlineStr">
        <is>
          <t>Item</t>
        </is>
      </c>
      <c r="S114" s="6" t="inlineStr"/>
      <c r="T114" s="6" t="inlineStr">
        <is>
          <t>Authorization to run any experiment, smoke run or script (V3 E1-E8).</t>
        </is>
      </c>
      <c r="U114" s="6" t="inlineStr">
        <is>
          <t>None of AUTH-001..015 authorizes an experiment; AUTH-011 excludes pilots, AUTH-013 says no experiments. 2026-10-21 (AUTH-018): the supervisor's next step is experiments (INT-T-002 L426-L458); they need your authorization (an AUTH per pilot: provider, models, budget, what is recorded); the human noted a free university API with several models (REQ-U21-01).</t>
        </is>
      </c>
      <c r="V114" s="6" t="inlineStr">
        <is>
          <t>An AUTH row per pilot with provider, model, budget cap and what is recorded.</t>
        </is>
      </c>
      <c r="W114" s="6" t="inlineStr">
        <is>
          <t>C-D05, C-D08</t>
        </is>
      </c>
      <c r="X114" s="6" t="inlineStr">
        <is>
          <t>C-D13, C-D11</t>
        </is>
      </c>
      <c r="Y114" s="6" t="inlineStr">
        <is>
          <t>Q-J17, Q-U06, Q-U14</t>
        </is>
      </c>
      <c r="Z114" s="6" t="inlineStr">
        <is>
          <t>JOAA-DECISION</t>
        </is>
      </c>
      <c r="AA114" s="6" t="inlineStr">
        <is>
          <t>K11 End-to-end comparison</t>
        </is>
      </c>
      <c r="AB114" s="6" t="inlineStr">
        <is>
          <t>DEC</t>
        </is>
      </c>
      <c r="AC114" s="6" t="inlineStr">
        <is>
          <t>OPEN</t>
        </is>
      </c>
      <c r="AD114" s="6" t="inlineStr">
        <is>
          <t>UNCHANGED</t>
        </is>
      </c>
      <c r="AE114" s="6" t="inlineStr">
        <is>
          <t>2026-10-21</t>
        </is>
      </c>
      <c r="AF114" s="6" t="inlineStr">
        <is>
          <t>INT-T-002 (requirements/intake/2026-10-21-supervisor-meeting-2026-10-21-notes-and-transcript.md); mapping design/ledger/notes/MEETINGS-MAPPING-20261021.md checked line by line by FND-0035 and FND-0036; REGISTER section H</t>
        </is>
      </c>
      <c r="AG114" s="6" t="inlineStr"/>
      <c r="AH114" s="6" t="inlineStr">
        <is>
          <t>This is the AUTH</t>
        </is>
      </c>
      <c r="AI114" s="6" t="inlineStr"/>
      <c r="AJ114" s="6" t="inlineStr">
        <is>
          <t>SRC-11 canonical</t>
        </is>
      </c>
      <c r="AK114" s="6" t="inlineStr">
        <is>
          <t>SRC-06 D12, SRC-07 11</t>
        </is>
      </c>
      <c r="AL114" s="6" t="inlineStr">
        <is>
          <t>S16</t>
        </is>
      </c>
    </row>
    <row r="115" ht="40.5" customHeight="1">
      <c r="A115" s="5" t="inlineStr">
        <is>
          <t>C-S16</t>
        </is>
      </c>
      <c r="B115" s="6" t="inlineStr">
        <is>
          <t>Evaluation-vehicle biases (replay routes, stub distractors, 12-turn cap, reference-consistent subset) have ...</t>
        </is>
      </c>
      <c r="C115" s="6" t="inlineStr">
        <is>
          <t>OPEN</t>
        </is>
      </c>
      <c r="D115" s="6">
        <f>IFERROR(INDEX(Lists!$B$2:$B$14,MATCH(C115,Lists!$A$2:$A$14,0)),"?")</f>
        <v/>
      </c>
      <c r="E115" s="6">
        <f>IF(COUNTIFS(Links!$B$2:$B$600,A115,Links!$E$2:$E$600,"Yes")&gt;0,"REVISE","")</f>
        <v/>
      </c>
      <c r="F115" s="6">
        <f>COUNTIFS(Links!$B$2:$B$600,A115,Links!$D$2:$D$600,"No",Links!$C$2:$C$600,"&lt;&gt;INFORMS")</f>
        <v/>
      </c>
      <c r="G115" s="17" t="inlineStr">
        <is>
          <t>TEST-PILOT</t>
        </is>
      </c>
      <c r="H115" s="6" t="inlineStr">
        <is>
          <t>K13 Vehicle validity</t>
        </is>
      </c>
      <c r="I115" s="6" t="inlineStr">
        <is>
          <t>G2 Before the affected pilot/arm</t>
        </is>
      </c>
      <c r="J115" s="6" t="inlineStr">
        <is>
          <t>High</t>
        </is>
      </c>
      <c r="K115" s="6" t="n">
        <v>165</v>
      </c>
      <c r="L115" s="6" t="inlineStr">
        <is>
          <t>W3 Pilots (AUTH)</t>
        </is>
      </c>
      <c r="M115" s="6" t="inlineStr">
        <is>
          <t>S17</t>
        </is>
      </c>
      <c r="N115" s="6" t="inlineStr">
        <is>
          <t>Team</t>
        </is>
      </c>
      <c r="O115" s="6" t="inlineStr">
        <is>
          <t>Needs an AUTH and a protocol</t>
        </is>
      </c>
      <c r="P115" s="6" t="inlineStr">
        <is>
          <t>Partly</t>
        </is>
      </c>
      <c r="Q115" s="6" t="inlineStr">
        <is>
          <t>Scientific unknown</t>
        </is>
      </c>
      <c r="R115" s="6" t="inlineStr">
        <is>
          <t>Item</t>
        </is>
      </c>
      <c r="S115" s="6" t="inlineStr"/>
      <c r="T115" s="6" t="inlineStr">
        <is>
          <t>Evaluation-vehicle biases (replay routes, stub distractors, 12-turn cap, reference-consistent subset) have no measured effect.</t>
        </is>
      </c>
      <c r="U115" s="6" t="inlineStr">
        <is>
          <t>Documented (CAVEATS 3-4; 1,578 of 1,845 specs reference-consistent) but not run.</t>
        </is>
      </c>
      <c r="V115" s="6" t="inlineStr">
        <is>
          <t>Smoke run if the vehicle will carry a claim; otherwise limitation stated with scope.</t>
        </is>
      </c>
      <c r="W115" s="6" t="inlineStr">
        <is>
          <t>C-D08, C-D09</t>
        </is>
      </c>
      <c r="X115" s="6" t="inlineStr"/>
      <c r="Y115" s="6" t="inlineStr">
        <is>
          <t>Q-U03</t>
        </is>
      </c>
      <c r="Z115" s="6" t="inlineStr">
        <is>
          <t>ACCEPT-LIMITATION</t>
        </is>
      </c>
      <c r="AA115" s="6" t="inlineStr"/>
      <c r="AB115" s="6" t="inlineStr">
        <is>
          <t>DATA+BOUND</t>
        </is>
      </c>
      <c r="AC115" s="6" t="inlineStr">
        <is>
          <t>OPEN</t>
        </is>
      </c>
      <c r="AD115" s="6" t="inlineStr">
        <is>
          <t>UNCHANGED</t>
        </is>
      </c>
      <c r="AE115" s="6" t="inlineStr">
        <is>
          <t>2026-10-19</t>
        </is>
      </c>
      <c r="AF115" s="6" t="inlineStr">
        <is>
          <t>CAVEATS rows 3-4; v4-02 section 7</t>
        </is>
      </c>
      <c r="AG115" s="6" t="inlineStr"/>
      <c r="AH115" s="6" t="inlineStr">
        <is>
          <t>Yes</t>
        </is>
      </c>
      <c r="AI115" s="6" t="inlineStr"/>
      <c r="AJ115" s="6" t="inlineStr">
        <is>
          <t>SRC-11 canonical</t>
        </is>
      </c>
      <c r="AK115" s="6" t="inlineStr">
        <is>
          <t>SRC-06 S34, CAVEATS 3, CAVEATS 4</t>
        </is>
      </c>
      <c r="AL115" s="6" t="inlineStr">
        <is>
          <t>S17</t>
        </is>
      </c>
    </row>
    <row r="116" ht="28" customHeight="1">
      <c r="A116" s="5" t="inlineStr">
        <is>
          <t>C-X08</t>
        </is>
      </c>
      <c r="B116" s="6" t="inlineStr">
        <is>
          <t>Smoke execution of the evaluation vehicle that answers C-S16.</t>
        </is>
      </c>
      <c r="C116" s="6" t="inlineStr">
        <is>
          <t>UNRUN</t>
        </is>
      </c>
      <c r="D116" s="6">
        <f>IFERROR(INDEX(Lists!$B$2:$B$14,MATCH(C116,Lists!$A$2:$A$14,0)),"?")</f>
        <v/>
      </c>
      <c r="E116" s="6">
        <f>IF(COUNTIFS(Links!$B$2:$B$600,A116,Links!$E$2:$E$600,"Yes")&gt;0,"REVISE","")</f>
        <v/>
      </c>
      <c r="F116" s="6">
        <f>COUNTIFS(Links!$B$2:$B$600,A116,Links!$D$2:$D$600,"No",Links!$C$2:$C$600,"&lt;&gt;INFORMS")</f>
        <v/>
      </c>
      <c r="G116" s="17" t="inlineStr">
        <is>
          <t>TEST-PILOT</t>
        </is>
      </c>
      <c r="H116" s="6" t="inlineStr">
        <is>
          <t>K13 Vehicle validity</t>
        </is>
      </c>
      <c r="I116" s="6" t="inlineStr">
        <is>
          <t>G2 Before the affected pilot/arm</t>
        </is>
      </c>
      <c r="J116" s="6" t="inlineStr">
        <is>
          <t>High</t>
        </is>
      </c>
      <c r="K116" s="6" t="n">
        <v>166</v>
      </c>
      <c r="L116" s="6" t="inlineStr">
        <is>
          <t>W3 Pilots (AUTH)</t>
        </is>
      </c>
      <c r="M116" s="6" t="inlineStr">
        <is>
          <t>S17</t>
        </is>
      </c>
      <c r="N116" s="6" t="inlineStr">
        <is>
          <t>Team</t>
        </is>
      </c>
      <c r="O116" s="6" t="inlineStr">
        <is>
          <t>Needs an AUTH and a protocol</t>
        </is>
      </c>
      <c r="P116" s="6" t="inlineStr">
        <is>
          <t>No</t>
        </is>
      </c>
      <c r="Q116" s="6" t="inlineStr">
        <is>
          <t>Test</t>
        </is>
      </c>
      <c r="R116" s="6" t="inlineStr">
        <is>
          <t>Check</t>
        </is>
      </c>
      <c r="S116" s="6" t="inlineStr"/>
      <c r="T116" s="6" t="inlineStr">
        <is>
          <t>Smoke execution of the evaluation vehicle that answers C-S16.</t>
        </is>
      </c>
      <c r="U116" s="6" t="inlineStr">
        <is>
          <t>Not run; do it only if the vehicle will be used and differs from any earlier vehicle.</t>
        </is>
      </c>
      <c r="V116" s="6" t="inlineStr">
        <is>
          <t>Same as C-S16.</t>
        </is>
      </c>
      <c r="W116" s="6" t="inlineStr">
        <is>
          <t>C-D08, C-D09</t>
        </is>
      </c>
      <c r="X116" s="6" t="inlineStr"/>
      <c r="Y116" s="6" t="inlineStr"/>
      <c r="Z116" s="6" t="inlineStr"/>
      <c r="AA116" s="6" t="inlineStr"/>
      <c r="AB116" s="6" t="inlineStr">
        <is>
          <t>DATA</t>
        </is>
      </c>
      <c r="AC116" s="6" t="inlineStr">
        <is>
          <t>NO RESULT - OPEN</t>
        </is>
      </c>
      <c r="AD116" s="6" t="inlineStr">
        <is>
          <t>UNCHANGED</t>
        </is>
      </c>
      <c r="AE116" s="6" t="inlineStr">
        <is>
          <t>2026-10-19</t>
        </is>
      </c>
      <c r="AF116" s="6" t="inlineStr">
        <is>
          <t>CAVEATS rows 3-4</t>
        </is>
      </c>
      <c r="AG116" s="6" t="inlineStr"/>
      <c r="AH116" s="6" t="inlineStr">
        <is>
          <t>Yes</t>
        </is>
      </c>
      <c r="AI116" s="6" t="inlineStr"/>
      <c r="AJ116" s="6" t="inlineStr">
        <is>
          <t>SRC-11 canonical</t>
        </is>
      </c>
      <c r="AK116" s="6" t="inlineStr">
        <is>
          <t>smoke run</t>
        </is>
      </c>
      <c r="AL116" s="6" t="inlineStr">
        <is>
          <t>S17</t>
        </is>
      </c>
    </row>
    <row r="117" ht="203" customHeight="1">
      <c r="A117" s="5" t="inlineStr">
        <is>
          <t>C-S03/DEFUSAGE</t>
        </is>
      </c>
      <c r="B117" s="6" t="inlineStr">
        <is>
          <t>Do deferred or withdrawn definitions count in provider usage and the bill?</t>
        </is>
      </c>
      <c r="C117" s="6" t="inlineStr">
        <is>
          <t>PARTLY ANSWERED</t>
        </is>
      </c>
      <c r="D117" s="6">
        <f>IFERROR(INDEX(Lists!$B$2:$B$14,MATCH(C117,Lists!$A$2:$A$14,0)),"?")</f>
        <v/>
      </c>
      <c r="E117" s="6">
        <f>IF(COUNTIFS(Links!$B$2:$B$600,A117,Links!$E$2:$E$600,"Yes")&gt;0,"REVISE","")</f>
        <v/>
      </c>
      <c r="F117" s="6">
        <f>COUNTIFS(Links!$B$2:$B$600,A117,Links!$D$2:$D$600,"No",Links!$C$2:$C$600,"&lt;&gt;INFORMS")</f>
        <v/>
      </c>
      <c r="G117" s="17" t="inlineStr">
        <is>
          <t>TEST-PILOT</t>
        </is>
      </c>
      <c r="H117" s="6" t="inlineStr">
        <is>
          <t>K9 Cache &amp; billing</t>
        </is>
      </c>
      <c r="I117" s="6" t="inlineStr">
        <is>
          <t>G3 Before confirmatory study</t>
        </is>
      </c>
      <c r="J117" s="6" t="inlineStr">
        <is>
          <t>Normal</t>
        </is>
      </c>
      <c r="K117" s="6" t="n">
        <v>167</v>
      </c>
      <c r="L117" s="6" t="inlineStr">
        <is>
          <t>W3 Pilots (AUTH)</t>
        </is>
      </c>
      <c r="M117" s="6" t="inlineStr">
        <is>
          <t>S18</t>
        </is>
      </c>
      <c r="N117" s="6" t="inlineStr">
        <is>
          <t>Team / provider</t>
        </is>
      </c>
      <c r="O117" s="6" t="inlineStr">
        <is>
          <t>Read the OpenAI tool-search usage text; otherwise answer by the billing probe (pilot A)</t>
        </is>
      </c>
      <c r="P117" s="6" t="inlineStr">
        <is>
          <t>Partly</t>
        </is>
      </c>
      <c r="Q117" s="6" t="inlineStr">
        <is>
          <t>Scientific unknown</t>
        </is>
      </c>
      <c r="R117" s="6" t="inlineStr">
        <is>
          <t>Sub-item</t>
        </is>
      </c>
      <c r="S117" s="6" t="inlineStr">
        <is>
          <t>C-S03</t>
        </is>
      </c>
      <c r="T117" s="6" t="inlineStr">
        <is>
          <t>Whether provider-reported usage and billing count deferred or withdrawn definitions is not stated in any stored extract; v2 steward V2 'CANNOT DETERMINE'; EXT-0009 says every definition is still sent in the tools array each request.</t>
        </is>
      </c>
      <c r="U117"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17" s="6" t="inlineStr">
        <is>
          <t>Usage records of a matched pair (with and without a deferred block) on one provider.</t>
        </is>
      </c>
      <c r="W117" s="6" t="inlineStr">
        <is>
          <t>C-D09, C-D08</t>
        </is>
      </c>
      <c r="X117" s="6" t="inlineStr"/>
      <c r="Y117" s="6" t="inlineStr"/>
      <c r="Z117" s="6" t="inlineStr"/>
      <c r="AA117" s="6" t="inlineStr"/>
      <c r="AB117" s="6" t="inlineStr">
        <is>
          <t>DATA+SOURCE</t>
        </is>
      </c>
      <c r="AC117" s="6" t="inlineStr">
        <is>
          <t>n/a (sub-item)</t>
        </is>
      </c>
      <c r="AD117" s="6" t="inlineStr">
        <is>
          <t>NEW (SRC-11 sub-row)</t>
        </is>
      </c>
      <c r="AE117" s="6" t="inlineStr">
        <is>
          <t>2026-10-19</t>
        </is>
      </c>
      <c r="AF117" s="6" t="inlineStr">
        <is>
          <t>FND-0019 (findings/SUM-0021); stored texts evidence/literature-20261019/lit-cursor-forum-*.txt (3), lit-ccissue-59650-deferred-cache-reads.txt, lit-ccissue-30920-defer-cachecontrol.txt, lit-toolhop-2501.02506v4.txt</t>
        </is>
      </c>
      <c r="AG117" s="6" t="inlineStr"/>
      <c r="AH117" s="6" t="inlineStr">
        <is>
          <t>Yes</t>
        </is>
      </c>
      <c r="AI117" s="6" t="inlineStr"/>
      <c r="AJ117" s="6" t="inlineStr">
        <is>
          <t>repo: v4-05 section 1A / v2-05 / v3-04</t>
        </is>
      </c>
      <c r="AK117" s="6" t="inlineStr">
        <is>
          <t>v2-05 row 3, v3-04 section 5</t>
        </is>
      </c>
      <c r="AL117" s="6" t="inlineStr">
        <is>
          <t>S18</t>
        </is>
      </c>
    </row>
    <row r="118" ht="278" customHeight="1">
      <c r="A118" s="5" t="inlineStr">
        <is>
          <t>C-S03/EXCEPTIONS</t>
        </is>
      </c>
      <c r="B118" s="6" t="inlineStr">
        <is>
          <t>Documented cache exceptions are untested</t>
        </is>
      </c>
      <c r="C118" s="6" t="inlineStr">
        <is>
          <t>PARTLY ANSWERED</t>
        </is>
      </c>
      <c r="D118" s="6">
        <f>IFERROR(INDEX(Lists!$B$2:$B$14,MATCH(C118,Lists!$A$2:$A$14,0)),"?")</f>
        <v/>
      </c>
      <c r="E118" s="6">
        <f>IF(COUNTIFS(Links!$B$2:$B$600,A118,Links!$E$2:$E$600,"Yes")&gt;0,"REVISE","")</f>
        <v/>
      </c>
      <c r="F118" s="6">
        <f>COUNTIFS(Links!$B$2:$B$600,A118,Links!$D$2:$D$600,"No",Links!$C$2:$C$600,"&lt;&gt;INFORMS")</f>
        <v/>
      </c>
      <c r="G118" s="17" t="inlineStr">
        <is>
          <t>TEST-PILOT</t>
        </is>
      </c>
      <c r="H118" s="6" t="inlineStr">
        <is>
          <t>K9 Cache &amp; billing</t>
        </is>
      </c>
      <c r="I118" s="6" t="inlineStr">
        <is>
          <t>G3 Before confirmatory study</t>
        </is>
      </c>
      <c r="J118" s="6" t="inlineStr">
        <is>
          <t>Normal</t>
        </is>
      </c>
      <c r="K118" s="6" t="n">
        <v>168</v>
      </c>
      <c r="L118" s="6" t="inlineStr">
        <is>
          <t>W3 Pilots (AUTH)</t>
        </is>
      </c>
      <c r="M118" s="6" t="inlineStr">
        <is>
          <t>S18</t>
        </is>
      </c>
      <c r="N118" s="6" t="inlineStr">
        <is>
          <t>Team / provider</t>
        </is>
      </c>
      <c r="O118" s="6" t="inlineStr">
        <is>
          <t>Include these exception cases in the billing probe (pilot A); the documented list itself is complete for the pages read</t>
        </is>
      </c>
      <c r="P118" s="6" t="inlineStr">
        <is>
          <t>Partly</t>
        </is>
      </c>
      <c r="Q118" s="6" t="inlineStr">
        <is>
          <t>Scientific unknown</t>
        </is>
      </c>
      <c r="R118" s="6" t="inlineStr">
        <is>
          <t>Sub-item</t>
        </is>
      </c>
      <c r="S118" s="6" t="inlineStr">
        <is>
          <t>C-S03</t>
        </is>
      </c>
      <c r="T118" s="6" t="inlineStr">
        <is>
          <t>Vendor-documented exceptions (e.g., a conversation with no non-deferred tool pays one full miss; a tool-search tool counts as non-deferred) have not been tested.</t>
        </is>
      </c>
      <c r="U118"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18" s="6" t="inlineStr">
        <is>
          <t>Exception cases included in the probe.</t>
        </is>
      </c>
      <c r="W118" s="6" t="inlineStr">
        <is>
          <t>C-D09, C-D08</t>
        </is>
      </c>
      <c r="X118" s="6" t="inlineStr"/>
      <c r="Y118" s="6" t="inlineStr"/>
      <c r="Z118" s="6" t="inlineStr"/>
      <c r="AA118" s="6" t="inlineStr"/>
      <c r="AB118" s="6" t="inlineStr">
        <is>
          <t>DATA+SOURCE</t>
        </is>
      </c>
      <c r="AC118" s="6" t="inlineStr">
        <is>
          <t>n/a (sub-item)</t>
        </is>
      </c>
      <c r="AD118" s="6" t="inlineStr">
        <is>
          <t>NEW (SRC-11 sub-row)</t>
        </is>
      </c>
      <c r="AE118" s="6" t="inlineStr">
        <is>
          <t>2026-10-19</t>
        </is>
      </c>
      <c r="AF118" s="6" t="inlineStr">
        <is>
          <t>FND-0008 (findings/SUM-0010); FND-0012 (findings/SUM-0014); EXT-0115, EXT-0131, EXT-0142, EXT-0158, EXT-0161</t>
        </is>
      </c>
      <c r="AG118" s="6" t="inlineStr"/>
      <c r="AH118" s="6" t="inlineStr">
        <is>
          <t>Yes</t>
        </is>
      </c>
      <c r="AI118" s="6" t="inlineStr"/>
      <c r="AJ118" s="6" t="inlineStr">
        <is>
          <t>repo: v4-05 section 1A / v2-05 / v3-04</t>
        </is>
      </c>
      <c r="AK118" s="6" t="inlineStr"/>
      <c r="AL118" s="6" t="inlineStr">
        <is>
          <t>S18</t>
        </is>
      </c>
    </row>
    <row r="119" ht="203" customHeight="1">
      <c r="A119" s="5" t="inlineStr">
        <is>
          <t>C-S03/MINCACHE</t>
        </is>
      </c>
      <c r="B119" s="6" t="inlineStr">
        <is>
          <t>Minimum cacheable length: a small restricted prefix may fall below the cache threshold</t>
        </is>
      </c>
      <c r="C119" s="6" t="inlineStr">
        <is>
          <t>PARTLY ANSWERED</t>
        </is>
      </c>
      <c r="D119" s="6">
        <f>IFERROR(INDEX(Lists!$B$2:$B$14,MATCH(C119,Lists!$A$2:$A$14,0)),"?")</f>
        <v/>
      </c>
      <c r="E119" s="6">
        <f>IF(COUNTIFS(Links!$B$2:$B$600,A119,Links!$E$2:$E$600,"Yes")&gt;0,"REVISE","")</f>
        <v/>
      </c>
      <c r="F119" s="6">
        <f>COUNTIFS(Links!$B$2:$B$600,A119,Links!$D$2:$D$600,"No",Links!$C$2:$C$600,"&lt;&gt;INFORMS")</f>
        <v/>
      </c>
      <c r="G119" s="17" t="inlineStr">
        <is>
          <t>TEST-PILOT</t>
        </is>
      </c>
      <c r="H119" s="6" t="inlineStr">
        <is>
          <t>K9 Cache &amp; billing</t>
        </is>
      </c>
      <c r="I119" s="6" t="inlineStr">
        <is>
          <t>G3 Before confirmatory study</t>
        </is>
      </c>
      <c r="J119" s="6" t="inlineStr">
        <is>
          <t>Normal</t>
        </is>
      </c>
      <c r="K119" s="6" t="n">
        <v>169</v>
      </c>
      <c r="L119" s="6" t="inlineStr">
        <is>
          <t>W3 Pilots (AUTH)</t>
        </is>
      </c>
      <c r="M119" s="6" t="inlineStr">
        <is>
          <t>S18</t>
        </is>
      </c>
      <c r="N119" s="6" t="inlineStr">
        <is>
          <t>Team / provider</t>
        </is>
      </c>
      <c r="O119" s="6" t="inlineStr">
        <is>
          <t>Fold into the billing probe (pilot A): measure a prefix just below and above the minimum for the chosen model</t>
        </is>
      </c>
      <c r="P119" s="6" t="inlineStr">
        <is>
          <t>Partly</t>
        </is>
      </c>
      <c r="Q119" s="6" t="inlineStr">
        <is>
          <t>Scientific unknown</t>
        </is>
      </c>
      <c r="R119" s="6" t="inlineStr">
        <is>
          <t>Sub-item</t>
        </is>
      </c>
      <c r="S119" s="6" t="inlineStr">
        <is>
          <t>C-S03</t>
        </is>
      </c>
      <c r="T119" s="6" t="inlineStr">
        <is>
          <t>Cache study: minimum cacheable length 1,024-4,096 tokens by provider; a small restricted prefix can fall under it and lose caching entirely.</t>
        </is>
      </c>
      <c r="U119"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19" s="6" t="inlineStr">
        <is>
          <t>Threshold measured per provider/model.</t>
        </is>
      </c>
      <c r="W119" s="6" t="inlineStr">
        <is>
          <t>C-D09, C-D08</t>
        </is>
      </c>
      <c r="X119" s="6" t="inlineStr"/>
      <c r="Y119" s="6" t="inlineStr"/>
      <c r="Z119" s="6" t="inlineStr"/>
      <c r="AA119" s="6" t="inlineStr"/>
      <c r="AB119" s="6" t="inlineStr">
        <is>
          <t>DATA</t>
        </is>
      </c>
      <c r="AC119" s="6" t="inlineStr">
        <is>
          <t>n/a (sub-item)</t>
        </is>
      </c>
      <c r="AD119" s="6" t="inlineStr">
        <is>
          <t>NEW (SRC-11 sub-row)</t>
        </is>
      </c>
      <c r="AE119" s="6" t="inlineStr">
        <is>
          <t>2026-10-19</t>
        </is>
      </c>
      <c r="AF119" s="6" t="inlineStr">
        <is>
          <t>FND-0008 (findings/SUM-0010); FND-0012 (findings/SUM-0014); EXT-0137, EXT-0141, EXT-0142, EXT-0150</t>
        </is>
      </c>
      <c r="AG119" s="6" t="inlineStr"/>
      <c r="AH119" s="6" t="inlineStr">
        <is>
          <t>Yes</t>
        </is>
      </c>
      <c r="AI119" s="6" t="inlineStr"/>
      <c r="AJ119" s="6" t="inlineStr">
        <is>
          <t>repo: v4-05 section 1A / v2-05 / v3-04</t>
        </is>
      </c>
      <c r="AK119" s="6" t="inlineStr"/>
      <c r="AL119" s="6" t="inlineStr">
        <is>
          <t>S18</t>
        </is>
      </c>
    </row>
    <row r="120" ht="40.5" customHeight="1">
      <c r="A120" s="5" t="inlineStr">
        <is>
          <t>C-S06</t>
        </is>
      </c>
      <c r="B120" s="6" t="inlineStr">
        <is>
          <t>Output-side vs definition-side savings, harness variance, model/tokenizer drift: no equal-success controlle...</t>
        </is>
      </c>
      <c r="C120" s="6" t="inlineStr">
        <is>
          <t>OPEN</t>
        </is>
      </c>
      <c r="D120" s="6">
        <f>IFERROR(INDEX(Lists!$B$2:$B$14,MATCH(C120,Lists!$A$2:$A$14,0)),"?")</f>
        <v/>
      </c>
      <c r="E120" s="6">
        <f>IF(COUNTIFS(Links!$B$2:$B$600,A120,Links!$E$2:$E$600,"Yes")&gt;0,"REVISE","")</f>
        <v/>
      </c>
      <c r="F120" s="6">
        <f>COUNTIFS(Links!$B$2:$B$600,A120,Links!$D$2:$D$600,"No",Links!$C$2:$C$600,"&lt;&gt;INFORMS")</f>
        <v/>
      </c>
      <c r="G120" s="17" t="inlineStr">
        <is>
          <t>TEST-PILOT</t>
        </is>
      </c>
      <c r="H120" s="6" t="inlineStr">
        <is>
          <t>K9 Cache &amp; billing</t>
        </is>
      </c>
      <c r="I120" s="6" t="inlineStr">
        <is>
          <t>G4 Before claims</t>
        </is>
      </c>
      <c r="J120" s="6" t="inlineStr">
        <is>
          <t>Normal</t>
        </is>
      </c>
      <c r="K120" s="6" t="n">
        <v>170</v>
      </c>
      <c r="L120" s="6" t="inlineStr">
        <is>
          <t>W3 Pilots (AUTH)</t>
        </is>
      </c>
      <c r="M120" s="6" t="inlineStr">
        <is>
          <t>S18</t>
        </is>
      </c>
      <c r="N120" s="6" t="inlineStr">
        <is>
          <t>Team</t>
        </is>
      </c>
      <c r="O120" s="6" t="inlineStr">
        <is>
          <t>Needs an AUTH and a protocol</t>
        </is>
      </c>
      <c r="P120" s="6" t="inlineStr">
        <is>
          <t>No</t>
        </is>
      </c>
      <c r="Q120" s="6" t="inlineStr">
        <is>
          <t>Scientific unknown</t>
        </is>
      </c>
      <c r="R120" s="6" t="inlineStr">
        <is>
          <t>Item</t>
        </is>
      </c>
      <c r="S120" s="6" t="inlineStr"/>
      <c r="T120" s="6" t="inlineStr">
        <is>
          <t>Output-side vs definition-side savings, harness variance, model/tokenizer drift: no equal-success controlled comparison.</t>
        </is>
      </c>
      <c r="U120" s="6" t="inlineStr">
        <is>
          <t>Output tokens enter the v4-04 cost model; BFCL cost column varies &gt;10x at similar accuracy (leaderboard snapshot).</t>
        </is>
      </c>
      <c r="V120" s="6" t="inlineStr">
        <is>
          <t>Versions fixed; trajectories compared; sensitivity reported (or deferred with trigger).</t>
        </is>
      </c>
      <c r="W120" s="6" t="inlineStr">
        <is>
          <t>C-D09, N-4</t>
        </is>
      </c>
      <c r="X120" s="6" t="inlineStr"/>
      <c r="Y120" s="6" t="inlineStr"/>
      <c r="Z120" s="6" t="inlineStr">
        <is>
          <t>TIME-RECHECK</t>
        </is>
      </c>
      <c r="AA120" s="6" t="inlineStr">
        <is>
          <t>K10 Token composition</t>
        </is>
      </c>
      <c r="AB120" s="6" t="inlineStr">
        <is>
          <t>DATA+TIME</t>
        </is>
      </c>
      <c r="AC120" s="6" t="inlineStr">
        <is>
          <t>OPEN</t>
        </is>
      </c>
      <c r="AD120" s="6" t="inlineStr">
        <is>
          <t>UNCHANGED</t>
        </is>
      </c>
      <c r="AE120" s="6" t="inlineStr">
        <is>
          <t>2026-10-19</t>
        </is>
      </c>
      <c r="AF120" s="6" t="inlineStr">
        <is>
          <t>v4-04 sections 2-3; v4-05 Round 5b</t>
        </is>
      </c>
      <c r="AG120" s="6" t="inlineStr">
        <is>
          <t>When a provider/model is chosen</t>
        </is>
      </c>
      <c r="AH120" s="6" t="inlineStr">
        <is>
          <t>Yes</t>
        </is>
      </c>
      <c r="AI120" s="6" t="inlineStr"/>
      <c r="AJ120" s="6" t="inlineStr">
        <is>
          <t>SRC-11 canonical</t>
        </is>
      </c>
      <c r="AK120" s="6" t="inlineStr">
        <is>
          <t>SRC-06 S10, SRC-06 S11, SRC-06 S12</t>
        </is>
      </c>
      <c r="AL120" s="6" t="inlineStr">
        <is>
          <t>S18</t>
        </is>
      </c>
    </row>
    <row r="121" ht="53" customHeight="1">
      <c r="A121" s="5" t="inlineStr">
        <is>
          <t>N-21</t>
        </is>
      </c>
      <c r="B121" s="6" t="inlineStr">
        <is>
          <t>E1 scope: can E1 end only the token-saving line? (retained disagreement)</t>
        </is>
      </c>
      <c r="C121" s="6" t="inlineStr">
        <is>
          <t>OPEN</t>
        </is>
      </c>
      <c r="D121" s="6">
        <f>IFERROR(INDEX(Lists!$B$2:$B$14,MATCH(C121,Lists!$A$2:$A$14,0)),"?")</f>
        <v/>
      </c>
      <c r="E121" s="6">
        <f>IF(COUNTIFS(Links!$B$2:$B$600,A121,Links!$E$2:$E$600,"Yes")&gt;0,"REVISE","")</f>
        <v/>
      </c>
      <c r="F121" s="6">
        <f>COUNTIFS(Links!$B$2:$B$600,A121,Links!$D$2:$D$600,"No",Links!$C$2:$C$600,"&lt;&gt;INFORMS")</f>
        <v/>
      </c>
      <c r="G121" s="17" t="inlineStr">
        <is>
          <t>TEST-PILOT</t>
        </is>
      </c>
      <c r="H121" s="6" t="inlineStr">
        <is>
          <t>K10 Token composition</t>
        </is>
      </c>
      <c r="I121" s="6" t="inlineStr">
        <is>
          <t>G3 Before confirmatory study</t>
        </is>
      </c>
      <c r="J121" s="6" t="inlineStr">
        <is>
          <t>Normal</t>
        </is>
      </c>
      <c r="K121" s="6" t="n">
        <v>171</v>
      </c>
      <c r="L121" s="6" t="inlineStr">
        <is>
          <t>W3 Pilots (AUTH)</t>
        </is>
      </c>
      <c r="M121" s="6" t="inlineStr">
        <is>
          <t>S18</t>
        </is>
      </c>
      <c r="N121" s="6" t="inlineStr">
        <is>
          <t>Team + Joaa</t>
        </is>
      </c>
      <c r="O121" s="6" t="inlineStr">
        <is>
          <t>Needs an AUTH and a protocol</t>
        </is>
      </c>
      <c r="P121" s="6" t="inlineStr">
        <is>
          <t>No</t>
        </is>
      </c>
      <c r="Q121" s="6" t="inlineStr">
        <is>
          <t>Disagreement</t>
        </is>
      </c>
      <c r="R121" s="6" t="inlineStr">
        <is>
          <t>Sub-item</t>
        </is>
      </c>
      <c r="S121" s="6" t="inlineStr">
        <is>
          <t>C-S01</t>
        </is>
      </c>
      <c r="T121" s="6" t="inlineStr">
        <is>
          <t>Lead and challenger disagree in part: E1 can end the token-saving question for negligible-share configurations but not the feasibility question; both positions are kept in v4-02 section 8 and v4-03 section 5.</t>
        </is>
      </c>
      <c r="U121" s="6" t="inlineStr">
        <is>
          <t>Retained disagreement; resolved only by the E1 result and a Joaa decision on what 'ends the line' means.</t>
        </is>
      </c>
      <c r="V121" s="6" t="inlineStr">
        <is>
          <t>E1 run; consequence agreed.</t>
        </is>
      </c>
      <c r="W121" s="6" t="inlineStr">
        <is>
          <t>C-D09</t>
        </is>
      </c>
      <c r="X121" s="6" t="inlineStr"/>
      <c r="Y121" s="6" t="inlineStr"/>
      <c r="Z121" s="6" t="inlineStr"/>
      <c r="AA121" s="6" t="inlineStr"/>
      <c r="AB121" s="6" t="inlineStr">
        <is>
          <t>DATA</t>
        </is>
      </c>
      <c r="AC121" s="6" t="inlineStr">
        <is>
          <t>n/a (new)</t>
        </is>
      </c>
      <c r="AD121" s="6" t="inlineStr">
        <is>
          <t>NEW (repo sweep)</t>
        </is>
      </c>
      <c r="AE121" s="6" t="inlineStr">
        <is>
          <t>2026-10-19</t>
        </is>
      </c>
      <c r="AF121" s="6" t="inlineStr">
        <is>
          <t>v4-02 section 8; v4-03 section 5</t>
        </is>
      </c>
      <c r="AG121" s="6" t="inlineStr"/>
      <c r="AH121" s="6" t="inlineStr">
        <is>
          <t>Yes</t>
        </is>
      </c>
      <c r="AI121" s="6" t="inlineStr"/>
      <c r="AJ121" s="6" t="inlineStr">
        <is>
          <t>repo: v4-02 section 8; thread T-20261019-96</t>
        </is>
      </c>
      <c r="AK121" s="6" t="inlineStr"/>
      <c r="AL121" s="6" t="inlineStr">
        <is>
          <t>S18</t>
        </is>
      </c>
    </row>
    <row r="122" ht="103" customHeight="1">
      <c r="A122" s="5" t="inlineStr">
        <is>
          <t>C-S01</t>
        </is>
      </c>
      <c r="B122" s="6" t="inlineStr">
        <is>
          <t>What share of tokens in real trajectories is tool definitions vs system prompt, history, tool outputs, by o...</t>
        </is>
      </c>
      <c r="C122" s="6" t="inlineStr">
        <is>
          <t>OPEN</t>
        </is>
      </c>
      <c r="D122" s="6">
        <f>IFERROR(INDEX(Lists!$B$2:$B$14,MATCH(C122,Lists!$A$2:$A$14,0)),"?")</f>
        <v/>
      </c>
      <c r="E122" s="6">
        <f>IF(COUNTIFS(Links!$B$2:$B$600,A122,Links!$E$2:$E$600,"Yes")&gt;0,"REVISE","")</f>
        <v/>
      </c>
      <c r="F122" s="6">
        <f>COUNTIFS(Links!$B$2:$B$600,A122,Links!$D$2:$D$600,"No",Links!$C$2:$C$600,"&lt;&gt;INFORMS")</f>
        <v/>
      </c>
      <c r="G122" s="17" t="inlineStr">
        <is>
          <t>TEST-PILOT</t>
        </is>
      </c>
      <c r="H122" s="6" t="inlineStr">
        <is>
          <t>K10 Token composition</t>
        </is>
      </c>
      <c r="I122" s="6" t="inlineStr">
        <is>
          <t>G3 Before confirmatory study</t>
        </is>
      </c>
      <c r="J122" s="6" t="inlineStr">
        <is>
          <t>Normal</t>
        </is>
      </c>
      <c r="K122" s="6" t="n">
        <v>172</v>
      </c>
      <c r="L122" s="6" t="inlineStr">
        <is>
          <t>W3 Pilots (AUTH)</t>
        </is>
      </c>
      <c r="M122" s="6" t="inlineStr">
        <is>
          <t>S18</t>
        </is>
      </c>
      <c r="N122" s="6" t="inlineStr">
        <is>
          <t>Team</t>
        </is>
      </c>
      <c r="O122" s="6" t="inlineStr">
        <is>
          <t>Needs an AUTH and a protocol</t>
        </is>
      </c>
      <c r="P122" s="6" t="inlineStr">
        <is>
          <t>No</t>
        </is>
      </c>
      <c r="Q122" s="6" t="inlineStr">
        <is>
          <t>Scientific unknown</t>
        </is>
      </c>
      <c r="R122" s="6" t="inlineStr">
        <is>
          <t>Item</t>
        </is>
      </c>
      <c r="S122" s="6" t="inlineStr"/>
      <c r="T122" s="6" t="inlineStr">
        <is>
          <t>What share of tokens in real trajectories is tool definitions vs system prompt, history, tool outputs, by outcome?</t>
        </is>
      </c>
      <c r="U122"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22" s="6" t="inlineStr">
        <is>
          <t>Per-call provider usage split by category, size and outcome (E1); can end the token-saving line, not the feasibility line.</t>
        </is>
      </c>
      <c r="W122" s="6" t="inlineStr">
        <is>
          <t>C-D09, C-D08, C-S16</t>
        </is>
      </c>
      <c r="X122" s="6" t="inlineStr">
        <is>
          <t>C-D11, C-D02</t>
        </is>
      </c>
      <c r="Y122" s="6" t="inlineStr">
        <is>
          <t>Q-U03</t>
        </is>
      </c>
      <c r="Z122" s="6" t="inlineStr">
        <is>
          <t>DESK-ANALYSIS</t>
        </is>
      </c>
      <c r="AA122" s="6" t="inlineStr">
        <is>
          <t>K9 Cache &amp; billing</t>
        </is>
      </c>
      <c r="AB122" s="6" t="inlineStr">
        <is>
          <t>DATA</t>
        </is>
      </c>
      <c r="AC122" s="6" t="inlineStr">
        <is>
          <t>OPEN</t>
        </is>
      </c>
      <c r="AD122" s="6" t="inlineStr">
        <is>
          <t>UNCHANGED</t>
        </is>
      </c>
      <c r="AE122" s="6" t="inlineStr">
        <is>
          <t>2026-10-19</t>
        </is>
      </c>
      <c r="AF122" s="6" t="inlineStr">
        <is>
          <t>v4-02 section 8; v4-05 section 3</t>
        </is>
      </c>
      <c r="AG122" s="6" t="inlineStr"/>
      <c r="AH122" s="6" t="inlineStr">
        <is>
          <t>Yes</t>
        </is>
      </c>
      <c r="AI122" s="6" t="inlineStr"/>
      <c r="AJ122" s="6" t="inlineStr">
        <is>
          <t>SRC-11 canonical</t>
        </is>
      </c>
      <c r="AK122" s="6" t="inlineStr">
        <is>
          <t>SRC-06 S02, SRC-06 S39, SRC-07 12, v3-04 E1</t>
        </is>
      </c>
      <c r="AL122" s="6" t="inlineStr">
        <is>
          <t>S18</t>
        </is>
      </c>
    </row>
    <row r="123" ht="253" customHeight="1">
      <c r="A123" s="5" t="inlineStr">
        <is>
          <t>C-S03</t>
        </is>
      </c>
      <c r="B123" s="6" t="inlineStr">
        <is>
          <t>Cache and billing behaviour of deferred or appended tool definitions: hit rate, effective multiplier, clien...</t>
        </is>
      </c>
      <c r="C123" s="6" t="inlineStr">
        <is>
          <t>PARTLY ANSWERED</t>
        </is>
      </c>
      <c r="D123" s="6">
        <f>IFERROR(INDEX(Lists!$B$2:$B$14,MATCH(C123,Lists!$A$2:$A$14,0)),"?")</f>
        <v/>
      </c>
      <c r="E123" s="6">
        <f>IF(COUNTIFS(Links!$B$2:$B$600,A123,Links!$E$2:$E$600,"Yes")&gt;0,"REVISE","")</f>
        <v/>
      </c>
      <c r="F123" s="6">
        <f>COUNTIFS(Links!$B$2:$B$600,A123,Links!$D$2:$D$600,"No",Links!$C$2:$C$600,"&lt;&gt;INFORMS")</f>
        <v/>
      </c>
      <c r="G123" s="17" t="inlineStr">
        <is>
          <t>TEST-PILOT</t>
        </is>
      </c>
      <c r="H123" s="6" t="inlineStr">
        <is>
          <t>K9 Cache &amp; billing</t>
        </is>
      </c>
      <c r="I123" s="6" t="inlineStr">
        <is>
          <t>G3 Before confirmatory study</t>
        </is>
      </c>
      <c r="J123" s="6" t="inlineStr">
        <is>
          <t>Normal</t>
        </is>
      </c>
      <c r="K123" s="6" t="n">
        <v>173</v>
      </c>
      <c r="L123" s="6" t="inlineStr">
        <is>
          <t>W3 Pilots (AUTH)</t>
        </is>
      </c>
      <c r="M123" s="6" t="inlineStr">
        <is>
          <t>S18</t>
        </is>
      </c>
      <c r="N123" s="6" t="inlineStr">
        <is>
          <t>Team / provider</t>
        </is>
      </c>
      <c r="O123" s="6" t="inlineStr">
        <is>
          <t>Needs an AUTH and a protocol</t>
        </is>
      </c>
      <c r="P123" s="6" t="inlineStr">
        <is>
          <t>Partly</t>
        </is>
      </c>
      <c r="Q123" s="6" t="inlineStr">
        <is>
          <t>Scientific unknown</t>
        </is>
      </c>
      <c r="R123" s="6" t="inlineStr">
        <is>
          <t>Item</t>
        </is>
      </c>
      <c r="S123" s="6" t="inlineStr"/>
      <c r="T123"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23"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23" s="6" t="inlineStr">
        <is>
          <t>Matched trajectories on one named provider, model, TTL and layout with full usage records; scope of the claim stated.</t>
        </is>
      </c>
      <c r="W123" s="6" t="inlineStr">
        <is>
          <t>C-D09, C-D08, C-E05, C-S16</t>
        </is>
      </c>
      <c r="X123" s="6" t="inlineStr">
        <is>
          <t>C-D11</t>
        </is>
      </c>
      <c r="Y123" s="6" t="inlineStr">
        <is>
          <t>Q-J26</t>
        </is>
      </c>
      <c r="Z123" s="6" t="inlineStr">
        <is>
          <t>SOURCE-REREAD, TIME-RECHECK</t>
        </is>
      </c>
      <c r="AA123" s="6" t="inlineStr">
        <is>
          <t>K15 Expiring provider facts</t>
        </is>
      </c>
      <c r="AB123" s="6" t="inlineStr">
        <is>
          <t>DATA+TIME</t>
        </is>
      </c>
      <c r="AC123" s="6" t="inlineStr">
        <is>
          <t>OPEN</t>
        </is>
      </c>
      <c r="AD123" s="6" t="inlineStr">
        <is>
          <t>NARROWED</t>
        </is>
      </c>
      <c r="AE123" s="6" t="inlineStr">
        <is>
          <t>2026-10-19</t>
        </is>
      </c>
      <c r="AF123" s="6" t="inlineStr">
        <is>
          <t>v4-05 section 1A; EXT-0093/0096/0066; HYP-0009</t>
        </is>
      </c>
      <c r="AG123" s="6" t="inlineStr"/>
      <c r="AH123" s="6" t="inlineStr">
        <is>
          <t>Yes</t>
        </is>
      </c>
      <c r="AI123" s="6" t="inlineStr"/>
      <c r="AJ123" s="6" t="inlineStr">
        <is>
          <t>SRC-11 canonical</t>
        </is>
      </c>
      <c r="AK123" s="6" t="inlineStr">
        <is>
          <t>SRC-06 S03, SRC-06 S04, SRC-06 S08, HYP-0007, HYP-0009, RA12, CH-0065, CH-0066, Joaa 19 Oct 12:25 (explored information kept in cache)</t>
        </is>
      </c>
      <c r="AL123" s="6" t="inlineStr">
        <is>
          <t>S18</t>
        </is>
      </c>
    </row>
    <row r="124" ht="28" customHeight="1">
      <c r="A124" s="5" t="inlineStr">
        <is>
          <t>C-X01</t>
        </is>
      </c>
      <c r="B124" s="6" t="inlineStr">
        <is>
          <t>E1: the token-composition test that answers C-S01.</t>
        </is>
      </c>
      <c r="C124" s="6" t="inlineStr">
        <is>
          <t>UNRUN</t>
        </is>
      </c>
      <c r="D124" s="6">
        <f>IFERROR(INDEX(Lists!$B$2:$B$14,MATCH(C124,Lists!$A$2:$A$14,0)),"?")</f>
        <v/>
      </c>
      <c r="E124" s="6">
        <f>IF(COUNTIFS(Links!$B$2:$B$600,A124,Links!$E$2:$E$600,"Yes")&gt;0,"REVISE","")</f>
        <v/>
      </c>
      <c r="F124" s="6">
        <f>COUNTIFS(Links!$B$2:$B$600,A124,Links!$D$2:$D$600,"No",Links!$C$2:$C$600,"&lt;&gt;INFORMS")</f>
        <v/>
      </c>
      <c r="G124" s="17" t="inlineStr">
        <is>
          <t>TEST-PILOT</t>
        </is>
      </c>
      <c r="H124" s="6" t="inlineStr">
        <is>
          <t>K10 Token composition</t>
        </is>
      </c>
      <c r="I124" s="6" t="inlineStr">
        <is>
          <t>G3 Before confirmatory study</t>
        </is>
      </c>
      <c r="J124" s="6" t="inlineStr">
        <is>
          <t>Normal</t>
        </is>
      </c>
      <c r="K124" s="6" t="n">
        <v>174</v>
      </c>
      <c r="L124" s="6" t="inlineStr">
        <is>
          <t>W3 Pilots (AUTH)</t>
        </is>
      </c>
      <c r="M124" s="6" t="inlineStr">
        <is>
          <t>S18</t>
        </is>
      </c>
      <c r="N124" s="6" t="inlineStr">
        <is>
          <t>Team</t>
        </is>
      </c>
      <c r="O124" s="6" t="inlineStr">
        <is>
          <t>Needs an AUTH and a protocol</t>
        </is>
      </c>
      <c r="P124" s="6" t="inlineStr">
        <is>
          <t>No</t>
        </is>
      </c>
      <c r="Q124" s="6" t="inlineStr">
        <is>
          <t>Test</t>
        </is>
      </c>
      <c r="R124" s="6" t="inlineStr">
        <is>
          <t>Check</t>
        </is>
      </c>
      <c r="S124" s="6" t="inlineStr"/>
      <c r="T124" s="6" t="inlineStr">
        <is>
          <t>E1: the token-composition test that answers C-S01.</t>
        </is>
      </c>
      <c r="U124" s="6" t="inlineStr">
        <is>
          <t>Restated, not run; not authorized.</t>
        </is>
      </c>
      <c r="V124" s="6" t="inlineStr">
        <is>
          <t>Same as C-S01.</t>
        </is>
      </c>
      <c r="W124" s="6" t="inlineStr">
        <is>
          <t>C-D09, C-D08, C-S16</t>
        </is>
      </c>
      <c r="X124" s="6" t="inlineStr">
        <is>
          <t>C-D11</t>
        </is>
      </c>
      <c r="Y124" s="6" t="inlineStr"/>
      <c r="Z124" s="6" t="inlineStr"/>
      <c r="AA124" s="6" t="inlineStr">
        <is>
          <t>K9 Cache &amp; billing</t>
        </is>
      </c>
      <c r="AB124" s="6" t="inlineStr">
        <is>
          <t>DATA</t>
        </is>
      </c>
      <c r="AC124" s="6" t="inlineStr">
        <is>
          <t>NO RESULT - OPEN</t>
        </is>
      </c>
      <c r="AD124" s="6" t="inlineStr">
        <is>
          <t>UNCHANGED</t>
        </is>
      </c>
      <c r="AE124" s="6" t="inlineStr">
        <is>
          <t>2026-10-19</t>
        </is>
      </c>
      <c r="AF124" s="6" t="inlineStr">
        <is>
          <t>v4-02 section 8</t>
        </is>
      </c>
      <c r="AG124" s="6" t="inlineStr"/>
      <c r="AH124" s="6" t="inlineStr">
        <is>
          <t>Yes</t>
        </is>
      </c>
      <c r="AI124" s="6" t="inlineStr"/>
      <c r="AJ124" s="6" t="inlineStr">
        <is>
          <t>SRC-11 canonical</t>
        </is>
      </c>
      <c r="AK124" s="6" t="inlineStr">
        <is>
          <t>E1</t>
        </is>
      </c>
      <c r="AL124" s="6" t="inlineStr">
        <is>
          <t>S18</t>
        </is>
      </c>
    </row>
    <row r="125" ht="28" customHeight="1">
      <c r="A125" s="5" t="inlineStr">
        <is>
          <t>C-X07</t>
        </is>
      </c>
      <c r="B125" s="6" t="inlineStr">
        <is>
          <t>E7: billed-cost and cache probe that answers C-S03 (and feeds C-S02/S04).</t>
        </is>
      </c>
      <c r="C125" s="6" t="inlineStr">
        <is>
          <t>UNRUN</t>
        </is>
      </c>
      <c r="D125" s="6">
        <f>IFERROR(INDEX(Lists!$B$2:$B$14,MATCH(C125,Lists!$A$2:$A$14,0)),"?")</f>
        <v/>
      </c>
      <c r="E125" s="6">
        <f>IF(COUNTIFS(Links!$B$2:$B$600,A125,Links!$E$2:$E$600,"Yes")&gt;0,"REVISE","")</f>
        <v/>
      </c>
      <c r="F125" s="6">
        <f>COUNTIFS(Links!$B$2:$B$600,A125,Links!$D$2:$D$600,"No",Links!$C$2:$C$600,"&lt;&gt;INFORMS")</f>
        <v/>
      </c>
      <c r="G125" s="17" t="inlineStr">
        <is>
          <t>TEST-PILOT</t>
        </is>
      </c>
      <c r="H125" s="6" t="inlineStr">
        <is>
          <t>K9 Cache &amp; billing</t>
        </is>
      </c>
      <c r="I125" s="6" t="inlineStr">
        <is>
          <t>G3 Before confirmatory study</t>
        </is>
      </c>
      <c r="J125" s="6" t="inlineStr">
        <is>
          <t>Normal</t>
        </is>
      </c>
      <c r="K125" s="6" t="n">
        <v>175</v>
      </c>
      <c r="L125" s="6" t="inlineStr">
        <is>
          <t>W3 Pilots (AUTH)</t>
        </is>
      </c>
      <c r="M125" s="6" t="inlineStr">
        <is>
          <t>S18</t>
        </is>
      </c>
      <c r="N125" s="6" t="inlineStr">
        <is>
          <t>Team</t>
        </is>
      </c>
      <c r="O125" s="6" t="inlineStr">
        <is>
          <t>Needs an AUTH and a protocol</t>
        </is>
      </c>
      <c r="P125" s="6" t="inlineStr">
        <is>
          <t>No</t>
        </is>
      </c>
      <c r="Q125" s="6" t="inlineStr">
        <is>
          <t>Test</t>
        </is>
      </c>
      <c r="R125" s="6" t="inlineStr">
        <is>
          <t>Check</t>
        </is>
      </c>
      <c r="S125" s="6" t="inlineStr"/>
      <c r="T125" s="6" t="inlineStr">
        <is>
          <t>E7: billed-cost and cache probe that answers C-S03 (and feeds C-S02/S04).</t>
        </is>
      </c>
      <c r="U125" s="6" t="inlineStr">
        <is>
          <t>Pilot 1 reframed in v4-05 section 2; not run.</t>
        </is>
      </c>
      <c r="V125" s="6" t="inlineStr">
        <is>
          <t>Same as C-S03.</t>
        </is>
      </c>
      <c r="W125" s="6" t="inlineStr">
        <is>
          <t>C-D09, C-D08, C-E05, C-S16</t>
        </is>
      </c>
      <c r="X125" s="6" t="inlineStr">
        <is>
          <t>C-D11</t>
        </is>
      </c>
      <c r="Y125" s="6" t="inlineStr"/>
      <c r="Z125" s="6" t="inlineStr"/>
      <c r="AA125" s="6" t="inlineStr"/>
      <c r="AB125" s="6" t="inlineStr">
        <is>
          <t>DATA</t>
        </is>
      </c>
      <c r="AC125" s="6" t="inlineStr">
        <is>
          <t>NO RESULT - OPEN</t>
        </is>
      </c>
      <c r="AD125" s="6" t="inlineStr">
        <is>
          <t>UNCHANGED</t>
        </is>
      </c>
      <c r="AE125" s="6" t="inlineStr">
        <is>
          <t>2026-10-19</t>
        </is>
      </c>
      <c r="AF125" s="6" t="inlineStr">
        <is>
          <t>v4-05 section 2 item 2</t>
        </is>
      </c>
      <c r="AG125" s="6" t="inlineStr"/>
      <c r="AH125" s="6" t="inlineStr">
        <is>
          <t>Yes</t>
        </is>
      </c>
      <c r="AI125" s="6" t="inlineStr"/>
      <c r="AJ125" s="6" t="inlineStr">
        <is>
          <t>SRC-11 canonical</t>
        </is>
      </c>
      <c r="AK125" s="6" t="inlineStr">
        <is>
          <t>E7</t>
        </is>
      </c>
      <c r="AL125" s="6" t="inlineStr">
        <is>
          <t>S18</t>
        </is>
      </c>
    </row>
    <row r="126" ht="40.5" customHeight="1">
      <c r="A126" s="5" t="inlineStr">
        <is>
          <t>C-S04</t>
        </is>
      </c>
      <c r="B126" s="6" t="inlineStr">
        <is>
          <t>The warm-hit arithmetic (the '11-16%' figure) omits TTL, concurrency and growing suffix; session gaps unacc...</t>
        </is>
      </c>
      <c r="C126" s="6" t="inlineStr">
        <is>
          <t>OPEN</t>
        </is>
      </c>
      <c r="D126" s="6">
        <f>IFERROR(INDEX(Lists!$B$2:$B$14,MATCH(C126,Lists!$A$2:$A$14,0)),"?")</f>
        <v/>
      </c>
      <c r="E126" s="6">
        <f>IF(COUNTIFS(Links!$B$2:$B$600,A126,Links!$E$2:$E$600,"Yes")&gt;0,"REVISE","")</f>
        <v/>
      </c>
      <c r="F126" s="6">
        <f>COUNTIFS(Links!$B$2:$B$600,A126,Links!$D$2:$D$600,"No",Links!$C$2:$C$600,"&lt;&gt;INFORMS")</f>
        <v/>
      </c>
      <c r="G126" s="17" t="inlineStr">
        <is>
          <t>TEST-PILOT</t>
        </is>
      </c>
      <c r="H126" s="6" t="inlineStr">
        <is>
          <t>K9 Cache &amp; billing</t>
        </is>
      </c>
      <c r="I126" s="6" t="inlineStr">
        <is>
          <t>G4 Before claims</t>
        </is>
      </c>
      <c r="J126" s="6" t="inlineStr">
        <is>
          <t>Normal</t>
        </is>
      </c>
      <c r="K126" s="6" t="n">
        <v>176</v>
      </c>
      <c r="L126" s="6" t="inlineStr">
        <is>
          <t>W3 Pilots (AUTH)</t>
        </is>
      </c>
      <c r="M126" s="6" t="inlineStr">
        <is>
          <t>S18</t>
        </is>
      </c>
      <c r="N126" s="6" t="inlineStr">
        <is>
          <t>Team</t>
        </is>
      </c>
      <c r="O126" s="6" t="inlineStr">
        <is>
          <t>Needs an AUTH and a protocol</t>
        </is>
      </c>
      <c r="P126" s="6" t="inlineStr">
        <is>
          <t>Partly</t>
        </is>
      </c>
      <c r="Q126" s="6" t="inlineStr">
        <is>
          <t>Scientific unknown</t>
        </is>
      </c>
      <c r="R126" s="6" t="inlineStr">
        <is>
          <t>Item</t>
        </is>
      </c>
      <c r="S126" s="6" t="inlineStr"/>
      <c r="T126" s="6" t="inlineStr">
        <is>
          <t>The warm-hit arithmetic (the '11-16%' figure) omits TTL, concurrency and growing suffix; session gaps unaccounted.</t>
        </is>
      </c>
      <c r="U126" s="6" t="inlineStr">
        <is>
          <t>v4-04 section 3 gives a cost model with cold-start per session (arithmetic verified); the specific 11-16% figure is not in the repo.</t>
        </is>
      </c>
      <c r="V126" s="6" t="inlineStr">
        <is>
          <t>Recalculate with measured hit rates and varied session patterns.</t>
        </is>
      </c>
      <c r="W126" s="6" t="inlineStr">
        <is>
          <t>C-S03</t>
        </is>
      </c>
      <c r="X126" s="6" t="inlineStr"/>
      <c r="Y126" s="6" t="inlineStr">
        <is>
          <t>Q-J04</t>
        </is>
      </c>
      <c r="Z126" s="6" t="inlineStr">
        <is>
          <t>DESK-ANALYSIS</t>
        </is>
      </c>
      <c r="AA126" s="6" t="inlineStr">
        <is>
          <t>K4 Memory &amp; sessions</t>
        </is>
      </c>
      <c r="AB126" s="6" t="inlineStr">
        <is>
          <t>DATA+BOUND</t>
        </is>
      </c>
      <c r="AC126" s="6" t="inlineStr">
        <is>
          <t>OPEN</t>
        </is>
      </c>
      <c r="AD126" s="6" t="inlineStr">
        <is>
          <t>RE-CHARACTERISED</t>
        </is>
      </c>
      <c r="AE126" s="6" t="inlineStr">
        <is>
          <t>2026-10-19</t>
        </is>
      </c>
      <c r="AF126" s="6" t="inlineStr">
        <is>
          <t>v4-04 section 3</t>
        </is>
      </c>
      <c r="AG126" s="6" t="inlineStr"/>
      <c r="AH126" s="6" t="inlineStr">
        <is>
          <t>Yes (measured rates)</t>
        </is>
      </c>
      <c r="AI126" s="6" t="inlineStr"/>
      <c r="AJ126" s="6" t="inlineStr">
        <is>
          <t>SRC-11 canonical</t>
        </is>
      </c>
      <c r="AK126" s="6" t="inlineStr">
        <is>
          <t>SRC-06 S07</t>
        </is>
      </c>
      <c r="AL126" s="6" t="inlineStr">
        <is>
          <t>S18</t>
        </is>
      </c>
    </row>
    <row r="127" ht="65.5" customHeight="1">
      <c r="A127" s="5" t="inlineStr">
        <is>
          <t>C-S08/EVENTS</t>
        </is>
      </c>
      <c r="B127" s="6" t="inlineStr">
        <is>
          <t>Counted events and 'absent' constructs for the search pilot</t>
        </is>
      </c>
      <c r="C127" s="6" t="inlineStr">
        <is>
          <t>OPEN</t>
        </is>
      </c>
      <c r="D127" s="6">
        <f>IFERROR(INDEX(Lists!$B$2:$B$14,MATCH(C127,Lists!$A$2:$A$14,0)),"?")</f>
        <v/>
      </c>
      <c r="E127" s="6">
        <f>IF(COUNTIFS(Links!$B$2:$B$600,A127,Links!$E$2:$E$600,"Yes")&gt;0,"REVISE","")</f>
        <v/>
      </c>
      <c r="F127" s="6">
        <f>COUNTIFS(Links!$B$2:$B$600,A127,Links!$D$2:$D$600,"No",Links!$C$2:$C$600,"&lt;&gt;INFORMS")</f>
        <v/>
      </c>
      <c r="G127" s="13" t="inlineStr">
        <is>
          <t>DESK-ANALYSIS</t>
        </is>
      </c>
      <c r="H127" s="6" t="inlineStr">
        <is>
          <t>K8 Search initiation &amp; recovery</t>
        </is>
      </c>
      <c r="I127" s="6" t="inlineStr">
        <is>
          <t>G3 Before confirmatory study</t>
        </is>
      </c>
      <c r="J127" s="6" t="inlineStr">
        <is>
          <t>Normal</t>
        </is>
      </c>
      <c r="K127" s="6" t="n">
        <v>177</v>
      </c>
      <c r="L127" s="6" t="inlineStr">
        <is>
          <t>W3 Pilots (AUTH)</t>
        </is>
      </c>
      <c r="M127" s="6" t="inlineStr">
        <is>
          <t>S19</t>
        </is>
      </c>
      <c r="N127" s="6" t="inlineStr">
        <is>
          <t>Team</t>
        </is>
      </c>
      <c r="O127" s="6" t="inlineStr">
        <is>
          <t>Lead computes or writes it (no model runs)</t>
        </is>
      </c>
      <c r="P127" s="6" t="inlineStr">
        <is>
          <t>Partly</t>
        </is>
      </c>
      <c r="Q127" s="6" t="inlineStr">
        <is>
          <t>Scientific unknown</t>
        </is>
      </c>
      <c r="R127" s="6" t="inlineStr">
        <is>
          <t>Sub-item</t>
        </is>
      </c>
      <c r="S127" s="6" t="inlineStr">
        <is>
          <t>C-S08</t>
        </is>
      </c>
      <c r="T127" s="6" t="inlineStr">
        <is>
          <t>The pilot must count (i) search calls, (ii) domain-tool calls, (iii) direct answers, and separate three 'absent' constructs (hidden-but-present, nonexistent, visible-but-uncalled); a 'spurious call' means the opposite of correct behaviour in our setting.</t>
        </is>
      </c>
      <c r="U127" s="6" t="inlineStr">
        <is>
          <t>Recorded as open in its source; not examined further in this review.</t>
        </is>
      </c>
      <c r="V127" s="6" t="inlineStr">
        <is>
          <t>Definitions written into the pilot protocol.</t>
        </is>
      </c>
      <c r="W127" s="6" t="inlineStr">
        <is>
          <t>C-D09, C-D08</t>
        </is>
      </c>
      <c r="X127" s="6" t="inlineStr"/>
      <c r="Y127" s="6" t="inlineStr"/>
      <c r="Z127" s="6" t="inlineStr"/>
      <c r="AA127" s="6" t="inlineStr"/>
      <c r="AB127" s="6" t="inlineStr">
        <is>
          <t>DATA</t>
        </is>
      </c>
      <c r="AC127" s="6" t="inlineStr">
        <is>
          <t>n/a (sub-item)</t>
        </is>
      </c>
      <c r="AD127" s="6" t="inlineStr">
        <is>
          <t>NEW (SRC-11 sub-row)</t>
        </is>
      </c>
      <c r="AE127" s="6" t="inlineStr">
        <is>
          <t>2026-10-19</t>
        </is>
      </c>
      <c r="AF127" s="6" t="inlineStr">
        <is>
          <t>v4-05 section 1B</t>
        </is>
      </c>
      <c r="AG127" s="6" t="inlineStr"/>
      <c r="AH127" s="6" t="inlineStr">
        <is>
          <t>Yes</t>
        </is>
      </c>
      <c r="AI127" s="6" t="inlineStr"/>
      <c r="AJ127" s="6" t="inlineStr">
        <is>
          <t>repo: v4-05 sections 1B, 3, 4; reviews RV-0006/0007</t>
        </is>
      </c>
      <c r="AK127" s="6" t="inlineStr">
        <is>
          <t>CH-0061, CH-0072</t>
        </is>
      </c>
      <c r="AL127" s="6" t="inlineStr">
        <is>
          <t>S13</t>
        </is>
      </c>
    </row>
    <row r="128" ht="103" customHeight="1">
      <c r="A128" s="5" t="inlineStr">
        <is>
          <t>C-S08/FPCOST</t>
        </is>
      </c>
      <c r="B128" s="6" t="inlineStr">
        <is>
          <t>False-positive / wasted-call cost is priced by no source</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K8 Search initiation &amp; recovery</t>
        </is>
      </c>
      <c r="I128" s="6" t="inlineStr">
        <is>
          <t>G3 Before confirmatory study</t>
        </is>
      </c>
      <c r="J128" s="6" t="inlineStr">
        <is>
          <t>Normal</t>
        </is>
      </c>
      <c r="K128" s="6" t="n">
        <v>178</v>
      </c>
      <c r="L128" s="6" t="inlineStr">
        <is>
          <t>W3 Pilots (AUTH)</t>
        </is>
      </c>
      <c r="M128" s="6" t="inlineStr">
        <is>
          <t>S19</t>
        </is>
      </c>
      <c r="N128" s="6" t="inlineStr">
        <is>
          <t>Team</t>
        </is>
      </c>
      <c r="O128" s="6" t="inlineStr">
        <is>
          <t>Needs an AUTH and a protocol (pilot B) if the cost of spurious calls is to be priced</t>
        </is>
      </c>
      <c r="P128" s="6" t="inlineStr">
        <is>
          <t>Partly</t>
        </is>
      </c>
      <c r="Q128" s="6" t="inlineStr">
        <is>
          <t>Scientific unknown</t>
        </is>
      </c>
      <c r="R128" s="6" t="inlineStr">
        <is>
          <t>Sub-item</t>
        </is>
      </c>
      <c r="S128" s="6" t="inlineStr">
        <is>
          <t>C-S08</t>
        </is>
      </c>
      <c r="T128" s="6" t="inlineStr">
        <is>
          <t>Rates of hallucinated or spurious tool calls exist under different, non-interchangeable definitions (1-96%, 15-57%, BFCL irrelevance ~13-26% leading models); none prices the wasted rounds; scoring must be rule-based, not by an LLM judge that is also a candidate.</t>
        </is>
      </c>
      <c r="U128"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28" s="6" t="inlineStr">
        <is>
          <t>Cost accounting of false-positive calls in pilot B.</t>
        </is>
      </c>
      <c r="W128" s="6" t="inlineStr">
        <is>
          <t>C-D09, C-D08</t>
        </is>
      </c>
      <c r="X128" s="6" t="inlineStr"/>
      <c r="Y128" s="6" t="inlineStr"/>
      <c r="Z128" s="6" t="inlineStr"/>
      <c r="AA128" s="6" t="inlineStr"/>
      <c r="AB128" s="6" t="inlineStr">
        <is>
          <t>DATA</t>
        </is>
      </c>
      <c r="AC128" s="6" t="inlineStr">
        <is>
          <t>n/a (sub-item)</t>
        </is>
      </c>
      <c r="AD128" s="6" t="inlineStr">
        <is>
          <t>NEW (SRC-11 sub-row)</t>
        </is>
      </c>
      <c r="AE128" s="6" t="inlineStr">
        <is>
          <t>2026-10-19</t>
        </is>
      </c>
      <c r="AF128" s="6" t="inlineStr">
        <is>
          <t>FND-0016 (findings/SUM-0018); stored texts evidence/literature-20261019/lit-when2tool-2605.09252.txt, lit-tulip-2407.21778.txt, lit-closedworld-2609.19425.txt</t>
        </is>
      </c>
      <c r="AG128" s="6" t="inlineStr"/>
      <c r="AH128" s="6" t="inlineStr">
        <is>
          <t>Yes</t>
        </is>
      </c>
      <c r="AI128" s="6" t="inlineStr"/>
      <c r="AJ128" s="6" t="inlineStr">
        <is>
          <t>repo: v4-05 sections 1B, 3, 4; reviews RV-0006/0007</t>
        </is>
      </c>
      <c r="AK128" s="6" t="inlineStr">
        <is>
          <t>CH-0069, CH-0070</t>
        </is>
      </c>
      <c r="AL128" s="6" t="inlineStr">
        <is>
          <t>S13</t>
        </is>
      </c>
    </row>
    <row r="129" ht="28" customHeight="1">
      <c r="A129" s="5" t="inlineStr">
        <is>
          <t>C-S08/RA6</t>
        </is>
      </c>
      <c r="B129" s="6" t="inlineStr">
        <is>
          <t>RA6: scope statement must tell the model enough to search without leaking gold information</t>
        </is>
      </c>
      <c r="C129" s="6" t="inlineStr">
        <is>
          <t>OPEN</t>
        </is>
      </c>
      <c r="D129" s="6">
        <f>IFERROR(INDEX(Lists!$B$2:$B$14,MATCH(C129,Lists!$A$2:$A$14,0)),"?")</f>
        <v/>
      </c>
      <c r="E129" s="6">
        <f>IF(COUNTIFS(Links!$B$2:$B$600,A129,Links!$E$2:$E$600,"Yes")&gt;0,"REVISE","")</f>
        <v/>
      </c>
      <c r="F129" s="6">
        <f>COUNTIFS(Links!$B$2:$B$600,A129,Links!$D$2:$D$600,"No",Links!$C$2:$C$600,"&lt;&gt;INFORMS")</f>
        <v/>
      </c>
      <c r="G129" s="13" t="inlineStr">
        <is>
          <t>DESK-ANALYSIS</t>
        </is>
      </c>
      <c r="H129" s="6" t="inlineStr">
        <is>
          <t>K8 Search initiation &amp; recovery</t>
        </is>
      </c>
      <c r="I129" s="6" t="inlineStr">
        <is>
          <t>G3 Before confirmatory study</t>
        </is>
      </c>
      <c r="J129" s="6" t="inlineStr">
        <is>
          <t>Normal</t>
        </is>
      </c>
      <c r="K129" s="6" t="n">
        <v>179</v>
      </c>
      <c r="L129" s="6" t="inlineStr">
        <is>
          <t>W3 Pilots (AUTH)</t>
        </is>
      </c>
      <c r="M129" s="6" t="inlineStr">
        <is>
          <t>S19</t>
        </is>
      </c>
      <c r="N129" s="6" t="inlineStr">
        <is>
          <t>Team</t>
        </is>
      </c>
      <c r="O129" s="6" t="inlineStr">
        <is>
          <t>Lead computes or writes it (no model runs)</t>
        </is>
      </c>
      <c r="P129" s="6" t="inlineStr">
        <is>
          <t>Partly</t>
        </is>
      </c>
      <c r="Q129" s="6" t="inlineStr">
        <is>
          <t>Assumption</t>
        </is>
      </c>
      <c r="R129" s="6" t="inlineStr">
        <is>
          <t>Sub-item</t>
        </is>
      </c>
      <c r="S129" s="6" t="inlineStr">
        <is>
          <t>C-S08</t>
        </is>
      </c>
      <c r="T129" s="6" t="inlineStr">
        <is>
          <t>Recovery assumption RA6 (v3-02): the scope statement must be informative without leaking gold information.</t>
        </is>
      </c>
      <c r="U129" s="6" t="inlineStr">
        <is>
          <t>Recorded as open in its source; not examined further in this review.</t>
        </is>
      </c>
      <c r="V129" s="6" t="inlineStr">
        <is>
          <t>Statement ladder specified and its tokens charged (C-D08/SCOPESTMT).</t>
        </is>
      </c>
      <c r="W129" s="6" t="inlineStr">
        <is>
          <t>C-D09, C-D08</t>
        </is>
      </c>
      <c r="X129" s="6" t="inlineStr"/>
      <c r="Y129" s="6" t="inlineStr"/>
      <c r="Z129" s="6" t="inlineStr"/>
      <c r="AA129" s="6" t="inlineStr"/>
      <c r="AB129" s="6" t="inlineStr">
        <is>
          <t>DATA</t>
        </is>
      </c>
      <c r="AC129" s="6" t="inlineStr">
        <is>
          <t>n/a (sub-item)</t>
        </is>
      </c>
      <c r="AD129" s="6" t="inlineStr">
        <is>
          <t>NEW (SRC-11 sub-row)</t>
        </is>
      </c>
      <c r="AE129" s="6" t="inlineStr">
        <is>
          <t>2026-10-19</t>
        </is>
      </c>
      <c r="AF129" s="6" t="inlineStr">
        <is>
          <t>v3-02 section 4 RA1-RA13</t>
        </is>
      </c>
      <c r="AG129" s="6" t="inlineStr"/>
      <c r="AH129" s="6" t="inlineStr">
        <is>
          <t>Yes</t>
        </is>
      </c>
      <c r="AI129" s="6" t="inlineStr"/>
      <c r="AJ129" s="6" t="inlineStr">
        <is>
          <t>repo: v3-02 section 4</t>
        </is>
      </c>
      <c r="AK129" s="6" t="inlineStr">
        <is>
          <t>RA6</t>
        </is>
      </c>
      <c r="AL129" s="6" t="inlineStr">
        <is>
          <t>S13</t>
        </is>
      </c>
    </row>
    <row r="130" ht="115.5" customHeight="1">
      <c r="A130" s="5" t="inlineStr">
        <is>
          <t>C-S08/UNINSTR</t>
        </is>
      </c>
      <c r="B130" s="6" t="inlineStr">
        <is>
          <t>Uninstructed search initiation: no per-task rate found</t>
        </is>
      </c>
      <c r="C130" s="6" t="inlineStr">
        <is>
          <t>PARTLY ANSWERED</t>
        </is>
      </c>
      <c r="D130" s="6">
        <f>IFERROR(INDEX(Lists!$B$2:$B$14,MATCH(C130,Lists!$A$2:$A$14,0)),"?")</f>
        <v/>
      </c>
      <c r="E130" s="6">
        <f>IF(COUNTIFS(Links!$B$2:$B$600,A130,Links!$E$2:$E$600,"Yes")&gt;0,"REVISE","")</f>
        <v/>
      </c>
      <c r="F130" s="6">
        <f>COUNTIFS(Links!$B$2:$B$600,A130,Links!$D$2:$D$600,"No",Links!$C$2:$C$600,"&lt;&gt;INFORMS")</f>
        <v/>
      </c>
      <c r="G130" s="17" t="inlineStr">
        <is>
          <t>TEST-PILOT</t>
        </is>
      </c>
      <c r="H130" s="6" t="inlineStr">
        <is>
          <t>K8 Search initiation &amp; recovery</t>
        </is>
      </c>
      <c r="I130" s="6" t="inlineStr">
        <is>
          <t>G3 Before confirmatory study</t>
        </is>
      </c>
      <c r="J130" s="6" t="inlineStr">
        <is>
          <t>Normal</t>
        </is>
      </c>
      <c r="K130" s="6" t="n">
        <v>180</v>
      </c>
      <c r="L130" s="6" t="inlineStr">
        <is>
          <t>W3 Pilots (AUTH)</t>
        </is>
      </c>
      <c r="M130" s="6" t="inlineStr">
        <is>
          <t>S19</t>
        </is>
      </c>
      <c r="N130" s="6" t="inlineStr">
        <is>
          <t>Team</t>
        </is>
      </c>
      <c r="O130" s="6" t="inlineStr">
        <is>
          <t>Needs an AUTH and a protocol (pilot B) if a rate is wanted</t>
        </is>
      </c>
      <c r="P130" s="6" t="inlineStr">
        <is>
          <t>Partly</t>
        </is>
      </c>
      <c r="Q130" s="6" t="inlineStr">
        <is>
          <t>Scientific unknown</t>
        </is>
      </c>
      <c r="R130" s="6" t="inlineStr">
        <is>
          <t>Sub-item</t>
        </is>
      </c>
      <c r="S130" s="6" t="inlineStr">
        <is>
          <t>C-S08</t>
        </is>
      </c>
      <c r="T130" s="6" t="inlineStr">
        <is>
          <t>No source reports the share of tasks with zero search calls when a search channel exists but is not instructed and no visible tool fits.</t>
        </is>
      </c>
      <c r="U130"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30" s="6" t="inlineStr">
        <is>
          <t>Pilot B primary cell: tool-description only.</t>
        </is>
      </c>
      <c r="W130" s="6" t="inlineStr">
        <is>
          <t>C-D09, C-D08</t>
        </is>
      </c>
      <c r="X130" s="6" t="inlineStr"/>
      <c r="Y130" s="6" t="inlineStr"/>
      <c r="Z130" s="6" t="inlineStr"/>
      <c r="AA130" s="6" t="inlineStr"/>
      <c r="AB130" s="6" t="inlineStr">
        <is>
          <t>DATA</t>
        </is>
      </c>
      <c r="AC130" s="6" t="inlineStr">
        <is>
          <t>n/a (sub-item)</t>
        </is>
      </c>
      <c r="AD130" s="6" t="inlineStr">
        <is>
          <t>NEW (SRC-11 sub-row)</t>
        </is>
      </c>
      <c r="AE130" s="6" t="inlineStr">
        <is>
          <t>2026-10-19</t>
        </is>
      </c>
      <c r="AF130" s="6" t="inlineStr">
        <is>
          <t>FND-0016 (findings/SUM-0018); stored texts evidence/literature-20261019/lit-when2tool-2605.09252.txt, lit-tulip-2407.21778.txt, lit-closedworld-2609.19425.txt</t>
        </is>
      </c>
      <c r="AG130" s="6" t="inlineStr"/>
      <c r="AH130" s="6" t="inlineStr">
        <is>
          <t>Yes</t>
        </is>
      </c>
      <c r="AI130" s="6" t="inlineStr"/>
      <c r="AJ130" s="6" t="inlineStr">
        <is>
          <t>repo: v4-05 sections 1B, 3, 4; reviews RV-0006/0007</t>
        </is>
      </c>
      <c r="AK130" s="6" t="inlineStr">
        <is>
          <t>CH-0062, RA1b</t>
        </is>
      </c>
      <c r="AL130" s="6" t="inlineStr">
        <is>
          <t>S13</t>
        </is>
      </c>
    </row>
    <row r="131" ht="53" customHeight="1">
      <c r="A131" s="5" t="inlineStr">
        <is>
          <t>C-S08</t>
        </is>
      </c>
      <c r="B131" s="6" t="inlineStr">
        <is>
          <t>Do models start a search when a needed tool is not visible (uninstructed), does recovery restore success, a...</t>
        </is>
      </c>
      <c r="C131" s="6" t="inlineStr">
        <is>
          <t>PARTLY ANSWERED</t>
        </is>
      </c>
      <c r="D131" s="6">
        <f>IFERROR(INDEX(Lists!$B$2:$B$14,MATCH(C131,Lists!$A$2:$A$14,0)),"?")</f>
        <v/>
      </c>
      <c r="E131" s="6">
        <f>IF(COUNTIFS(Links!$B$2:$B$600,A131,Links!$E$2:$E$600,"Yes")&gt;0,"REVISE","")</f>
        <v/>
      </c>
      <c r="F131" s="6">
        <f>COUNTIFS(Links!$B$2:$B$600,A131,Links!$D$2:$D$600,"No",Links!$C$2:$C$600,"&lt;&gt;INFORMS")</f>
        <v/>
      </c>
      <c r="G131" s="17" t="inlineStr">
        <is>
          <t>TEST-PILOT</t>
        </is>
      </c>
      <c r="H131" s="6" t="inlineStr">
        <is>
          <t>K8 Search initiation &amp; recovery</t>
        </is>
      </c>
      <c r="I131" s="6" t="inlineStr">
        <is>
          <t>G3 Before confirmatory study</t>
        </is>
      </c>
      <c r="J131" s="6" t="inlineStr">
        <is>
          <t>Normal</t>
        </is>
      </c>
      <c r="K131" s="6" t="n">
        <v>181</v>
      </c>
      <c r="L131" s="6" t="inlineStr">
        <is>
          <t>W3 Pilots (AUTH)</t>
        </is>
      </c>
      <c r="M131" s="6" t="inlineStr">
        <is>
          <t>S19</t>
        </is>
      </c>
      <c r="N131" s="6" t="inlineStr">
        <is>
          <t>Team</t>
        </is>
      </c>
      <c r="O131" s="6" t="inlineStr">
        <is>
          <t>Needs an AUTH and a protocol</t>
        </is>
      </c>
      <c r="P131" s="6" t="inlineStr">
        <is>
          <t>Partly</t>
        </is>
      </c>
      <c r="Q131" s="6" t="inlineStr">
        <is>
          <t>Scientific unknown</t>
        </is>
      </c>
      <c r="R131" s="6" t="inlineStr">
        <is>
          <t>Item</t>
        </is>
      </c>
      <c r="S131" s="6" t="inlineStr"/>
      <c r="T131" s="6" t="inlineStr">
        <is>
          <t>Do models start a search when a needed tool is not visible (uninstructed), does recovery restore success, and what is the no-miss overhead?</t>
        </is>
      </c>
      <c r="U131" s="6" t="inlineStr">
        <is>
          <t>Instructed use is measured at catalogue scale for strong models (TheMCPCompany, LiveMCPBench); uninstructed initiation not found; false-positive rates exist under different definitions.</t>
        </is>
      </c>
      <c r="V131" s="6" t="inlineStr">
        <is>
          <t>Pilot B: tool-description-only cell, statement ladder, hidden-but-present / nonexistent / wrong-tool-visible arms, per-task share with zero searches.</t>
        </is>
      </c>
      <c r="W131" s="6" t="inlineStr">
        <is>
          <t>C-D09, C-D08, C-S16</t>
        </is>
      </c>
      <c r="X131" s="6" t="inlineStr">
        <is>
          <t>C-D03, C-D11</t>
        </is>
      </c>
      <c r="Y131" s="6" t="inlineStr">
        <is>
          <t>Q-U03</t>
        </is>
      </c>
      <c r="Z131" s="6" t="inlineStr">
        <is>
          <t>LITERATURE-DIRECTED</t>
        </is>
      </c>
      <c r="AA131" s="6" t="inlineStr">
        <is>
          <t>K11 End-to-end comparison</t>
        </is>
      </c>
      <c r="AB131" s="6" t="inlineStr">
        <is>
          <t>DATA</t>
        </is>
      </c>
      <c r="AC131" s="6" t="inlineStr">
        <is>
          <t>OPEN</t>
        </is>
      </c>
      <c r="AD131" s="6" t="inlineStr">
        <is>
          <t>NARROWED</t>
        </is>
      </c>
      <c r="AE131" s="6" t="inlineStr">
        <is>
          <t>2026-10-19</t>
        </is>
      </c>
      <c r="AF131" s="6" t="inlineStr">
        <is>
          <t>v4-05 sections 1B, 3, 4; HYP-0010</t>
        </is>
      </c>
      <c r="AG131" s="6" t="inlineStr"/>
      <c r="AH131" s="6" t="inlineStr">
        <is>
          <t>Yes</t>
        </is>
      </c>
      <c r="AI131" s="6" t="inlineStr"/>
      <c r="AJ131" s="6" t="inlineStr">
        <is>
          <t>SRC-11 canonical</t>
        </is>
      </c>
      <c r="AK131" s="6" t="inlineStr">
        <is>
          <t>SRC-06 S21, SRC-07 14, RA1, HYP-0003, HYP-0004, HYP-0010, HYP-0011, CAVEATS 16, CH-0059, CH-0060</t>
        </is>
      </c>
      <c r="AL131" s="6" t="inlineStr">
        <is>
          <t>S13</t>
        </is>
      </c>
    </row>
    <row r="132" ht="28" customHeight="1">
      <c r="A132" s="5" t="inlineStr">
        <is>
          <t>C-S09/RA10</t>
        </is>
      </c>
      <c r="B132" s="6" t="inlineStr">
        <is>
          <t>RA10: names and arguments found by search are valid at call time</t>
        </is>
      </c>
      <c r="C132" s="6" t="inlineStr">
        <is>
          <t>OPEN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K8 Search initiation &amp; recovery</t>
        </is>
      </c>
      <c r="I132" s="6" t="inlineStr">
        <is>
          <t>G3 Before confirmatory study</t>
        </is>
      </c>
      <c r="J132" s="6" t="inlineStr">
        <is>
          <t>Normal</t>
        </is>
      </c>
      <c r="K132" s="6" t="n">
        <v>182</v>
      </c>
      <c r="L132" s="6" t="inlineStr">
        <is>
          <t>W3 Pilots (AUTH)</t>
        </is>
      </c>
      <c r="M132" s="6" t="inlineStr">
        <is>
          <t>S19</t>
        </is>
      </c>
      <c r="N132" s="6" t="inlineStr">
        <is>
          <t>Team</t>
        </is>
      </c>
      <c r="O132" s="6" t="inlineStr">
        <is>
          <t>Needs an AUTH and a protocol</t>
        </is>
      </c>
      <c r="P132" s="6" t="inlineStr">
        <is>
          <t>No</t>
        </is>
      </c>
      <c r="Q132" s="6" t="inlineStr">
        <is>
          <t>Assumption</t>
        </is>
      </c>
      <c r="R132" s="6" t="inlineStr">
        <is>
          <t>Sub-item</t>
        </is>
      </c>
      <c r="S132" s="6" t="inlineStr">
        <is>
          <t>C-S09</t>
        </is>
      </c>
      <c r="T132" s="6" t="inlineStr">
        <is>
          <t>Recovery assumption RA10.</t>
        </is>
      </c>
      <c r="U132" s="6" t="inlineStr">
        <is>
          <t>Assumption.</t>
        </is>
      </c>
      <c r="V132" s="6" t="inlineStr">
        <is>
          <t>Tested end-to-end.</t>
        </is>
      </c>
      <c r="W132" s="6" t="inlineStr">
        <is>
          <t>C-D09, C-D08</t>
        </is>
      </c>
      <c r="X132" s="6" t="inlineStr"/>
      <c r="Y132" s="6" t="inlineStr"/>
      <c r="Z132" s="6" t="inlineStr"/>
      <c r="AA132" s="6" t="inlineStr"/>
      <c r="AB132" s="6" t="inlineStr">
        <is>
          <t>DATA</t>
        </is>
      </c>
      <c r="AC132" s="6" t="inlineStr">
        <is>
          <t>n/a (sub-item)</t>
        </is>
      </c>
      <c r="AD132" s="6" t="inlineStr">
        <is>
          <t>NEW (SRC-11 sub-row)</t>
        </is>
      </c>
      <c r="AE132" s="6" t="inlineStr">
        <is>
          <t>2026-10-19</t>
        </is>
      </c>
      <c r="AF132" s="6" t="inlineStr">
        <is>
          <t>v3-02 section 4</t>
        </is>
      </c>
      <c r="AG132" s="6" t="inlineStr"/>
      <c r="AH132" s="6" t="inlineStr">
        <is>
          <t>Yes</t>
        </is>
      </c>
      <c r="AI132" s="6" t="inlineStr"/>
      <c r="AJ132" s="6" t="inlineStr">
        <is>
          <t>repo: v3-02 section 4</t>
        </is>
      </c>
      <c r="AK132" s="6" t="inlineStr">
        <is>
          <t>RA10</t>
        </is>
      </c>
      <c r="AL132" s="6" t="inlineStr">
        <is>
          <t>S19</t>
        </is>
      </c>
    </row>
    <row r="133" ht="28" customHeight="1">
      <c r="A133" s="5" t="inlineStr">
        <is>
          <t>C-S09/RA7</t>
        </is>
      </c>
      <c r="B133" s="6" t="inlineStr">
        <is>
          <t>RA7: the model understands the interface schema</t>
        </is>
      </c>
      <c r="C133" s="6" t="inlineStr">
        <is>
          <t>OPEN</t>
        </is>
      </c>
      <c r="D133" s="6">
        <f>IFERROR(INDEX(Lists!$B$2:$B$14,MATCH(C133,Lists!$A$2:$A$14,0)),"?")</f>
        <v/>
      </c>
      <c r="E133" s="6">
        <f>IF(COUNTIFS(Links!$B$2:$B$600,A133,Links!$E$2:$E$600,"Yes")&gt;0,"REVISE","")</f>
        <v/>
      </c>
      <c r="F133" s="6">
        <f>COUNTIFS(Links!$B$2:$B$600,A133,Links!$D$2:$D$600,"No",Links!$C$2:$C$600,"&lt;&gt;INFORMS")</f>
        <v/>
      </c>
      <c r="G133" s="17" t="inlineStr">
        <is>
          <t>TEST-PILOT</t>
        </is>
      </c>
      <c r="H133" s="6" t="inlineStr">
        <is>
          <t>K8 Search initiation &amp; recovery</t>
        </is>
      </c>
      <c r="I133" s="6" t="inlineStr">
        <is>
          <t>G3 Before confirmatory study</t>
        </is>
      </c>
      <c r="J133" s="6" t="inlineStr">
        <is>
          <t>Normal</t>
        </is>
      </c>
      <c r="K133" s="6" t="n">
        <v>183</v>
      </c>
      <c r="L133" s="6" t="inlineStr">
        <is>
          <t>W3 Pilots (AUTH)</t>
        </is>
      </c>
      <c r="M133" s="6" t="inlineStr">
        <is>
          <t>S19</t>
        </is>
      </c>
      <c r="N133" s="6" t="inlineStr">
        <is>
          <t>Team</t>
        </is>
      </c>
      <c r="O133" s="6" t="inlineStr">
        <is>
          <t>Needs an AUTH and a protocol</t>
        </is>
      </c>
      <c r="P133" s="6" t="inlineStr">
        <is>
          <t>No</t>
        </is>
      </c>
      <c r="Q133" s="6" t="inlineStr">
        <is>
          <t>Assumption</t>
        </is>
      </c>
      <c r="R133" s="6" t="inlineStr">
        <is>
          <t>Sub-item</t>
        </is>
      </c>
      <c r="S133" s="6" t="inlineStr">
        <is>
          <t>C-S09</t>
        </is>
      </c>
      <c r="T133" s="6" t="inlineStr">
        <is>
          <t>Recovery assumption RA7.</t>
        </is>
      </c>
      <c r="U133" s="6" t="inlineStr">
        <is>
          <t>Assumption.</t>
        </is>
      </c>
      <c r="V133" s="6" t="inlineStr">
        <is>
          <t>Tested end-to-end.</t>
        </is>
      </c>
      <c r="W133" s="6" t="inlineStr">
        <is>
          <t>C-D09, C-D08</t>
        </is>
      </c>
      <c r="X133" s="6" t="inlineStr"/>
      <c r="Y133" s="6" t="inlineStr"/>
      <c r="Z133" s="6" t="inlineStr"/>
      <c r="AA133" s="6" t="inlineStr"/>
      <c r="AB133" s="6" t="inlineStr">
        <is>
          <t>DATA</t>
        </is>
      </c>
      <c r="AC133" s="6" t="inlineStr">
        <is>
          <t>n/a (sub-item)</t>
        </is>
      </c>
      <c r="AD133" s="6" t="inlineStr">
        <is>
          <t>NEW (SRC-11 sub-row)</t>
        </is>
      </c>
      <c r="AE133" s="6" t="inlineStr">
        <is>
          <t>2026-10-19</t>
        </is>
      </c>
      <c r="AF133" s="6" t="inlineStr">
        <is>
          <t>v3-02 section 4</t>
        </is>
      </c>
      <c r="AG133" s="6" t="inlineStr"/>
      <c r="AH133" s="6" t="inlineStr">
        <is>
          <t>Yes</t>
        </is>
      </c>
      <c r="AI133" s="6" t="inlineStr"/>
      <c r="AJ133" s="6" t="inlineStr">
        <is>
          <t>repo: v3-02 section 4</t>
        </is>
      </c>
      <c r="AK133" s="6" t="inlineStr">
        <is>
          <t>RA7</t>
        </is>
      </c>
      <c r="AL133" s="6" t="inlineStr">
        <is>
          <t>S19</t>
        </is>
      </c>
    </row>
    <row r="134" ht="40.5" customHeight="1">
      <c r="A134" s="5" t="inlineStr">
        <is>
          <t>C-S09</t>
        </is>
      </c>
      <c r="B134" s="6" t="inlineStr">
        <is>
          <t>Deferred-schema argument errors vs zero-call/under-invocation, measured as a pair.</t>
        </is>
      </c>
      <c r="C134" s="6" t="inlineStr">
        <is>
          <t>OPEN</t>
        </is>
      </c>
      <c r="D134" s="6">
        <f>IFERROR(INDEX(Lists!$B$2:$B$14,MATCH(C134,Lists!$A$2:$A$14,0)),"?")</f>
        <v/>
      </c>
      <c r="E134" s="6">
        <f>IF(COUNTIFS(Links!$B$2:$B$600,A134,Links!$E$2:$E$600,"Yes")&gt;0,"REVISE","")</f>
        <v/>
      </c>
      <c r="F134" s="6">
        <f>COUNTIFS(Links!$B$2:$B$600,A134,Links!$D$2:$D$600,"No",Links!$C$2:$C$600,"&lt;&gt;INFORMS")</f>
        <v/>
      </c>
      <c r="G134" s="17" t="inlineStr">
        <is>
          <t>TEST-PILOT</t>
        </is>
      </c>
      <c r="H134" s="6" t="inlineStr">
        <is>
          <t>K8 Search initiation &amp; recovery</t>
        </is>
      </c>
      <c r="I134" s="6" t="inlineStr">
        <is>
          <t>G3 Before confirmatory study</t>
        </is>
      </c>
      <c r="J134" s="6" t="inlineStr">
        <is>
          <t>Normal</t>
        </is>
      </c>
      <c r="K134" s="6" t="n">
        <v>184</v>
      </c>
      <c r="L134" s="6" t="inlineStr">
        <is>
          <t>W3 Pilots (AUTH)</t>
        </is>
      </c>
      <c r="M134" s="6" t="inlineStr">
        <is>
          <t>S19</t>
        </is>
      </c>
      <c r="N134" s="6" t="inlineStr">
        <is>
          <t>Team</t>
        </is>
      </c>
      <c r="O134" s="6" t="inlineStr">
        <is>
          <t>Needs an AUTH and a protocol</t>
        </is>
      </c>
      <c r="P134" s="6" t="inlineStr">
        <is>
          <t>No</t>
        </is>
      </c>
      <c r="Q134" s="6" t="inlineStr">
        <is>
          <t>Scientific unknown</t>
        </is>
      </c>
      <c r="R134" s="6" t="inlineStr">
        <is>
          <t>Item</t>
        </is>
      </c>
      <c r="S134" s="6" t="inlineStr"/>
      <c r="T134" s="6" t="inlineStr">
        <is>
          <t>Deferred-schema argument errors vs zero-call/under-invocation, measured as a pair.</t>
        </is>
      </c>
      <c r="U134" s="6" t="inlineStr">
        <is>
          <t>Related only: under-calling in small-model settings; nothing on deferred schemas.</t>
        </is>
      </c>
      <c r="V134" s="6" t="inlineStr">
        <is>
          <t>Eager vs deferred with parameter errors, no-call and success as separate outcomes.</t>
        </is>
      </c>
      <c r="W134" s="6" t="inlineStr">
        <is>
          <t>C-D09, C-D08, C-S16</t>
        </is>
      </c>
      <c r="X134" s="6" t="inlineStr">
        <is>
          <t>C-S08</t>
        </is>
      </c>
      <c r="Y134" s="6" t="inlineStr"/>
      <c r="Z134" s="6" t="inlineStr"/>
      <c r="AA134" s="6" t="inlineStr"/>
      <c r="AB134" s="6" t="inlineStr">
        <is>
          <t>DATA</t>
        </is>
      </c>
      <c r="AC134" s="6" t="inlineStr">
        <is>
          <t>OPEN</t>
        </is>
      </c>
      <c r="AD134" s="6" t="inlineStr">
        <is>
          <t>UNCHANGED</t>
        </is>
      </c>
      <c r="AE134" s="6" t="inlineStr">
        <is>
          <t>2026-10-19</t>
        </is>
      </c>
      <c r="AF134" s="6" t="inlineStr">
        <is>
          <t>v4-05 Round 5</t>
        </is>
      </c>
      <c r="AG134" s="6" t="inlineStr"/>
      <c r="AH134" s="6" t="inlineStr">
        <is>
          <t>Yes</t>
        </is>
      </c>
      <c r="AI134" s="6" t="inlineStr"/>
      <c r="AJ134" s="6" t="inlineStr">
        <is>
          <t>SRC-11 canonical</t>
        </is>
      </c>
      <c r="AK134" s="6" t="inlineStr">
        <is>
          <t>SRC-06 S22, SRC-06 S23, SRC-07 20</t>
        </is>
      </c>
      <c r="AL134" s="6" t="inlineStr">
        <is>
          <t>S19</t>
        </is>
      </c>
    </row>
    <row r="135" ht="28" customHeight="1">
      <c r="A135" s="5" t="inlineStr">
        <is>
          <t>C-X02</t>
        </is>
      </c>
      <c r="B135" s="6" t="inlineStr">
        <is>
          <t>E2: the omission/search test that answers C-S08.</t>
        </is>
      </c>
      <c r="C135" s="6" t="inlineStr">
        <is>
          <t>UNRUN</t>
        </is>
      </c>
      <c r="D135" s="6">
        <f>IFERROR(INDEX(Lists!$B$2:$B$14,MATCH(C135,Lists!$A$2:$A$14,0)),"?")</f>
        <v/>
      </c>
      <c r="E135" s="6">
        <f>IF(COUNTIFS(Links!$B$2:$B$600,A135,Links!$E$2:$E$600,"Yes")&gt;0,"REVISE","")</f>
        <v/>
      </c>
      <c r="F135" s="6">
        <f>COUNTIFS(Links!$B$2:$B$600,A135,Links!$D$2:$D$600,"No",Links!$C$2:$C$600,"&lt;&gt;INFORMS")</f>
        <v/>
      </c>
      <c r="G135" s="17" t="inlineStr">
        <is>
          <t>TEST-PILOT</t>
        </is>
      </c>
      <c r="H135" s="6" t="inlineStr">
        <is>
          <t>K8 Search initiation &amp; recovery</t>
        </is>
      </c>
      <c r="I135" s="6" t="inlineStr">
        <is>
          <t>G3 Before confirmatory study</t>
        </is>
      </c>
      <c r="J135" s="6" t="inlineStr">
        <is>
          <t>Normal</t>
        </is>
      </c>
      <c r="K135" s="6" t="n">
        <v>185</v>
      </c>
      <c r="L135" s="6" t="inlineStr">
        <is>
          <t>W3 Pilots (AUTH)</t>
        </is>
      </c>
      <c r="M135" s="6" t="inlineStr">
        <is>
          <t>S19</t>
        </is>
      </c>
      <c r="N135" s="6" t="inlineStr">
        <is>
          <t>Team</t>
        </is>
      </c>
      <c r="O135" s="6" t="inlineStr">
        <is>
          <t>Needs an AUTH and a protocol</t>
        </is>
      </c>
      <c r="P135" s="6" t="inlineStr">
        <is>
          <t>No</t>
        </is>
      </c>
      <c r="Q135" s="6" t="inlineStr">
        <is>
          <t>Test</t>
        </is>
      </c>
      <c r="R135" s="6" t="inlineStr">
        <is>
          <t>Check</t>
        </is>
      </c>
      <c r="S135" s="6" t="inlineStr"/>
      <c r="T135" s="6" t="inlineStr">
        <is>
          <t>E2: the omission/search test that answers C-S08.</t>
        </is>
      </c>
      <c r="U135" s="6" t="inlineStr">
        <is>
          <t>Pilot 2 reframed; not run.</t>
        </is>
      </c>
      <c r="V135" s="6" t="inlineStr">
        <is>
          <t>Same as C-S08.</t>
        </is>
      </c>
      <c r="W135" s="6" t="inlineStr">
        <is>
          <t>C-D09, C-D08, C-S16</t>
        </is>
      </c>
      <c r="X135" s="6" t="inlineStr">
        <is>
          <t>C-D03, C-D11</t>
        </is>
      </c>
      <c r="Y135" s="6" t="inlineStr"/>
      <c r="Z135" s="6" t="inlineStr"/>
      <c r="AA135" s="6" t="inlineStr"/>
      <c r="AB135" s="6" t="inlineStr">
        <is>
          <t>DATA</t>
        </is>
      </c>
      <c r="AC135" s="6" t="inlineStr">
        <is>
          <t>NO RESULT - OPEN</t>
        </is>
      </c>
      <c r="AD135" s="6" t="inlineStr">
        <is>
          <t>UNCHANGED</t>
        </is>
      </c>
      <c r="AE135" s="6" t="inlineStr">
        <is>
          <t>2026-10-19</t>
        </is>
      </c>
      <c r="AF135" s="6" t="inlineStr">
        <is>
          <t>v4-05 section 2 item 3</t>
        </is>
      </c>
      <c r="AG135" s="6" t="inlineStr"/>
      <c r="AH135" s="6" t="inlineStr">
        <is>
          <t>Yes</t>
        </is>
      </c>
      <c r="AI135" s="6" t="inlineStr"/>
      <c r="AJ135" s="6" t="inlineStr">
        <is>
          <t>SRC-11 canonical</t>
        </is>
      </c>
      <c r="AK135" s="6" t="inlineStr">
        <is>
          <t>E2</t>
        </is>
      </c>
      <c r="AL135" s="6" t="inlineStr">
        <is>
          <t>S19</t>
        </is>
      </c>
    </row>
    <row r="136" ht="40.5" customHeight="1">
      <c r="A136" s="5" t="inlineStr">
        <is>
          <t>C-S13/CALIB</t>
        </is>
      </c>
      <c r="B136" s="6" t="inlineStr">
        <is>
          <t>Calibration tolerance and 'roughly constant' for extrapolation above n_fit are undefined</t>
        </is>
      </c>
      <c r="C136" s="6" t="inlineStr">
        <is>
          <t>OPEN</t>
        </is>
      </c>
      <c r="D136" s="6">
        <f>IFERROR(INDEX(Lists!$B$2:$B$14,MATCH(C136,Lists!$A$2:$A$14,0)),"?")</f>
        <v/>
      </c>
      <c r="E136" s="6">
        <f>IF(COUNTIFS(Links!$B$2:$B$600,A136,Links!$E$2:$E$600,"Yes")&gt;0,"REVISE","")</f>
        <v/>
      </c>
      <c r="F136" s="6">
        <f>COUNTIFS(Links!$B$2:$B$600,A136,Links!$D$2:$D$600,"No",Links!$C$2:$C$600,"&lt;&gt;INFORMS")</f>
        <v/>
      </c>
      <c r="G136" s="10" t="inlineStr">
        <is>
          <t>JOAA-DECISION</t>
        </is>
      </c>
      <c r="H136" s="6" t="inlineStr">
        <is>
          <t>K7 Large-catalogue reference</t>
        </is>
      </c>
      <c r="I136" s="6" t="inlineStr">
        <is>
          <t>G3 Before confirmatory study</t>
        </is>
      </c>
      <c r="J136" s="6" t="inlineStr">
        <is>
          <t>Normal</t>
        </is>
      </c>
      <c r="K136" s="6" t="n">
        <v>186</v>
      </c>
      <c r="L136" s="6" t="inlineStr">
        <is>
          <t>W3 Pilots (AUTH)</t>
        </is>
      </c>
      <c r="M136" s="6" t="inlineStr">
        <is>
          <t>S20</t>
        </is>
      </c>
      <c r="N136" s="6" t="inlineStr">
        <is>
          <t>Team + Joaa</t>
        </is>
      </c>
      <c r="O136" s="6" t="inlineStr">
        <is>
          <t>Ask Joaa (Q-J13)</t>
        </is>
      </c>
      <c r="P136" s="6" t="inlineStr">
        <is>
          <t>No</t>
        </is>
      </c>
      <c r="Q136" s="6" t="inlineStr">
        <is>
          <t>Scientific unknown</t>
        </is>
      </c>
      <c r="R136" s="6" t="inlineStr">
        <is>
          <t>Sub-item</t>
        </is>
      </c>
      <c r="S136" s="6" t="inlineStr">
        <is>
          <t>C-S13</t>
        </is>
      </c>
      <c r="T136" s="6" t="inlineStr">
        <is>
          <t>R-pool calibration has no acceptance criterion; 'roughly constant' gap and the extrapolation above n_fit are assumptions; the claim above n_fit is only a trend.</t>
        </is>
      </c>
      <c r="U136" s="6" t="inlineStr">
        <is>
          <t>Documented as unresolved.</t>
        </is>
      </c>
      <c r="V136" s="6" t="inlineStr">
        <is>
          <t>A human-set tolerance and regression definition recorded.</t>
        </is>
      </c>
      <c r="W136" s="6" t="inlineStr"/>
      <c r="X136" s="6" t="inlineStr"/>
      <c r="Y136" s="6" t="inlineStr">
        <is>
          <t>Q-J13</t>
        </is>
      </c>
      <c r="Z136" s="6" t="inlineStr">
        <is>
          <t>DESK-ANALYSIS</t>
        </is>
      </c>
      <c r="AA136" s="6" t="inlineStr"/>
      <c r="AB136" s="6" t="inlineStr">
        <is>
          <t>DEC</t>
        </is>
      </c>
      <c r="AC136" s="6" t="inlineStr">
        <is>
          <t>n/a (sub-item)</t>
        </is>
      </c>
      <c r="AD136" s="6" t="inlineStr">
        <is>
          <t>NEW (SRC-11 sub-row)</t>
        </is>
      </c>
      <c r="AE136" s="6" t="inlineStr">
        <is>
          <t>2026-10-19</t>
        </is>
      </c>
      <c r="AF136" s="6" t="inlineStr">
        <is>
          <t>v4-02 section 4</t>
        </is>
      </c>
      <c r="AG136" s="6" t="inlineStr"/>
      <c r="AH136" s="6" t="inlineStr">
        <is>
          <t>Yes</t>
        </is>
      </c>
      <c r="AI136" s="6" t="inlineStr"/>
      <c r="AJ136" s="6" t="inlineStr">
        <is>
          <t>repo: v4-02 section 4 / v4-03 section 5</t>
        </is>
      </c>
      <c r="AK136" s="6" t="inlineStr">
        <is>
          <t>RV-0005 R5, RV-0005 R6</t>
        </is>
      </c>
      <c r="AL136" s="6" t="inlineStr">
        <is>
          <t>S09</t>
        </is>
      </c>
    </row>
    <row r="137" ht="53" customHeight="1">
      <c r="A137" s="5" t="inlineStr">
        <is>
          <t>C-S13/POOLDIR</t>
        </is>
      </c>
      <c r="B137" s="6" t="inlineStr">
        <is>
          <t>R-pool vs expose-all: is it a harder or an easier success bar? (retained disagreement)</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K7 Large-catalogue reference</t>
        </is>
      </c>
      <c r="I137" s="6" t="inlineStr">
        <is>
          <t>G3 Before confirmatory study</t>
        </is>
      </c>
      <c r="J137" s="6" t="inlineStr">
        <is>
          <t>Normal</t>
        </is>
      </c>
      <c r="K137" s="6" t="n">
        <v>187</v>
      </c>
      <c r="L137" s="6" t="inlineStr">
        <is>
          <t>W3 Pilots (AUTH)</t>
        </is>
      </c>
      <c r="M137" s="6" t="inlineStr">
        <is>
          <t>S20</t>
        </is>
      </c>
      <c r="N137" s="6" t="inlineStr">
        <is>
          <t>Team + Joaa</t>
        </is>
      </c>
      <c r="O137" s="6" t="inlineStr">
        <is>
          <t>Needs an AUTH and a protocol</t>
        </is>
      </c>
      <c r="P137" s="6" t="inlineStr">
        <is>
          <t>No</t>
        </is>
      </c>
      <c r="Q137" s="6" t="inlineStr">
        <is>
          <t>Disagreement</t>
        </is>
      </c>
      <c r="R137" s="6" t="inlineStr">
        <is>
          <t>Sub-item</t>
        </is>
      </c>
      <c r="S137" s="6" t="inlineStr">
        <is>
          <t>C-S13</t>
        </is>
      </c>
      <c r="T137" s="6" t="inlineStr">
        <is>
          <t>Two readings are kept: R-pool has full reachability and little distraction (harder bar if its success &gt;= expose-all's), or a gold-derived pool is weaker and favours restriction. Neither is derived; the only evidence is one cell (44.0 vs 36.0, +/-8).</t>
        </is>
      </c>
      <c r="U137" s="6" t="inlineStr">
        <is>
          <t>Documented as unresolved.</t>
        </is>
      </c>
      <c r="V137" s="6" t="inlineStr">
        <is>
          <t>Calibration of R-pool against R-full where both exist.</t>
        </is>
      </c>
      <c r="W137" s="6" t="inlineStr"/>
      <c r="X137" s="6" t="inlineStr"/>
      <c r="Y137" s="6" t="inlineStr">
        <is>
          <t>Q-J13</t>
        </is>
      </c>
      <c r="Z137" s="6" t="inlineStr"/>
      <c r="AA137" s="6" t="inlineStr"/>
      <c r="AB137" s="6" t="inlineStr">
        <is>
          <t>DATA+BOUND</t>
        </is>
      </c>
      <c r="AC137" s="6" t="inlineStr">
        <is>
          <t>n/a (sub-item)</t>
        </is>
      </c>
      <c r="AD137" s="6" t="inlineStr">
        <is>
          <t>NEW (SRC-11 sub-row)</t>
        </is>
      </c>
      <c r="AE137" s="6" t="inlineStr">
        <is>
          <t>2026-10-19</t>
        </is>
      </c>
      <c r="AF137" s="6" t="inlineStr">
        <is>
          <t>v4-02 section 4</t>
        </is>
      </c>
      <c r="AG137" s="6" t="inlineStr"/>
      <c r="AH137" s="6" t="inlineStr">
        <is>
          <t>Yes</t>
        </is>
      </c>
      <c r="AI137" s="6" t="inlineStr"/>
      <c r="AJ137" s="6" t="inlineStr">
        <is>
          <t>repo: v4-02 section 4 / v4-03 section 5</t>
        </is>
      </c>
      <c r="AK137" s="6" t="inlineStr">
        <is>
          <t>CH-0051, RV-0005 R5</t>
        </is>
      </c>
      <c r="AL137" s="6" t="inlineStr">
        <is>
          <t>S09</t>
        </is>
      </c>
    </row>
    <row r="138" ht="40.5" customHeight="1">
      <c r="A138" s="5" t="inlineStr">
        <is>
          <t>C-S13/POOLPARAMS</t>
        </is>
      </c>
      <c r="B138" s="6" t="inlineStr">
        <is>
          <t>R-pool distractor rule, seed and size m unset</t>
        </is>
      </c>
      <c r="C138" s="6" t="inlineStr">
        <is>
          <t>OPEN</t>
        </is>
      </c>
      <c r="D138" s="6">
        <f>IFERROR(INDEX(Lists!$B$2:$B$14,MATCH(C138,Lists!$A$2:$A$14,0)),"?")</f>
        <v/>
      </c>
      <c r="E138" s="6">
        <f>IF(COUNTIFS(Links!$B$2:$B$600,A138,Links!$E$2:$E$600,"Yes")&gt;0,"REVISE","")</f>
        <v/>
      </c>
      <c r="F138" s="6">
        <f>COUNTIFS(Links!$B$2:$B$600,A138,Links!$D$2:$D$600,"No",Links!$C$2:$C$600,"&lt;&gt;INFORMS")</f>
        <v/>
      </c>
      <c r="G138" s="13" t="inlineStr">
        <is>
          <t>DESK-ANALYSIS</t>
        </is>
      </c>
      <c r="H138" s="6" t="inlineStr">
        <is>
          <t>K7 Large-catalogue reference</t>
        </is>
      </c>
      <c r="I138" s="6" t="inlineStr">
        <is>
          <t>G3 Before confirmatory study</t>
        </is>
      </c>
      <c r="J138" s="6" t="inlineStr">
        <is>
          <t>Normal</t>
        </is>
      </c>
      <c r="K138" s="6" t="n">
        <v>188</v>
      </c>
      <c r="L138" s="6" t="inlineStr">
        <is>
          <t>W3 Pilots (AUTH)</t>
        </is>
      </c>
      <c r="M138" s="6" t="inlineStr">
        <is>
          <t>S20</t>
        </is>
      </c>
      <c r="N138" s="6" t="inlineStr">
        <is>
          <t>Team + Joaa</t>
        </is>
      </c>
      <c r="O138" s="6" t="inlineStr">
        <is>
          <t>Lead computes or writes it (no model runs)</t>
        </is>
      </c>
      <c r="P138" s="6" t="inlineStr">
        <is>
          <t>No</t>
        </is>
      </c>
      <c r="Q138" s="6" t="inlineStr">
        <is>
          <t>Scientific unknown</t>
        </is>
      </c>
      <c r="R138" s="6" t="inlineStr">
        <is>
          <t>Sub-item</t>
        </is>
      </c>
      <c r="S138" s="6" t="inlineStr">
        <is>
          <t>C-S13</t>
        </is>
      </c>
      <c r="T138" s="6" t="inlineStr">
        <is>
          <t>The distractor distribution, seed and m (R-pool size) are design choices that are unset; random and near-miss distractors give different difficulty.</t>
        </is>
      </c>
      <c r="U138" s="6" t="inlineStr">
        <is>
          <t>Documented as unresolved.</t>
        </is>
      </c>
      <c r="V138" s="6" t="inlineStr">
        <is>
          <t>Rule, seed and m fixed in the contract.</t>
        </is>
      </c>
      <c r="W138" s="6" t="inlineStr"/>
      <c r="X138" s="6" t="inlineStr"/>
      <c r="Y138" s="6" t="inlineStr"/>
      <c r="Z138" s="6" t="inlineStr"/>
      <c r="AA138" s="6" t="inlineStr"/>
      <c r="AB138" s="6" t="inlineStr">
        <is>
          <t>DEC</t>
        </is>
      </c>
      <c r="AC138" s="6" t="inlineStr">
        <is>
          <t>n/a (sub-item)</t>
        </is>
      </c>
      <c r="AD138" s="6" t="inlineStr">
        <is>
          <t>NEW (SRC-11 sub-row)</t>
        </is>
      </c>
      <c r="AE138" s="6" t="inlineStr">
        <is>
          <t>2026-10-19</t>
        </is>
      </c>
      <c r="AF138" s="6" t="inlineStr">
        <is>
          <t>v4-02 section 4</t>
        </is>
      </c>
      <c r="AG138" s="6" t="inlineStr"/>
      <c r="AH138" s="6" t="inlineStr">
        <is>
          <t>Yes</t>
        </is>
      </c>
      <c r="AI138" s="6" t="inlineStr"/>
      <c r="AJ138" s="6" t="inlineStr">
        <is>
          <t>repo: v4-02 section 4 / v4-03 section 5</t>
        </is>
      </c>
      <c r="AK138" s="6" t="inlineStr"/>
      <c r="AL138" s="6" t="inlineStr">
        <is>
          <t>S09</t>
        </is>
      </c>
    </row>
    <row r="139" ht="53" customHeight="1">
      <c r="A139" s="5" t="inlineStr">
        <is>
          <t>C-S13</t>
        </is>
      </c>
      <c r="B139" s="6" t="inlineStr">
        <is>
          <t>Is the substitute reference valid, and how does it relate to true full exposure?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K7 Large-catalogue reference</t>
        </is>
      </c>
      <c r="I139" s="6" t="inlineStr">
        <is>
          <t>G3 Before confirmatory study</t>
        </is>
      </c>
      <c r="J139" s="6" t="inlineStr">
        <is>
          <t>Normal</t>
        </is>
      </c>
      <c r="K139" s="6" t="n">
        <v>189</v>
      </c>
      <c r="L139" s="6" t="inlineStr">
        <is>
          <t>W3 Pilots (AUTH)</t>
        </is>
      </c>
      <c r="M139" s="6" t="inlineStr">
        <is>
          <t>S20</t>
        </is>
      </c>
      <c r="N139" s="6" t="inlineStr">
        <is>
          <t>Team (+Joaa on margin)</t>
        </is>
      </c>
      <c r="O139" s="6" t="inlineStr">
        <is>
          <t>Needs an AUTH and a protocol</t>
        </is>
      </c>
      <c r="P139" s="6" t="inlineStr">
        <is>
          <t>Partly</t>
        </is>
      </c>
      <c r="Q139" s="6" t="inlineStr">
        <is>
          <t>Scientific unknown</t>
        </is>
      </c>
      <c r="R139" s="6" t="inlineStr">
        <is>
          <t>Item</t>
        </is>
      </c>
      <c r="S139" s="6" t="inlineStr"/>
      <c r="T139" s="6" t="inlineStr">
        <is>
          <t>Is the substitute reference valid, and how does it relate to true full exposure?</t>
        </is>
      </c>
      <c r="U139" s="6" t="inlineStr">
        <is>
          <t>v3's substitute rule was found undefined for catalogues and replaced by a reference ladder (R-full, R-pool, frontier); R-pool's direction is unresolved.</t>
        </is>
      </c>
      <c r="V139" s="6" t="inlineStr">
        <is>
          <t>R-pool calibrated against R-full where both exist; above n_fit only substitute-relative claims.</t>
        </is>
      </c>
      <c r="W139" s="6" t="inlineStr">
        <is>
          <t>C-D09, C-D08, C-E06</t>
        </is>
      </c>
      <c r="X139" s="6" t="inlineStr">
        <is>
          <t>C-S12</t>
        </is>
      </c>
      <c r="Y139" s="6" t="inlineStr">
        <is>
          <t>Q-J13, Q-U03</t>
        </is>
      </c>
      <c r="Z139" s="6" t="inlineStr">
        <is>
          <t>ACCEPT-LIMITATION, JOAA-DECISION</t>
        </is>
      </c>
      <c r="AA139" s="6" t="inlineStr">
        <is>
          <t>K5 Evaluation contract</t>
        </is>
      </c>
      <c r="AB139" s="6" t="inlineStr">
        <is>
          <t>DATA+BOUND</t>
        </is>
      </c>
      <c r="AC139" s="6" t="inlineStr">
        <is>
          <t>PARTLY ANSWERED - OPEN</t>
        </is>
      </c>
      <c r="AD139" s="6" t="inlineStr">
        <is>
          <t>RE-CHARACTERISED</t>
        </is>
      </c>
      <c r="AE139" s="6" t="inlineStr">
        <is>
          <t>2026-10-19</t>
        </is>
      </c>
      <c r="AF139" s="6" t="inlineStr">
        <is>
          <t>v4-02 section 4; v4-03 section 1 row 5</t>
        </is>
      </c>
      <c r="AG139" s="6" t="inlineStr"/>
      <c r="AH139" s="6" t="inlineStr">
        <is>
          <t>Yes</t>
        </is>
      </c>
      <c r="AI139" s="6" t="inlineStr"/>
      <c r="AJ139" s="6" t="inlineStr">
        <is>
          <t>SRC-11 canonical</t>
        </is>
      </c>
      <c r="AK139" s="6" t="inlineStr">
        <is>
          <t>SRC-06 S31, SRC-07 18, SRC-07 32, v3-04 objection 5, CH-0038</t>
        </is>
      </c>
      <c r="AL139" s="6" t="inlineStr">
        <is>
          <t>S09</t>
        </is>
      </c>
    </row>
    <row r="140" ht="300" customHeight="1">
      <c r="A140" s="5" t="inlineStr">
        <is>
          <t>AS-12</t>
        </is>
      </c>
      <c r="B140" s="6" t="inlineStr">
        <is>
          <t>Supervisor assertion A12: LLM behaviour does not transfer across models</t>
        </is>
      </c>
      <c r="C140" s="6" t="inlineStr">
        <is>
          <t>PARTLY ANSWERED</t>
        </is>
      </c>
      <c r="D140" s="6">
        <f>IFERROR(INDEX(Lists!$B$2:$B$14,MATCH(C140,Lists!$A$2:$A$14,0)),"?")</f>
        <v/>
      </c>
      <c r="E140" s="6">
        <f>IF(COUNTIFS(Links!$B$2:$B$600,A140,Links!$E$2:$E$600,"Yes")&gt;0,"REVISE","")</f>
        <v/>
      </c>
      <c r="F140" s="6">
        <f>COUNTIFS(Links!$B$2:$B$600,A140,Links!$D$2:$D$600,"No",Links!$C$2:$C$600,"&lt;&gt;INFORMS")</f>
        <v/>
      </c>
      <c r="G140" s="17" t="inlineStr">
        <is>
          <t>TEST-PILOT</t>
        </is>
      </c>
      <c r="H140" s="6" t="inlineStr">
        <is>
          <t>K5 Evaluation contract</t>
        </is>
      </c>
      <c r="I140" s="6" t="inlineStr">
        <is>
          <t>G4 Before claims</t>
        </is>
      </c>
      <c r="J140" s="6" t="inlineStr">
        <is>
          <t>Normal</t>
        </is>
      </c>
      <c r="K140" s="6" t="n">
        <v>190</v>
      </c>
      <c r="L140" s="6" t="inlineStr">
        <is>
          <t>W3 Pilots (AUTH)</t>
        </is>
      </c>
      <c r="M140" s="6" t="inlineStr">
        <is>
          <t>S20</t>
        </is>
      </c>
      <c r="N140" s="6" t="inlineStr">
        <is>
          <t>Lead / team</t>
        </is>
      </c>
      <c r="O140" s="6" t="inlineStr">
        <is>
          <t>Q-J29, Q-J21</t>
        </is>
      </c>
      <c r="P140" s="6" t="inlineStr">
        <is>
          <t>No</t>
        </is>
      </c>
      <c r="Q140" s="6" t="inlineStr">
        <is>
          <t>Claim to test</t>
        </is>
      </c>
      <c r="R140" s="6" t="inlineStr">
        <is>
          <t>Item</t>
        </is>
      </c>
      <c r="S140" s="6" t="inlineStr"/>
      <c r="T140" s="6" t="inlineStr">
        <is>
          <t>REQ-A1 A12: LLM behaviour does not transfer across models. Empirical claim; affects how many evaluation models are needed (U12).</t>
        </is>
      </c>
      <c r="U140"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 2026-10-21 (AUTH-018): verbatim context: 'Every LLM thinks differently' is said in an argument about interpretability of an LLM's reasoning, not about how many models to evaluate (INT-T-004 E362-E376).</t>
        </is>
      </c>
      <c r="V140" s="6" t="inlineStr">
        <is>
          <t>Empirical claim; affects how many evaluation models are needed (U12).</t>
        </is>
      </c>
      <c r="W140" s="6" t="inlineStr"/>
      <c r="X140" s="6" t="inlineStr"/>
      <c r="Y140" s="6" t="inlineStr">
        <is>
          <t>Q-J21, Q-J29</t>
        </is>
      </c>
      <c r="Z140" s="6" t="inlineStr"/>
      <c r="AA140" s="6" t="inlineStr"/>
      <c r="AB140" s="6" t="inlineStr">
        <is>
          <t>DATA</t>
        </is>
      </c>
      <c r="AC140" s="6" t="inlineStr">
        <is>
          <t>n/a (REGISTER E)</t>
        </is>
      </c>
      <c r="AD140" s="6" t="inlineStr">
        <is>
          <t>NEW (repo sweep)</t>
        </is>
      </c>
      <c r="AE140" s="6" t="inlineStr">
        <is>
          <t>2026-10-21</t>
        </is>
      </c>
      <c r="AF140" s="6" t="inlineStr">
        <is>
          <t>INT-T-004 (requirements/intake/2026-10-21-supervisor-meeting-2026-10-02-excerpts.md); mapping design/ledger/notes/MEETINGS-MAPPING-20261021.md checked line by line by FND-0035 and FND-0036; REGISTER section H</t>
        </is>
      </c>
      <c r="AG140" s="6" t="inlineStr"/>
      <c r="AH140" s="6" t="inlineStr">
        <is>
          <t>Yes</t>
        </is>
      </c>
      <c r="AI140" s="6" t="inlineStr"/>
      <c r="AJ140" s="6" t="inlineStr">
        <is>
          <t>repo: REGISTER section E / EXT-0004</t>
        </is>
      </c>
      <c r="AK140" s="6" t="inlineStr">
        <is>
          <t>REQ-A1 A12</t>
        </is>
      </c>
      <c r="AL140" s="6" t="inlineStr">
        <is>
          <t>S11</t>
        </is>
      </c>
    </row>
    <row r="141" ht="65.5" customHeight="1">
      <c r="A141" s="5" t="inlineStr">
        <is>
          <t>AS-14</t>
        </is>
      </c>
      <c r="B141" s="6" t="inlineStr">
        <is>
          <t>Supervisor assertion A14: a trivial 'hello' / 'hi' exchange consumes about 10,000 tokens where 10-30 would do</t>
        </is>
      </c>
      <c r="C141" s="6" t="inlineStr">
        <is>
          <t>OPEN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K12 Selector &amp; need estimation</t>
        </is>
      </c>
      <c r="I141" s="6" t="inlineStr">
        <is>
          <t>G4 Before claims</t>
        </is>
      </c>
      <c r="J141" s="6" t="inlineStr">
        <is>
          <t>Normal</t>
        </is>
      </c>
      <c r="K141" s="6" t="n">
        <v>191</v>
      </c>
      <c r="L141" s="6" t="inlineStr">
        <is>
          <t>W3 Pilots (AUTH)</t>
        </is>
      </c>
      <c r="M141" s="6" t="inlineStr">
        <is>
          <t>S20</t>
        </is>
      </c>
      <c r="N141" s="6" t="inlineStr">
        <is>
          <t>Team</t>
        </is>
      </c>
      <c r="O141" s="6" t="inlineStr">
        <is>
          <t>Part of the first token-accounting measurement</t>
        </is>
      </c>
      <c r="P141" s="6" t="inlineStr">
        <is>
          <t>No</t>
        </is>
      </c>
      <c r="Q141" s="6" t="inlineStr">
        <is>
          <t>Claim to test</t>
        </is>
      </c>
      <c r="R141" s="6" t="inlineStr">
        <is>
          <t>Item</t>
        </is>
      </c>
      <c r="S141" s="6" t="inlineStr"/>
      <c r="T141" s="6" t="inlineStr">
        <is>
          <t>Said on 21 October (INT-T-002 L190-L207). Testable directly in the first token-accounting measurement (E1).</t>
        </is>
      </c>
      <c r="U141" s="6" t="inlineStr">
        <is>
          <t>Recorded as his assertion.</t>
        </is>
      </c>
      <c r="V141" s="6" t="inlineStr">
        <is>
          <t>Measured on the named provider and agent setup.</t>
        </is>
      </c>
      <c r="W141" s="6" t="inlineStr"/>
      <c r="X141" s="6" t="inlineStr"/>
      <c r="Y141" s="6" t="inlineStr"/>
      <c r="Z141" s="6" t="inlineStr"/>
      <c r="AA141" s="6" t="inlineStr"/>
      <c r="AB141" s="6" t="inlineStr">
        <is>
          <t>DATA</t>
        </is>
      </c>
      <c r="AC141" s="6" t="inlineStr">
        <is>
          <t>n/a (new, 21 Oct meeting)</t>
        </is>
      </c>
      <c r="AD141" s="6" t="inlineStr">
        <is>
          <t>NEW (supervisor meeting 2026-10-21)</t>
        </is>
      </c>
      <c r="AE141" s="6" t="inlineStr">
        <is>
          <t>2026-10-21</t>
        </is>
      </c>
      <c r="AF141" s="6" t="inlineStr">
        <is>
          <t>INT-T-002 (requirements/intake/2026-10-21-supervisor-meeting-2026-10-21-notes-and-transcript.md); mapping design/ledger/notes/MEETINGS-MAPPING-20261021.md checked line by line by FND-0035 and FND-0036; REGISTER section H</t>
        </is>
      </c>
      <c r="AG141" s="6" t="inlineStr"/>
      <c r="AH141" s="6" t="inlineStr">
        <is>
          <t>Yes for any experiment</t>
        </is>
      </c>
      <c r="AI141" s="6" t="inlineStr"/>
      <c r="AJ141" s="6" t="inlineStr">
        <is>
          <t>Supervisor meetings intake (AUTH-018)</t>
        </is>
      </c>
      <c r="AK141" s="6" t="inlineStr"/>
      <c r="AL141" s="6" t="inlineStr">
        <is>
          <t>S11</t>
        </is>
      </c>
    </row>
    <row r="142" ht="165.5" customHeight="1">
      <c r="A142" s="5" t="inlineStr">
        <is>
          <t>AS-15</t>
        </is>
      </c>
      <c r="B142" s="6" t="inlineStr">
        <is>
          <t>Supervisor assertion A15: information added to an explicit cache can stay for the whole conversation at negligible cost</t>
        </is>
      </c>
      <c r="C142" s="6" t="inlineStr">
        <is>
          <t>PARTLY ANSWERED</t>
        </is>
      </c>
      <c r="D142" s="6">
        <f>IFERROR(INDEX(Lists!$B$2:$B$14,MATCH(C142,Lists!$A$2:$A$14,0)),"?")</f>
        <v/>
      </c>
      <c r="E142" s="6">
        <f>IF(COUNTIFS(Links!$B$2:$B$600,A142,Links!$E$2:$E$600,"Yes")&gt;0,"REVISE","")</f>
        <v/>
      </c>
      <c r="F142" s="6">
        <f>COUNTIFS(Links!$B$2:$B$600,A142,Links!$D$2:$D$600,"No",Links!$C$2:$C$600,"&lt;&gt;INFORMS")</f>
        <v/>
      </c>
      <c r="G142" s="13" t="inlineStr">
        <is>
          <t>DESK-ANALYSIS</t>
        </is>
      </c>
      <c r="H142" s="6" t="inlineStr">
        <is>
          <t>K12 Selector &amp; need estimation</t>
        </is>
      </c>
      <c r="I142" s="6" t="inlineStr">
        <is>
          <t>G4 Before claims</t>
        </is>
      </c>
      <c r="J142" s="6" t="inlineStr">
        <is>
          <t>Normal</t>
        </is>
      </c>
      <c r="K142" s="6" t="n">
        <v>192</v>
      </c>
      <c r="L142" s="6" t="inlineStr">
        <is>
          <t>W3 Pilots (AUTH)</t>
        </is>
      </c>
      <c r="M142" s="6" t="inlineStr">
        <is>
          <t>S20</t>
        </is>
      </c>
      <c r="N142" s="6" t="inlineStr">
        <is>
          <t>Lead + steward</t>
        </is>
      </c>
      <c r="O142" s="6" t="inlineStr">
        <is>
          <t>Desk arithmetic with the stored prices; the billing probe settles it</t>
        </is>
      </c>
      <c r="P142" s="6" t="inlineStr">
        <is>
          <t>No</t>
        </is>
      </c>
      <c r="Q142" s="6" t="inlineStr">
        <is>
          <t>Claim to test</t>
        </is>
      </c>
      <c r="R142" s="6" t="inlineStr">
        <is>
          <t>Item</t>
        </is>
      </c>
      <c r="S142" s="6" t="inlineStr"/>
      <c r="T142" s="6" t="inlineStr">
        <is>
          <t>Said on 21 October in the part he calls 'all in theory' (INT-T-002 L207-L209, L221).</t>
        </is>
      </c>
      <c r="U142" s="6" t="inlineStr">
        <is>
          <t>Stored price evidence bears on it: Anthropic cache writes cost 1.25x (5-minute) or 2x (1-hour) the input price and reads 0.1x (0.05x on Opus 5.5 and Sonnet 5.5), with lifetimes of 5 minutes or 1 hour (EXT-0150, EXT-0152, EXT-0085, recheck of 2026-10-19); Gemini explicit caches are charged for storage per hour ($0.50 per million tokens per hour through 2026). So reads are cheap, but writes cost more than plain input and a cache kept for a long conversation must be refreshed or paid for by the hour; whether the total is 'negligible' depends on the turn rate and the provider. Not settled.</t>
        </is>
      </c>
      <c r="V142" s="6" t="inlineStr">
        <is>
          <t>A cost calculation for named providers and turn rates, or a billing probe (E7).</t>
        </is>
      </c>
      <c r="W142" s="6" t="inlineStr"/>
      <c r="X142" s="6" t="inlineStr"/>
      <c r="Y142" s="6" t="inlineStr"/>
      <c r="Z142" s="6" t="inlineStr"/>
      <c r="AA142" s="6" t="inlineStr"/>
      <c r="AB142" s="6" t="inlineStr">
        <is>
          <t>SOURCE+DATA</t>
        </is>
      </c>
      <c r="AC142" s="6" t="inlineStr">
        <is>
          <t>n/a (new, 21 Oct meeting)</t>
        </is>
      </c>
      <c r="AD142" s="6" t="inlineStr">
        <is>
          <t>NEW (supervisor meeting 2026-10-21)</t>
        </is>
      </c>
      <c r="AE142" s="6" t="inlineStr">
        <is>
          <t>2026-10-21</t>
        </is>
      </c>
      <c r="AF142" s="6" t="inlineStr">
        <is>
          <t>INT-T-002 (requirements/intake/2026-10-21-supervisor-meeting-2026-10-21-notes-and-transcript.md); EXT-0150, EXT-0152, EXT-0085; mapping design/ledger/notes/MEETINGS-MAPPING-20261021.md checked line by line by FND-0035 and FND-0036; REGISTER section H</t>
        </is>
      </c>
      <c r="AG142" s="6" t="inlineStr"/>
      <c r="AH142" s="6" t="inlineStr">
        <is>
          <t>No</t>
        </is>
      </c>
      <c r="AI142" s="6" t="inlineStr"/>
      <c r="AJ142" s="6" t="inlineStr">
        <is>
          <t>Supervisor meetings intake (AUTH-018)</t>
        </is>
      </c>
      <c r="AK142" s="6" t="inlineStr"/>
      <c r="AL142" s="6" t="inlineStr">
        <is>
          <t>S11</t>
        </is>
      </c>
    </row>
    <row r="143" ht="300" customHeight="1">
      <c r="A143" s="5" t="inlineStr">
        <is>
          <t>AS-06</t>
        </is>
      </c>
      <c r="B143" s="6" t="inlineStr">
        <is>
          <t>Supervisor assertion A6: ~50% token reduction is 'low-hanging fruit' with no accuracy loss; 50% to 10% is the hard part</t>
        </is>
      </c>
      <c r="C143" s="6" t="inlineStr">
        <is>
          <t>PARTLY ANSWERED</t>
        </is>
      </c>
      <c r="D143" s="6">
        <f>IFERROR(INDEX(Lists!$B$2:$B$14,MATCH(C143,Lists!$A$2:$A$14,0)),"?")</f>
        <v/>
      </c>
      <c r="E143" s="6">
        <f>IF(COUNTIFS(Links!$B$2:$B$600,A143,Links!$E$2:$E$600,"Yes")&gt;0,"REVISE","")</f>
        <v/>
      </c>
      <c r="F143" s="6">
        <f>COUNTIFS(Links!$B$2:$B$600,A143,Links!$D$2:$D$600,"No",Links!$C$2:$C$600,"&lt;&gt;INFORMS")</f>
        <v/>
      </c>
      <c r="G143" s="17" t="inlineStr">
        <is>
          <t>TEST-PILOT</t>
        </is>
      </c>
      <c r="H143" s="6" t="inlineStr">
        <is>
          <t>K12 Selector &amp; need estimation</t>
        </is>
      </c>
      <c r="I143" s="6" t="inlineStr">
        <is>
          <t>G4 Before claims</t>
        </is>
      </c>
      <c r="J143" s="6" t="inlineStr">
        <is>
          <t>Normal</t>
        </is>
      </c>
      <c r="K143" s="6" t="n">
        <v>193</v>
      </c>
      <c r="L143" s="6" t="inlineStr">
        <is>
          <t>W3 Pilots (AUTH)</t>
        </is>
      </c>
      <c r="M143" s="6" t="inlineStr">
        <is>
          <t>S20</t>
        </is>
      </c>
      <c r="N143" s="6" t="inlineStr">
        <is>
          <t>Lead / team</t>
        </is>
      </c>
      <c r="O143" s="6" t="inlineStr">
        <is>
          <t>Q-J29; a measurement would test it</t>
        </is>
      </c>
      <c r="P143" s="6" t="inlineStr">
        <is>
          <t>No</t>
        </is>
      </c>
      <c r="Q143" s="6" t="inlineStr">
        <is>
          <t>Claim to test</t>
        </is>
      </c>
      <c r="R143" s="6" t="inlineStr">
        <is>
          <t>Item</t>
        </is>
      </c>
      <c r="S143" s="6" t="inlineStr"/>
      <c r="T143" s="6" t="inlineStr">
        <is>
          <t>REQ-A1 A6: ~50% token reduction is 'low-hanging fruit' with no accuracy loss; 50% to 10% is the hard part. Quantitative claim; needs sources or measurement (the same premise as C-S15).</t>
        </is>
      </c>
      <c r="U143"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 2026-10-21 (AUTH-018): verbatim: 'If you reduce until 50% the accuracy is not hit at all. It should be like that ... maybe not for NCP atlas I don't know but for most uh production system 50% token reduction is just uh the lowhanging fruit' (INT-T-004 E743-E747).</t>
        </is>
      </c>
      <c r="V143" s="6" t="inlineStr">
        <is>
          <t>Quantitative claim; needs sources or measurement (the same premise as C-S15).</t>
        </is>
      </c>
      <c r="W143" s="6" t="inlineStr">
        <is>
          <t>C-D09, C-D08</t>
        </is>
      </c>
      <c r="X143" s="6" t="inlineStr"/>
      <c r="Y143" s="6" t="inlineStr">
        <is>
          <t>Q-J29</t>
        </is>
      </c>
      <c r="Z143" s="6" t="inlineStr"/>
      <c r="AA143" s="6" t="inlineStr"/>
      <c r="AB143" s="6" t="inlineStr">
        <is>
          <t>DATA</t>
        </is>
      </c>
      <c r="AC143" s="6" t="inlineStr">
        <is>
          <t>n/a (REGISTER E)</t>
        </is>
      </c>
      <c r="AD143" s="6" t="inlineStr">
        <is>
          <t>NEW (repo sweep)</t>
        </is>
      </c>
      <c r="AE143" s="6" t="inlineStr">
        <is>
          <t>2026-10-21</t>
        </is>
      </c>
      <c r="AF143" s="6" t="inlineStr">
        <is>
          <t>INT-T-004 (requirements/intake/2026-10-21-supervisor-meeting-2026-10-02-excerpts.md); mapping design/ledger/notes/MEETINGS-MAPPING-20261021.md checked line by line by FND-0035 and FND-0036; REGISTER section H</t>
        </is>
      </c>
      <c r="AG143" s="6" t="inlineStr"/>
      <c r="AH143" s="6" t="inlineStr">
        <is>
          <t>Yes</t>
        </is>
      </c>
      <c r="AI143" s="6" t="inlineStr"/>
      <c r="AJ143" s="6" t="inlineStr">
        <is>
          <t>repo: REGISTER section E / EXT-0004</t>
        </is>
      </c>
      <c r="AK143" s="6" t="inlineStr">
        <is>
          <t>REQ-A1 A6</t>
        </is>
      </c>
      <c r="AL143" s="6" t="inlineStr">
        <is>
          <t>S11</t>
        </is>
      </c>
    </row>
    <row r="144" ht="278" customHeight="1">
      <c r="A144" s="5" t="inlineStr">
        <is>
          <t>AS-13</t>
        </is>
      </c>
      <c r="B144" s="6" t="inlineStr">
        <is>
          <t>Supervisor assertion A13: Filtering 100 to 60 is a safe 'big win'; names only for the lowest tier keep accuracy</t>
        </is>
      </c>
      <c r="C144" s="6" t="inlineStr">
        <is>
          <t>NOT LOCATED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K12 Selector &amp; need estimation</t>
        </is>
      </c>
      <c r="I144" s="6" t="inlineStr">
        <is>
          <t>G4 Before claims</t>
        </is>
      </c>
      <c r="J144" s="6" t="inlineStr">
        <is>
          <t>Normal</t>
        </is>
      </c>
      <c r="K144" s="6" t="n">
        <v>194</v>
      </c>
      <c r="L144" s="6" t="inlineStr">
        <is>
          <t>W3 Pilots (AUTH)</t>
        </is>
      </c>
      <c r="M144" s="6" t="inlineStr">
        <is>
          <t>S20</t>
        </is>
      </c>
      <c r="N144" s="6" t="inlineStr">
        <is>
          <t>Lead / team</t>
        </is>
      </c>
      <c r="O144" s="6" t="inlineStr">
        <is>
          <t>A graded-exposure arm is a candidate pilot cell</t>
        </is>
      </c>
      <c r="P144" s="6" t="inlineStr">
        <is>
          <t>No</t>
        </is>
      </c>
      <c r="Q144" s="6" t="inlineStr">
        <is>
          <t>Claim to test</t>
        </is>
      </c>
      <c r="R144" s="6" t="inlineStr">
        <is>
          <t>Item</t>
        </is>
      </c>
      <c r="S144" s="6" t="inlineStr"/>
      <c r="T144" s="6" t="inlineStr">
        <is>
          <t>REQ-A1 A13: Filtering 100 to 60 is a safe 'big win'; names only for the lowest tier keep accuracy. Untested design claim.</t>
        </is>
      </c>
      <c r="U144"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 2026-10-21 (AUTH-018): verbatim: 'maybe there are 100 tools. I reduce it down to 60 tools. Okay. I at least remove 40 big win for you' and the tiers 'just need to know the name of the tool' with 'This number is not rigid' (INT-T-004 E550-E562).</t>
        </is>
      </c>
      <c r="V144" s="6" t="inlineStr">
        <is>
          <t>Untested design claim.</t>
        </is>
      </c>
      <c r="W144" s="6" t="inlineStr">
        <is>
          <t>C-D09, C-D08</t>
        </is>
      </c>
      <c r="X144" s="6" t="inlineStr"/>
      <c r="Y144" s="6" t="inlineStr">
        <is>
          <t>Q-J29</t>
        </is>
      </c>
      <c r="Z144" s="6" t="inlineStr"/>
      <c r="AA144" s="6" t="inlineStr"/>
      <c r="AB144" s="6" t="inlineStr">
        <is>
          <t>DATA</t>
        </is>
      </c>
      <c r="AC144" s="6" t="inlineStr">
        <is>
          <t>n/a (REGISTER E)</t>
        </is>
      </c>
      <c r="AD144" s="6" t="inlineStr">
        <is>
          <t>NEW (repo sweep)</t>
        </is>
      </c>
      <c r="AE144" s="6" t="inlineStr">
        <is>
          <t>2026-10-21</t>
        </is>
      </c>
      <c r="AF144" s="6" t="inlineStr">
        <is>
          <t>INT-T-004 (requirements/intake/2026-10-21-supervisor-meeting-2026-10-02-excerpts.md); mapping design/ledger/notes/MEETINGS-MAPPING-20261021.md checked line by line by FND-0035 and FND-0036; REGISTER section H</t>
        </is>
      </c>
      <c r="AG144" s="6" t="inlineStr"/>
      <c r="AH144" s="6" t="inlineStr">
        <is>
          <t>Yes</t>
        </is>
      </c>
      <c r="AI144" s="6" t="inlineStr"/>
      <c r="AJ144" s="6" t="inlineStr">
        <is>
          <t>repo: REGISTER section E / EXT-0004</t>
        </is>
      </c>
      <c r="AK144" s="6" t="inlineStr">
        <is>
          <t>REQ-A1 A13</t>
        </is>
      </c>
      <c r="AL144" s="6" t="inlineStr">
        <is>
          <t>S11</t>
        </is>
      </c>
    </row>
    <row r="145" ht="40.5" customHeight="1">
      <c r="A145" s="5" t="inlineStr">
        <is>
          <t>C-S12</t>
        </is>
      </c>
      <c r="B145" s="6" t="inlineStr">
        <is>
          <t>Need labels and selector recall at large catalogue size have no valid estimator when the full reference can...</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K12 Selector &amp; need estimation</t>
        </is>
      </c>
      <c r="I145" s="6" t="inlineStr">
        <is>
          <t>G3 Before confirmatory study</t>
        </is>
      </c>
      <c r="J145" s="6" t="inlineStr">
        <is>
          <t>Normal</t>
        </is>
      </c>
      <c r="K145" s="6" t="n">
        <v>195</v>
      </c>
      <c r="L145" s="6" t="inlineStr">
        <is>
          <t>W3 Pilots (AUTH)</t>
        </is>
      </c>
      <c r="M145" s="6" t="inlineStr">
        <is>
          <t>S20</t>
        </is>
      </c>
      <c r="N145" s="6" t="inlineStr">
        <is>
          <t>Team</t>
        </is>
      </c>
      <c r="O145" s="6" t="inlineStr">
        <is>
          <t>Needs an AUTH and a protocol</t>
        </is>
      </c>
      <c r="P145" s="6" t="inlineStr">
        <is>
          <t>No</t>
        </is>
      </c>
      <c r="Q145" s="6" t="inlineStr">
        <is>
          <t>Scientific unknown</t>
        </is>
      </c>
      <c r="R145" s="6" t="inlineStr">
        <is>
          <t>Item</t>
        </is>
      </c>
      <c r="S145" s="6" t="inlineStr"/>
      <c r="T145" s="6" t="inlineStr">
        <is>
          <t>Need labels and selector recall at large catalogue size have no valid estimator when the full reference cannot run.</t>
        </is>
      </c>
      <c r="U145" s="6" t="inlineStr">
        <is>
          <t>v4 brief: no legitimate labelled data for request-level narrowing recall.</t>
        </is>
      </c>
      <c r="V145" s="6" t="inlineStr">
        <is>
          <t>Estimator tested where the reference fits; transfer limit stated.</t>
        </is>
      </c>
      <c r="W145" s="6" t="inlineStr">
        <is>
          <t>C-D09, C-D08</t>
        </is>
      </c>
      <c r="X145" s="6" t="inlineStr">
        <is>
          <t>C-D11</t>
        </is>
      </c>
      <c r="Y145" s="6" t="inlineStr">
        <is>
          <t>Q-U03</t>
        </is>
      </c>
      <c r="Z145" s="6" t="inlineStr">
        <is>
          <t>LITERATURE-DIRECTED, ACCEPT-LIMITATION</t>
        </is>
      </c>
      <c r="AA145" s="6" t="inlineStr">
        <is>
          <t>K7 Large-catalogue reference</t>
        </is>
      </c>
      <c r="AB145" s="6" t="inlineStr">
        <is>
          <t>DATA+BOUND</t>
        </is>
      </c>
      <c r="AC145" s="6" t="inlineStr">
        <is>
          <t>OPEN</t>
        </is>
      </c>
      <c r="AD145" s="6" t="inlineStr">
        <is>
          <t>UNCHANGED</t>
        </is>
      </c>
      <c r="AE145" s="6" t="inlineStr">
        <is>
          <t>2026-10-19</t>
        </is>
      </c>
      <c r="AF145" s="6" t="inlineStr">
        <is>
          <t>v4-01 section 6 item 5</t>
        </is>
      </c>
      <c r="AG145" s="6" t="inlineStr"/>
      <c r="AH145" s="6" t="inlineStr">
        <is>
          <t>Yes</t>
        </is>
      </c>
      <c r="AI145" s="6" t="inlineStr"/>
      <c r="AJ145" s="6" t="inlineStr">
        <is>
          <t>SRC-11 canonical</t>
        </is>
      </c>
      <c r="AK145" s="6" t="inlineStr">
        <is>
          <t>SRC-06 S30, SRC-07 15, RA2, v3-04 objection 4</t>
        </is>
      </c>
      <c r="AL145" s="6" t="inlineStr">
        <is>
          <t>S13</t>
        </is>
      </c>
    </row>
    <row r="146" ht="28" customHeight="1">
      <c r="A146" s="5" t="inlineStr">
        <is>
          <t>C-S12/RA13</t>
        </is>
      </c>
      <c r="B146" s="6" t="inlineStr">
        <is>
          <t>RA13: model query vocabulary matches tool descriptions well enough</t>
        </is>
      </c>
      <c r="C146" s="6" t="inlineStr">
        <is>
          <t>OPEN</t>
        </is>
      </c>
      <c r="D146" s="6">
        <f>IFERROR(INDEX(Lists!$B$2:$B$14,MATCH(C146,Lists!$A$2:$A$14,0)),"?")</f>
        <v/>
      </c>
      <c r="E146" s="6">
        <f>IF(COUNTIFS(Links!$B$2:$B$600,A146,Links!$E$2:$E$600,"Yes")&gt;0,"REVISE","")</f>
        <v/>
      </c>
      <c r="F146" s="6">
        <f>COUNTIFS(Links!$B$2:$B$600,A146,Links!$D$2:$D$600,"No",Links!$C$2:$C$600,"&lt;&gt;INFORMS")</f>
        <v/>
      </c>
      <c r="G146" s="17" t="inlineStr">
        <is>
          <t>TEST-PILOT</t>
        </is>
      </c>
      <c r="H146" s="6" t="inlineStr">
        <is>
          <t>K12 Selector &amp; need estimation</t>
        </is>
      </c>
      <c r="I146" s="6" t="inlineStr">
        <is>
          <t>G3 Before confirmatory study</t>
        </is>
      </c>
      <c r="J146" s="6" t="inlineStr">
        <is>
          <t>Normal</t>
        </is>
      </c>
      <c r="K146" s="6" t="n">
        <v>196</v>
      </c>
      <c r="L146" s="6" t="inlineStr">
        <is>
          <t>W3 Pilots (AUTH)</t>
        </is>
      </c>
      <c r="M146" s="6" t="inlineStr">
        <is>
          <t>S20</t>
        </is>
      </c>
      <c r="N146" s="6" t="inlineStr">
        <is>
          <t>Team</t>
        </is>
      </c>
      <c r="O146" s="6" t="inlineStr">
        <is>
          <t>Needs an AUTH and a protocol</t>
        </is>
      </c>
      <c r="P146" s="6" t="inlineStr">
        <is>
          <t>No</t>
        </is>
      </c>
      <c r="Q146" s="6" t="inlineStr">
        <is>
          <t>Assumption</t>
        </is>
      </c>
      <c r="R146" s="6" t="inlineStr">
        <is>
          <t>Sub-item</t>
        </is>
      </c>
      <c r="S146" s="6" t="inlineStr">
        <is>
          <t>C-S12</t>
        </is>
      </c>
      <c r="T146" s="6" t="inlineStr">
        <is>
          <t>Recovery assumption RA13: a vocabulary mismatch is a recall failure counted in q.</t>
        </is>
      </c>
      <c r="U146" s="6" t="inlineStr">
        <is>
          <t>Assumption.</t>
        </is>
      </c>
      <c r="V146" s="6" t="inlineStr">
        <is>
          <t>Recall measured per query style.</t>
        </is>
      </c>
      <c r="W146" s="6" t="inlineStr">
        <is>
          <t>C-D09, C-D08</t>
        </is>
      </c>
      <c r="X146" s="6" t="inlineStr"/>
      <c r="Y146" s="6" t="inlineStr"/>
      <c r="Z146" s="6" t="inlineStr"/>
      <c r="AA146" s="6" t="inlineStr"/>
      <c r="AB146" s="6" t="inlineStr">
        <is>
          <t>DATA</t>
        </is>
      </c>
      <c r="AC146" s="6" t="inlineStr">
        <is>
          <t>n/a (sub-item)</t>
        </is>
      </c>
      <c r="AD146" s="6" t="inlineStr">
        <is>
          <t>NEW (SRC-11 sub-row)</t>
        </is>
      </c>
      <c r="AE146" s="6" t="inlineStr">
        <is>
          <t>2026-10-19</t>
        </is>
      </c>
      <c r="AF146" s="6" t="inlineStr">
        <is>
          <t>v3-02 section 4</t>
        </is>
      </c>
      <c r="AG146" s="6" t="inlineStr"/>
      <c r="AH146" s="6" t="inlineStr">
        <is>
          <t>Yes</t>
        </is>
      </c>
      <c r="AI146" s="6" t="inlineStr"/>
      <c r="AJ146" s="6" t="inlineStr">
        <is>
          <t>repo: v3-02 section 4</t>
        </is>
      </c>
      <c r="AK146" s="6" t="inlineStr">
        <is>
          <t>RA13</t>
        </is>
      </c>
      <c r="AL146" s="6" t="inlineStr">
        <is>
          <t>S13</t>
        </is>
      </c>
    </row>
    <row r="147" ht="40.5" customHeight="1">
      <c r="A147" s="5" t="inlineStr">
        <is>
          <t>C-S15</t>
        </is>
      </c>
      <c r="B147" s="6" t="inlineStr">
        <is>
          <t>Does a concentrated usage core exist and transfer to held-out tasks; do model-count effects hold at matched...</t>
        </is>
      </c>
      <c r="C147" s="6" t="inlineStr">
        <is>
          <t>OPEN</t>
        </is>
      </c>
      <c r="D147" s="6">
        <f>IFERROR(INDEX(Lists!$B$2:$B$14,MATCH(C147,Lists!$A$2:$A$14,0)),"?")</f>
        <v/>
      </c>
      <c r="E147" s="6">
        <f>IF(COUNTIFS(Links!$B$2:$B$600,A147,Links!$E$2:$E$600,"Yes")&gt;0,"REVISE","")</f>
        <v/>
      </c>
      <c r="F147" s="6">
        <f>COUNTIFS(Links!$B$2:$B$600,A147,Links!$D$2:$D$600,"No",Links!$C$2:$C$600,"&lt;&gt;INFORMS")</f>
        <v/>
      </c>
      <c r="G147" s="17" t="inlineStr">
        <is>
          <t>TEST-PILOT</t>
        </is>
      </c>
      <c r="H147" s="6" t="inlineStr">
        <is>
          <t>K12 Selector &amp; need estimation</t>
        </is>
      </c>
      <c r="I147" s="6" t="inlineStr">
        <is>
          <t>G3 Before confirmatory study</t>
        </is>
      </c>
      <c r="J147" s="6" t="inlineStr">
        <is>
          <t>Normal</t>
        </is>
      </c>
      <c r="K147" s="6" t="n">
        <v>197</v>
      </c>
      <c r="L147" s="6" t="inlineStr">
        <is>
          <t>W3 Pilots (AUTH)</t>
        </is>
      </c>
      <c r="M147" s="6" t="inlineStr">
        <is>
          <t>S20</t>
        </is>
      </c>
      <c r="N147" s="6" t="inlineStr">
        <is>
          <t>Team</t>
        </is>
      </c>
      <c r="O147" s="6" t="inlineStr">
        <is>
          <t>Needs an AUTH and a protocol</t>
        </is>
      </c>
      <c r="P147" s="6" t="inlineStr">
        <is>
          <t>No</t>
        </is>
      </c>
      <c r="Q147" s="6" t="inlineStr">
        <is>
          <t>Scientific unknown</t>
        </is>
      </c>
      <c r="R147" s="6" t="inlineStr">
        <is>
          <t>Item</t>
        </is>
      </c>
      <c r="S147" s="6" t="inlineStr"/>
      <c r="T147" s="6" t="inlineStr">
        <is>
          <t>Does a concentrated usage core exist and transfer to held-out tasks; do model-count effects hold at matched tokens?</t>
        </is>
      </c>
      <c r="U147" s="6" t="inlineStr">
        <is>
          <t>No held-out evidence (HYP-0014 proposed); C-A already demoted to a component.</t>
        </is>
      </c>
      <c r="V147" s="6" t="inlineStr">
        <is>
          <t>Held-out core test plus matched-token contrasts.</t>
        </is>
      </c>
      <c r="W147" s="6" t="inlineStr">
        <is>
          <t>C-D09, C-D08</t>
        </is>
      </c>
      <c r="X147" s="6" t="inlineStr">
        <is>
          <t>C-D11, C-S01</t>
        </is>
      </c>
      <c r="Y147" s="6" t="inlineStr">
        <is>
          <t>Q-J27, Q-U03</t>
        </is>
      </c>
      <c r="Z147" s="6" t="inlineStr"/>
      <c r="AA147" s="6" t="inlineStr">
        <is>
          <t>K10 Token composition</t>
        </is>
      </c>
      <c r="AB147" s="6" t="inlineStr">
        <is>
          <t>DATA</t>
        </is>
      </c>
      <c r="AC147" s="6" t="inlineStr">
        <is>
          <t>OPEN</t>
        </is>
      </c>
      <c r="AD147" s="6" t="inlineStr">
        <is>
          <t>UNCHANGED</t>
        </is>
      </c>
      <c r="AE147" s="6" t="inlineStr">
        <is>
          <t>2026-10-19</t>
        </is>
      </c>
      <c r="AF147" s="6" t="inlineStr">
        <is>
          <t>HYP-0014; v4-01 section 5</t>
        </is>
      </c>
      <c r="AG147" s="6" t="inlineStr"/>
      <c r="AH147" s="6" t="inlineStr">
        <is>
          <t>Yes</t>
        </is>
      </c>
      <c r="AI147" s="6" t="inlineStr"/>
      <c r="AJ147" s="6" t="inlineStr">
        <is>
          <t>SRC-11 canonical</t>
        </is>
      </c>
      <c r="AK147" s="6" t="inlineStr">
        <is>
          <t>SRC-06 S33, SRC-06 S39, HYP-0014</t>
        </is>
      </c>
      <c r="AL147" s="6" t="inlineStr">
        <is>
          <t>S20</t>
        </is>
      </c>
    </row>
    <row r="148" ht="28" customHeight="1">
      <c r="A148" s="5" t="inlineStr">
        <is>
          <t>C-X03</t>
        </is>
      </c>
      <c r="B148" s="6" t="inlineStr">
        <is>
          <t>E3/E8: selector recall plus need-estimator check that answers C-S12.</t>
        </is>
      </c>
      <c r="C148" s="6" t="inlineStr">
        <is>
          <t>UNRUN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K12 Selector &amp; need estimation</t>
        </is>
      </c>
      <c r="I148" s="6" t="inlineStr">
        <is>
          <t>G3 Before confirmatory study</t>
        </is>
      </c>
      <c r="J148" s="6" t="inlineStr">
        <is>
          <t>Normal</t>
        </is>
      </c>
      <c r="K148" s="6" t="n">
        <v>198</v>
      </c>
      <c r="L148" s="6" t="inlineStr">
        <is>
          <t>W3 Pilots (AUTH)</t>
        </is>
      </c>
      <c r="M148" s="6" t="inlineStr">
        <is>
          <t>S20</t>
        </is>
      </c>
      <c r="N148" s="6" t="inlineStr">
        <is>
          <t>Team</t>
        </is>
      </c>
      <c r="O148" s="6" t="inlineStr">
        <is>
          <t>Needs an AUTH and a protocol</t>
        </is>
      </c>
      <c r="P148" s="6" t="inlineStr">
        <is>
          <t>No</t>
        </is>
      </c>
      <c r="Q148" s="6" t="inlineStr">
        <is>
          <t>Test</t>
        </is>
      </c>
      <c r="R148" s="6" t="inlineStr">
        <is>
          <t>Check</t>
        </is>
      </c>
      <c r="S148" s="6" t="inlineStr"/>
      <c r="T148" s="6" t="inlineStr">
        <is>
          <t>E3/E8: selector recall plus need-estimator check that answers C-S12.</t>
        </is>
      </c>
      <c r="U148" s="6" t="inlineStr">
        <is>
          <t>Not run.</t>
        </is>
      </c>
      <c r="V148" s="6" t="inlineStr">
        <is>
          <t>Same as C-S12.</t>
        </is>
      </c>
      <c r="W148" s="6" t="inlineStr">
        <is>
          <t>C-D09, C-D08</t>
        </is>
      </c>
      <c r="X148" s="6" t="inlineStr">
        <is>
          <t>C-D11</t>
        </is>
      </c>
      <c r="Y148" s="6" t="inlineStr"/>
      <c r="Z148" s="6" t="inlineStr"/>
      <c r="AA148" s="6" t="inlineStr"/>
      <c r="AB148" s="6" t="inlineStr">
        <is>
          <t>DATA</t>
        </is>
      </c>
      <c r="AC148" s="6" t="inlineStr">
        <is>
          <t>NO RESULT - OPEN</t>
        </is>
      </c>
      <c r="AD148" s="6" t="inlineStr">
        <is>
          <t>UNCHANGED</t>
        </is>
      </c>
      <c r="AE148" s="6" t="inlineStr">
        <is>
          <t>2026-10-19</t>
        </is>
      </c>
      <c r="AF148" s="6" t="inlineStr">
        <is>
          <t>v3-04 section 4</t>
        </is>
      </c>
      <c r="AG148" s="6" t="inlineStr"/>
      <c r="AH148" s="6" t="inlineStr">
        <is>
          <t>Yes</t>
        </is>
      </c>
      <c r="AI148" s="6" t="inlineStr"/>
      <c r="AJ148" s="6" t="inlineStr">
        <is>
          <t>SRC-11 canonical</t>
        </is>
      </c>
      <c r="AK148" s="6" t="inlineStr">
        <is>
          <t>E3, E8</t>
        </is>
      </c>
      <c r="AL148" s="6" t="inlineStr">
        <is>
          <t>S20</t>
        </is>
      </c>
    </row>
    <row r="149" ht="28" customHeight="1">
      <c r="A149" s="5" t="inlineStr">
        <is>
          <t>C-X04</t>
        </is>
      </c>
      <c r="B149" s="6" t="inlineStr">
        <is>
          <t>E4: substitute-reference validity check that answers C-S13.</t>
        </is>
      </c>
      <c r="C149" s="6" t="inlineStr">
        <is>
          <t>UNRUN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K7 Large-catalogue reference</t>
        </is>
      </c>
      <c r="I149" s="6" t="inlineStr">
        <is>
          <t>G3 Before confirmatory study</t>
        </is>
      </c>
      <c r="J149" s="6" t="inlineStr">
        <is>
          <t>Normal</t>
        </is>
      </c>
      <c r="K149" s="6" t="n">
        <v>199</v>
      </c>
      <c r="L149" s="6" t="inlineStr">
        <is>
          <t>W3 Pilots (AUTH)</t>
        </is>
      </c>
      <c r="M149" s="6" t="inlineStr">
        <is>
          <t>S20</t>
        </is>
      </c>
      <c r="N149" s="6" t="inlineStr">
        <is>
          <t>Team</t>
        </is>
      </c>
      <c r="O149" s="6" t="inlineStr">
        <is>
          <t>Needs an AUTH and a protocol</t>
        </is>
      </c>
      <c r="P149" s="6" t="inlineStr">
        <is>
          <t>No</t>
        </is>
      </c>
      <c r="Q149" s="6" t="inlineStr">
        <is>
          <t>Test</t>
        </is>
      </c>
      <c r="R149" s="6" t="inlineStr">
        <is>
          <t>Check</t>
        </is>
      </c>
      <c r="S149" s="6" t="inlineStr"/>
      <c r="T149" s="6" t="inlineStr">
        <is>
          <t>E4: substitute-reference validity check that answers C-S13.</t>
        </is>
      </c>
      <c r="U149" s="6" t="inlineStr">
        <is>
          <t>Not run; cannot prove equivalence at an infeasible size.</t>
        </is>
      </c>
      <c r="V149" s="6" t="inlineStr">
        <is>
          <t>Same as C-S13.</t>
        </is>
      </c>
      <c r="W149" s="6" t="inlineStr">
        <is>
          <t>C-D09, C-D08, C-E06</t>
        </is>
      </c>
      <c r="X149" s="6" t="inlineStr"/>
      <c r="Y149" s="6" t="inlineStr"/>
      <c r="Z149" s="6" t="inlineStr"/>
      <c r="AA149" s="6" t="inlineStr"/>
      <c r="AB149" s="6" t="inlineStr">
        <is>
          <t>DATA</t>
        </is>
      </c>
      <c r="AC149" s="6" t="inlineStr">
        <is>
          <t>NO RESULT - OPEN</t>
        </is>
      </c>
      <c r="AD149" s="6" t="inlineStr">
        <is>
          <t>UNCHANGED</t>
        </is>
      </c>
      <c r="AE149" s="6" t="inlineStr">
        <is>
          <t>2026-10-19</t>
        </is>
      </c>
      <c r="AF149" s="6" t="inlineStr">
        <is>
          <t>v4-02 section 4</t>
        </is>
      </c>
      <c r="AG149" s="6" t="inlineStr"/>
      <c r="AH149" s="6" t="inlineStr">
        <is>
          <t>Yes</t>
        </is>
      </c>
      <c r="AI149" s="6" t="inlineStr"/>
      <c r="AJ149" s="6" t="inlineStr">
        <is>
          <t>SRC-11 canonical</t>
        </is>
      </c>
      <c r="AK149" s="6" t="inlineStr">
        <is>
          <t>E4</t>
        </is>
      </c>
      <c r="AL149" s="6" t="inlineStr">
        <is>
          <t>S20</t>
        </is>
      </c>
    </row>
    <row r="150" ht="40.5" customHeight="1">
      <c r="A150" s="5" t="inlineStr">
        <is>
          <t>C-S20</t>
        </is>
      </c>
      <c r="B150" s="6" t="inlineStr">
        <is>
          <t>Cross-reference to the offline-cost convention, the definition share and the 40-50% premise.</t>
        </is>
      </c>
      <c r="C150" s="6" t="inlineStr">
        <is>
          <t>OPEN</t>
        </is>
      </c>
      <c r="D150" s="6">
        <f>IFERROR(INDEX(Lists!$B$2:$B$14,MATCH(C150,Lists!$A$2:$A$14,0)),"?")</f>
        <v/>
      </c>
      <c r="E150" s="6">
        <f>IF(COUNTIFS(Links!$B$2:$B$600,A150,Links!$E$2:$E$600,"Yes")&gt;0,"REVISE","")</f>
        <v/>
      </c>
      <c r="F150" s="6">
        <f>COUNTIFS(Links!$B$2:$B$600,A150,Links!$D$2:$D$600,"No",Links!$C$2:$C$600,"&lt;&gt;INFORMS")</f>
        <v/>
      </c>
      <c r="G150" s="18" t="inlineStr">
        <is>
          <t>CROSS-REFERENCE</t>
        </is>
      </c>
      <c r="H150" s="6" t="inlineStr">
        <is>
          <t>K2 Objective &amp; accounting</t>
        </is>
      </c>
      <c r="I150" s="6" t="inlineStr">
        <is>
          <t>G3 Before confirmatory study</t>
        </is>
      </c>
      <c r="J150" s="6" t="inlineStr">
        <is>
          <t>Normal</t>
        </is>
      </c>
      <c r="K150" s="6" t="n">
        <v>200</v>
      </c>
      <c r="L150" s="6" t="inlineStr">
        <is>
          <t>W3 Pilots (AUTH)</t>
        </is>
      </c>
      <c r="M150" s="6" t="inlineStr">
        <is>
          <t>S20</t>
        </is>
      </c>
      <c r="N150" s="6" t="inlineStr">
        <is>
          <t>n/a</t>
        </is>
      </c>
      <c r="O150" s="6" t="inlineStr">
        <is>
          <t>None; closes when its parents close</t>
        </is>
      </c>
      <c r="P150" s="6" t="inlineStr">
        <is>
          <t>No</t>
        </is>
      </c>
      <c r="Q150" s="6" t="inlineStr">
        <is>
          <t>Scientific unknown</t>
        </is>
      </c>
      <c r="R150" s="6" t="inlineStr">
        <is>
          <t>Item</t>
        </is>
      </c>
      <c r="S150" s="6" t="inlineStr"/>
      <c r="T150" s="6" t="inlineStr">
        <is>
          <t>Cross-reference to the offline-cost convention, the definition share and the 40-50% premise.</t>
        </is>
      </c>
      <c r="U150" s="6" t="inlineStr">
        <is>
          <t>Closes when C-S17, C-S01, C-S15 close; count their measurements once.</t>
        </is>
      </c>
      <c r="V150" s="6" t="inlineStr">
        <is>
          <t>All three pointed-to items closed.</t>
        </is>
      </c>
      <c r="W150" s="6" t="inlineStr">
        <is>
          <t>C-S17, C-S01, C-S15</t>
        </is>
      </c>
      <c r="X150" s="6" t="inlineStr"/>
      <c r="Y150" s="6" t="inlineStr">
        <is>
          <t>Q-J03, Q-J19</t>
        </is>
      </c>
      <c r="Z150" s="6" t="inlineStr"/>
      <c r="AA150" s="6" t="inlineStr">
        <is>
          <t>K10 Token composition, K12 Selector &amp; need estimation</t>
        </is>
      </c>
      <c r="AB150" s="6" t="inlineStr">
        <is>
          <t>DEC+DATA</t>
        </is>
      </c>
      <c r="AC150" s="6" t="inlineStr">
        <is>
          <t>OPEN</t>
        </is>
      </c>
      <c r="AD150" s="6" t="inlineStr">
        <is>
          <t>UNCHANGED</t>
        </is>
      </c>
      <c r="AE150" s="6" t="inlineStr">
        <is>
          <t>2026-10-19</t>
        </is>
      </c>
      <c r="AF150" s="6" t="inlineStr">
        <is>
          <t>SRC-11 C-S20</t>
        </is>
      </c>
      <c r="AG150" s="6" t="inlineStr"/>
      <c r="AH150" s="6" t="inlineStr">
        <is>
          <t>n/a</t>
        </is>
      </c>
      <c r="AI150" s="6" t="inlineStr"/>
      <c r="AJ150" s="6" t="inlineStr">
        <is>
          <t>SRC-11 canonical</t>
        </is>
      </c>
      <c r="AK150" s="6" t="inlineStr">
        <is>
          <t>SRC-06 S35, SRC-06 S39</t>
        </is>
      </c>
      <c r="AL150" s="6" t="inlineStr">
        <is>
          <t>S20</t>
        </is>
      </c>
    </row>
    <row r="151" ht="300" customHeight="1">
      <c r="A151" s="5" t="inlineStr">
        <is>
          <t>N-6</t>
        </is>
      </c>
      <c r="B151" s="6" t="inlineStr">
        <is>
          <t>Memory of which tools exist or were discovered, in a catalogue too large to expose, measured across sessions.</t>
        </is>
      </c>
      <c r="C151" s="6" t="inlineStr">
        <is>
          <t>NOT LOCATED</t>
        </is>
      </c>
      <c r="D151" s="6">
        <f>IFERROR(INDEX(Lists!$B$2:$B$14,MATCH(C151,Lists!$A$2:$A$14,0)),"?")</f>
        <v/>
      </c>
      <c r="E151" s="6">
        <f>IF(COUNTIFS(Links!$B$2:$B$600,A151,Links!$E$2:$E$600,"Yes")&gt;0,"REVISE","")</f>
        <v/>
      </c>
      <c r="F151" s="6">
        <f>COUNTIFS(Links!$B$2:$B$600,A151,Links!$D$2:$D$600,"No",Links!$C$2:$C$600,"&lt;&gt;INFORMS")</f>
        <v/>
      </c>
      <c r="G151" s="11" t="inlineStr">
        <is>
          <t>LITERATURE-DIRECTED</t>
        </is>
      </c>
      <c r="H151" s="6" t="inlineStr">
        <is>
          <t>K4 Memory &amp; sessions</t>
        </is>
      </c>
      <c r="I151" s="6" t="inlineStr">
        <is>
          <t>G3 Before confirmatory study</t>
        </is>
      </c>
      <c r="J151" s="6" t="inlineStr">
        <is>
          <t>Normal</t>
        </is>
      </c>
      <c r="K151" s="6" t="n">
        <v>201</v>
      </c>
      <c r="L151" s="6" t="inlineStr">
        <is>
          <t>W3 Pilots (AUTH)</t>
        </is>
      </c>
      <c r="M151" s="6" t="inlineStr">
        <is>
          <t>S21</t>
        </is>
      </c>
      <c r="N151" s="6" t="inlineStr">
        <is>
          <t>Lead (search); team (pilot D)</t>
        </is>
      </c>
      <c r="O151" s="6" t="inlineStr">
        <is>
          <t>Pilot design once N-28 is settled</t>
        </is>
      </c>
      <c r="P151" s="6" t="inlineStr">
        <is>
          <t>No</t>
        </is>
      </c>
      <c r="Q151" s="6" t="inlineStr">
        <is>
          <t>Scientific unknown</t>
        </is>
      </c>
      <c r="R151" s="6" t="inlineStr">
        <is>
          <t>Item</t>
        </is>
      </c>
      <c r="S151" s="6" t="inlineStr"/>
      <c r="T151" s="6" t="inlineStr">
        <is>
          <t>Memory of which tools exist or were discovered, in a catalogue too large to expose, measured across sessions.</t>
        </is>
      </c>
      <c r="U151"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 2026-10-21 (AUTH-018): memory is now in scope (N-2 closed): the supervisor's memory is a summary of interaction and tool calls injected on return (INT-T-002 L245, L375-L384); a measurement of cross-session memory in our setting is a pilot, not a literature item.</t>
        </is>
      </c>
      <c r="V151" s="6" t="inlineStr">
        <is>
          <t>Directed search for procedural/skill memory done; if still absent, a session pilot or a stated deferral.</t>
        </is>
      </c>
      <c r="W151" s="6" t="inlineStr">
        <is>
          <t>N-2</t>
        </is>
      </c>
      <c r="X151" s="6" t="inlineStr"/>
      <c r="Y151" s="6" t="inlineStr">
        <is>
          <t>Q-J05, Q-U21, Q-J30</t>
        </is>
      </c>
      <c r="Z151" s="6" t="inlineStr">
        <is>
          <t>TEST-PILOT, ACCEPT-LIMITATION</t>
        </is>
      </c>
      <c r="AA151" s="6" t="inlineStr">
        <is>
          <t>K8 Search initiation &amp; recovery</t>
        </is>
      </c>
      <c r="AB151" s="6" t="inlineStr"/>
      <c r="AC151" s="6" t="inlineStr">
        <is>
          <t>n/a (new)</t>
        </is>
      </c>
      <c r="AD151" s="6" t="inlineStr">
        <is>
          <t>NEW</t>
        </is>
      </c>
      <c r="AE151" s="6" t="inlineStr">
        <is>
          <t>2026-10-21</t>
        </is>
      </c>
      <c r="AF151" s="6" t="inlineStr">
        <is>
          <t>INT-T-002 (requirements/intake/2026-10-21-supervisor-meeting-2026-10-21-notes-and-transcript.md); mapping design/ledger/notes/MEETINGS-MAPPING-20261021.md checked line by line by FND-0035 and FND-0036; REGISTER section H</t>
        </is>
      </c>
      <c r="AG151" s="6" t="inlineStr"/>
      <c r="AH151" s="6" t="inlineStr">
        <is>
          <t>Pilot: yes</t>
        </is>
      </c>
      <c r="AI151" s="6" t="inlineStr"/>
      <c r="AJ151" s="6" t="inlineStr">
        <is>
          <t>Review 19 Oct (section 5)</t>
        </is>
      </c>
      <c r="AK151" s="6" t="inlineStr"/>
      <c r="AL151" s="6" t="inlineStr">
        <is>
          <t>S13</t>
        </is>
      </c>
    </row>
    <row r="152" ht="40.5" customHeight="1">
      <c r="A152" s="5" t="inlineStr">
        <is>
          <t>N-7</t>
        </is>
      </c>
      <c r="B152" s="6" t="inlineStr">
        <is>
          <t>Prefix layout and cache sharing across users: memory-seeded tools could fragment a shared prefix.</t>
        </is>
      </c>
      <c r="C152" s="6" t="inlineStr">
        <is>
          <t>OPEN</t>
        </is>
      </c>
      <c r="D152" s="6">
        <f>IFERROR(INDEX(Lists!$B$2:$B$14,MATCH(C152,Lists!$A$2:$A$14,0)),"?")</f>
        <v/>
      </c>
      <c r="E152" s="6">
        <f>IF(COUNTIFS(Links!$B$2:$B$600,A152,Links!$E$2:$E$600,"Yes")&gt;0,"REVISE","")</f>
        <v/>
      </c>
      <c r="F152" s="6">
        <f>COUNTIFS(Links!$B$2:$B$600,A152,Links!$D$2:$D$600,"No",Links!$C$2:$C$600,"&lt;&gt;INFORMS")</f>
        <v/>
      </c>
      <c r="G152" s="17" t="inlineStr">
        <is>
          <t>TEST-PILOT</t>
        </is>
      </c>
      <c r="H152" s="6" t="inlineStr">
        <is>
          <t>K4 Memory &amp; sessions</t>
        </is>
      </c>
      <c r="I152" s="6" t="inlineStr">
        <is>
          <t>G3 Before confirmatory study</t>
        </is>
      </c>
      <c r="J152" s="6" t="inlineStr">
        <is>
          <t>Normal</t>
        </is>
      </c>
      <c r="K152" s="6" t="n">
        <v>202</v>
      </c>
      <c r="L152" s="6" t="inlineStr">
        <is>
          <t>W3 Pilots (AUTH)</t>
        </is>
      </c>
      <c r="M152" s="6" t="inlineStr">
        <is>
          <t>S21</t>
        </is>
      </c>
      <c r="N152" s="6" t="inlineStr">
        <is>
          <t>Team / provider</t>
        </is>
      </c>
      <c r="O152" s="6" t="inlineStr">
        <is>
          <t>Needs an AUTH and a protocol</t>
        </is>
      </c>
      <c r="P152" s="6" t="inlineStr">
        <is>
          <t>No</t>
        </is>
      </c>
      <c r="Q152" s="6" t="inlineStr">
        <is>
          <t>Test</t>
        </is>
      </c>
      <c r="R152" s="6" t="inlineStr">
        <is>
          <t>Item</t>
        </is>
      </c>
      <c r="S152" s="6" t="inlineStr"/>
      <c r="T152" s="6" t="inlineStr">
        <is>
          <t>Prefix layout and cache sharing across users: memory-seeded tools could fragment a shared prefix.</t>
        </is>
      </c>
      <c r="U152" s="6" t="inlineStr">
        <is>
          <t>Hypothesis; provider sharing behaviour is 'not established here'.</t>
        </is>
      </c>
      <c r="V152" s="6" t="inlineStr">
        <is>
          <t>Provider-specific probe of cross-user prefix sharing and layout.</t>
        </is>
      </c>
      <c r="W152" s="6" t="inlineStr">
        <is>
          <t>N-2</t>
        </is>
      </c>
      <c r="X152" s="6" t="inlineStr">
        <is>
          <t>N-6</t>
        </is>
      </c>
      <c r="Y152" s="6" t="inlineStr">
        <is>
          <t>Q-J05</t>
        </is>
      </c>
      <c r="Z152" s="6" t="inlineStr">
        <is>
          <t>SOURCE-REREAD</t>
        </is>
      </c>
      <c r="AA152" s="6" t="inlineStr">
        <is>
          <t>K9 Cache &amp; billing</t>
        </is>
      </c>
      <c r="AB152" s="6" t="inlineStr"/>
      <c r="AC152" s="6" t="inlineStr">
        <is>
          <t>n/a (new)</t>
        </is>
      </c>
      <c r="AD152" s="6" t="inlineStr">
        <is>
          <t>NEW</t>
        </is>
      </c>
      <c r="AE152" s="6" t="inlineStr">
        <is>
          <t>2026-10-19</t>
        </is>
      </c>
      <c r="AF152" s="6" t="inlineStr">
        <is>
          <t>v4-04 section 4 risk (iii)</t>
        </is>
      </c>
      <c r="AG152" s="6" t="inlineStr"/>
      <c r="AH152" s="6" t="inlineStr">
        <is>
          <t>Yes</t>
        </is>
      </c>
      <c r="AI152" s="6" t="inlineStr"/>
      <c r="AJ152" s="6" t="inlineStr">
        <is>
          <t>Review 19 Oct (section 5)</t>
        </is>
      </c>
      <c r="AK152" s="6" t="inlineStr"/>
      <c r="AL152" s="6" t="inlineStr">
        <is>
          <t>S21</t>
        </is>
      </c>
    </row>
    <row r="153" ht="40.5" customHeight="1">
      <c r="A153" s="5" t="inlineStr">
        <is>
          <t>C-S10</t>
        </is>
      </c>
      <c r="B153" s="6" t="inlineStr">
        <is>
          <t>Why does retrieval hurt (query, embedder, server granularity, judge)?</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K11 End-to-end comparison</t>
        </is>
      </c>
      <c r="I153" s="6" t="inlineStr">
        <is>
          <t>G4 Before claims</t>
        </is>
      </c>
      <c r="J153" s="6" t="inlineStr">
        <is>
          <t>Normal</t>
        </is>
      </c>
      <c r="K153" s="6" t="n">
        <v>203</v>
      </c>
      <c r="L153" s="6" t="inlineStr">
        <is>
          <t>W4 End-to-end</t>
        </is>
      </c>
      <c r="M153" s="6" t="inlineStr">
        <is>
          <t>S22</t>
        </is>
      </c>
      <c r="N153" s="6" t="inlineStr">
        <is>
          <t>Team</t>
        </is>
      </c>
      <c r="O153" s="6" t="inlineStr">
        <is>
          <t>Needs an AUTH and a protocol</t>
        </is>
      </c>
      <c r="P153" s="6" t="inlineStr">
        <is>
          <t>No</t>
        </is>
      </c>
      <c r="Q153" s="6" t="inlineStr">
        <is>
          <t>Scientific unknown</t>
        </is>
      </c>
      <c r="R153" s="6" t="inlineStr">
        <is>
          <t>Item</t>
        </is>
      </c>
      <c r="S153" s="6" t="inlineStr"/>
      <c r="T153" s="6" t="inlineStr">
        <is>
          <t>Why does retrieval hurt (query, embedder, server granularity, judge)? Generality is not isolated.</t>
        </is>
      </c>
      <c r="U153" s="6" t="inlineStr">
        <is>
          <t>TheMCPCompany shows premiums but conflates retrieval failure with discovery.</t>
        </is>
      </c>
      <c r="V153" s="6" t="inlineStr">
        <is>
          <t>Strong-retriever full-catalogue comparison with fixed judge and query variants.</t>
        </is>
      </c>
      <c r="W153" s="6" t="inlineStr">
        <is>
          <t>C-D09, C-D08</t>
        </is>
      </c>
      <c r="X153" s="6" t="inlineStr">
        <is>
          <t>C-S11</t>
        </is>
      </c>
      <c r="Y153" s="6" t="inlineStr"/>
      <c r="Z153" s="6" t="inlineStr">
        <is>
          <t>LITERATURE-DIRECTED, SOURCE-REREAD</t>
        </is>
      </c>
      <c r="AA153" s="6" t="inlineStr">
        <is>
          <t>K12 Selector &amp; need estimation</t>
        </is>
      </c>
      <c r="AB153" s="6" t="inlineStr">
        <is>
          <t>DATA+SOURCE</t>
        </is>
      </c>
      <c r="AC153" s="6" t="inlineStr">
        <is>
          <t>OPEN</t>
        </is>
      </c>
      <c r="AD153" s="6" t="inlineStr">
        <is>
          <t>UNCHANGED</t>
        </is>
      </c>
      <c r="AE153" s="6" t="inlineStr">
        <is>
          <t>2026-10-19</t>
        </is>
      </c>
      <c r="AF153" s="6" t="inlineStr">
        <is>
          <t>v4-05 section 1A</t>
        </is>
      </c>
      <c r="AG153" s="6" t="inlineStr"/>
      <c r="AH153" s="6" t="inlineStr">
        <is>
          <t>Yes</t>
        </is>
      </c>
      <c r="AI153" s="6" t="inlineStr"/>
      <c r="AJ153" s="6" t="inlineStr">
        <is>
          <t>SRC-11 canonical</t>
        </is>
      </c>
      <c r="AK153" s="6" t="inlineStr">
        <is>
          <t>SRC-06 S24</t>
        </is>
      </c>
      <c r="AL153" s="6" t="inlineStr">
        <is>
          <t>S13</t>
        </is>
      </c>
    </row>
    <row r="154" ht="28" customHeight="1">
      <c r="A154" s="5" t="inlineStr">
        <is>
          <t>C-S10/RA3</t>
        </is>
      </c>
      <c r="B154" s="6" t="inlineStr">
        <is>
          <t>RA3: appended results do not degrade later steps</t>
        </is>
      </c>
      <c r="C154" s="6" t="inlineStr">
        <is>
          <t>OPEN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K11 End-to-end comparison</t>
        </is>
      </c>
      <c r="I154" s="6" t="inlineStr">
        <is>
          <t>G4 Before claims</t>
        </is>
      </c>
      <c r="J154" s="6" t="inlineStr">
        <is>
          <t>Normal</t>
        </is>
      </c>
      <c r="K154" s="6" t="n">
        <v>204</v>
      </c>
      <c r="L154" s="6" t="inlineStr">
        <is>
          <t>W4 End-to-end</t>
        </is>
      </c>
      <c r="M154" s="6" t="inlineStr">
        <is>
          <t>S22</t>
        </is>
      </c>
      <c r="N154" s="6" t="inlineStr">
        <is>
          <t>Team</t>
        </is>
      </c>
      <c r="O154" s="6" t="inlineStr">
        <is>
          <t>Needs an AUTH and a protocol</t>
        </is>
      </c>
      <c r="P154" s="6" t="inlineStr">
        <is>
          <t>No</t>
        </is>
      </c>
      <c r="Q154" s="6" t="inlineStr">
        <is>
          <t>Assumption</t>
        </is>
      </c>
      <c r="R154" s="6" t="inlineStr">
        <is>
          <t>Sub-item</t>
        </is>
      </c>
      <c r="S154" s="6" t="inlineStr">
        <is>
          <t>C-S10</t>
        </is>
      </c>
      <c r="T154" s="6" t="inlineStr">
        <is>
          <t>Recovery assumption RA3: appended search results do not degrade later steps.</t>
        </is>
      </c>
      <c r="U154" s="6" t="inlineStr">
        <is>
          <t>Assumption, not assumed true.</t>
        </is>
      </c>
      <c r="V154" s="6" t="inlineStr">
        <is>
          <t>Tested end-to-end (failure of RA1-RA4 is a lost task).</t>
        </is>
      </c>
      <c r="W154" s="6" t="inlineStr">
        <is>
          <t>C-D09, C-D08</t>
        </is>
      </c>
      <c r="X154" s="6" t="inlineStr"/>
      <c r="Y154" s="6" t="inlineStr"/>
      <c r="Z154" s="6" t="inlineStr"/>
      <c r="AA154" s="6" t="inlineStr"/>
      <c r="AB154" s="6" t="inlineStr">
        <is>
          <t>DATA</t>
        </is>
      </c>
      <c r="AC154" s="6" t="inlineStr">
        <is>
          <t>n/a (sub-item)</t>
        </is>
      </c>
      <c r="AD154" s="6" t="inlineStr">
        <is>
          <t>NEW (SRC-11 sub-row)</t>
        </is>
      </c>
      <c r="AE154" s="6" t="inlineStr">
        <is>
          <t>2026-10-19</t>
        </is>
      </c>
      <c r="AF154" s="6" t="inlineStr">
        <is>
          <t>v3-02 section 4 RA1-RA13</t>
        </is>
      </c>
      <c r="AG154" s="6" t="inlineStr"/>
      <c r="AH154" s="6" t="inlineStr">
        <is>
          <t>Yes</t>
        </is>
      </c>
      <c r="AI154" s="6" t="inlineStr"/>
      <c r="AJ154" s="6" t="inlineStr">
        <is>
          <t>repo: v3-02 section 4</t>
        </is>
      </c>
      <c r="AK154" s="6" t="inlineStr">
        <is>
          <t>RA3</t>
        </is>
      </c>
      <c r="AL154" s="6" t="inlineStr">
        <is>
          <t>S13</t>
        </is>
      </c>
    </row>
    <row r="155" ht="28" customHeight="1">
      <c r="A155" s="5" t="inlineStr">
        <is>
          <t>C-S10/RA9</t>
        </is>
      </c>
      <c r="B155" s="6" t="inlineStr">
        <is>
          <t>RA9: appended definitions remain visible for the rest of the trajectory</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K11 End-to-end comparison</t>
        </is>
      </c>
      <c r="I155" s="6" t="inlineStr">
        <is>
          <t>G4 Before claims</t>
        </is>
      </c>
      <c r="J155" s="6" t="inlineStr">
        <is>
          <t>Normal</t>
        </is>
      </c>
      <c r="K155" s="6" t="n">
        <v>205</v>
      </c>
      <c r="L155" s="6" t="inlineStr">
        <is>
          <t>W4 End-to-end</t>
        </is>
      </c>
      <c r="M155" s="6" t="inlineStr">
        <is>
          <t>S22</t>
        </is>
      </c>
      <c r="N155" s="6" t="inlineStr">
        <is>
          <t>Team</t>
        </is>
      </c>
      <c r="O155" s="6" t="inlineStr">
        <is>
          <t>Needs an AUTH and a protocol</t>
        </is>
      </c>
      <c r="P155" s="6" t="inlineStr">
        <is>
          <t>No</t>
        </is>
      </c>
      <c r="Q155" s="6" t="inlineStr">
        <is>
          <t>Assumption</t>
        </is>
      </c>
      <c r="R155" s="6" t="inlineStr">
        <is>
          <t>Sub-item</t>
        </is>
      </c>
      <c r="S155" s="6" t="inlineStr">
        <is>
          <t>C-S10</t>
        </is>
      </c>
      <c r="T155" s="6" t="inlineStr">
        <is>
          <t>Recovery assumption RA9 (design property to verify in the vehicle).</t>
        </is>
      </c>
      <c r="U155" s="6" t="inlineStr">
        <is>
          <t>Assumption, not assumed true.</t>
        </is>
      </c>
      <c r="V155" s="6" t="inlineStr">
        <is>
          <t>Tested end-to-end (failure of RA1-RA4 is a lost task).</t>
        </is>
      </c>
      <c r="W155" s="6" t="inlineStr">
        <is>
          <t>C-D09, C-D08</t>
        </is>
      </c>
      <c r="X155" s="6" t="inlineStr"/>
      <c r="Y155" s="6" t="inlineStr"/>
      <c r="Z155" s="6" t="inlineStr"/>
      <c r="AA155" s="6" t="inlineStr"/>
      <c r="AB155" s="6" t="inlineStr">
        <is>
          <t>DATA</t>
        </is>
      </c>
      <c r="AC155" s="6" t="inlineStr">
        <is>
          <t>n/a (sub-item)</t>
        </is>
      </c>
      <c r="AD155" s="6" t="inlineStr">
        <is>
          <t>NEW (SRC-11 sub-row)</t>
        </is>
      </c>
      <c r="AE155" s="6" t="inlineStr">
        <is>
          <t>2026-10-19</t>
        </is>
      </c>
      <c r="AF155" s="6" t="inlineStr">
        <is>
          <t>v3-02 section 4 RA1-RA13</t>
        </is>
      </c>
      <c r="AG155" s="6" t="inlineStr"/>
      <c r="AH155" s="6" t="inlineStr">
        <is>
          <t>Yes</t>
        </is>
      </c>
      <c r="AI155" s="6" t="inlineStr"/>
      <c r="AJ155" s="6" t="inlineStr">
        <is>
          <t>repo: v3-02 section 4</t>
        </is>
      </c>
      <c r="AK155" s="6" t="inlineStr">
        <is>
          <t>RA9</t>
        </is>
      </c>
      <c r="AL155" s="6" t="inlineStr">
        <is>
          <t>S13</t>
        </is>
      </c>
    </row>
    <row r="156" ht="40.5" customHeight="1">
      <c r="A156" s="5" t="inlineStr">
        <is>
          <t>C-S11</t>
        </is>
      </c>
      <c r="B156" s="6" t="inlineStr">
        <is>
          <t>Does a second filtering stage or a system trigger pay; is dependency-aware discovery useful?</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K11 End-to-end comparison</t>
        </is>
      </c>
      <c r="I156" s="6" t="inlineStr">
        <is>
          <t>G4 Before claims</t>
        </is>
      </c>
      <c r="J156" s="6" t="inlineStr">
        <is>
          <t>Normal</t>
        </is>
      </c>
      <c r="K156" s="6" t="n">
        <v>206</v>
      </c>
      <c r="L156" s="6" t="inlineStr">
        <is>
          <t>W4 End-to-end</t>
        </is>
      </c>
      <c r="M156" s="6" t="inlineStr">
        <is>
          <t>S22</t>
        </is>
      </c>
      <c r="N156" s="6" t="inlineStr">
        <is>
          <t>Team</t>
        </is>
      </c>
      <c r="O156" s="6" t="inlineStr">
        <is>
          <t>Needs an AUTH and a protocol</t>
        </is>
      </c>
      <c r="P156" s="6" t="inlineStr">
        <is>
          <t>No</t>
        </is>
      </c>
      <c r="Q156" s="6" t="inlineStr">
        <is>
          <t>Scientific unknown</t>
        </is>
      </c>
      <c r="R156" s="6" t="inlineStr">
        <is>
          <t>Item</t>
        </is>
      </c>
      <c r="S156" s="6" t="inlineStr"/>
      <c r="T156" s="6" t="inlineStr">
        <is>
          <t>Does a second filtering stage or a system trigger pay; is dependency-aware discovery useful?</t>
        </is>
      </c>
      <c r="U156" s="6" t="inlineStr">
        <is>
          <t>No stored source supports a trigger; the only trigger-like result is a termination trigger.</t>
        </is>
      </c>
      <c r="V156" s="6" t="inlineStr">
        <is>
          <t>Cascade vs best single stage; trigger and no-miss overhead measured.</t>
        </is>
      </c>
      <c r="W156" s="6" t="inlineStr">
        <is>
          <t>C-D03, C-D09, C-D08</t>
        </is>
      </c>
      <c r="X156" s="6" t="inlineStr">
        <is>
          <t>C-S08, C-S12</t>
        </is>
      </c>
      <c r="Y156" s="6" t="inlineStr">
        <is>
          <t>Q-J08, Q-J11</t>
        </is>
      </c>
      <c r="Z156" s="6" t="inlineStr">
        <is>
          <t>LITERATURE-DIRECTED</t>
        </is>
      </c>
      <c r="AA156" s="6" t="inlineStr">
        <is>
          <t>K3 Policy form, K8 Search initiation &amp; recovery</t>
        </is>
      </c>
      <c r="AB156" s="6" t="inlineStr">
        <is>
          <t>DATA</t>
        </is>
      </c>
      <c r="AC156" s="6" t="inlineStr">
        <is>
          <t>OPEN</t>
        </is>
      </c>
      <c r="AD156" s="6" t="inlineStr">
        <is>
          <t>UNCHANGED</t>
        </is>
      </c>
      <c r="AE156" s="6" t="inlineStr">
        <is>
          <t>2026-10-19</t>
        </is>
      </c>
      <c r="AF156" s="6" t="inlineStr">
        <is>
          <t>v4-01 sections 4, 6</t>
        </is>
      </c>
      <c r="AG156" s="6" t="inlineStr"/>
      <c r="AH156" s="6" t="inlineStr">
        <is>
          <t>Yes</t>
        </is>
      </c>
      <c r="AI156" s="6" t="inlineStr"/>
      <c r="AJ156" s="6" t="inlineStr">
        <is>
          <t>SRC-11 canonical</t>
        </is>
      </c>
      <c r="AK156" s="6" t="inlineStr">
        <is>
          <t>SRC-06 S25, SRC-06 S26, SRC-07 21, RA5, HYP-0002, HYP-0006, HYP-0012, v3-04 objection 8</t>
        </is>
      </c>
      <c r="AL156" s="6" t="inlineStr">
        <is>
          <t>S13</t>
        </is>
      </c>
    </row>
    <row r="157" ht="28" customHeight="1">
      <c r="A157" s="5" t="inlineStr">
        <is>
          <t>C-S11/CASCADE</t>
        </is>
      </c>
      <c r="B157" s="6" t="inlineStr">
        <is>
          <t>Does a multi-stage cascade dominate the best single stage?</t>
        </is>
      </c>
      <c r="C157" s="6" t="inlineStr">
        <is>
          <t>OPEN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K11 End-to-end comparison</t>
        </is>
      </c>
      <c r="I157" s="6" t="inlineStr">
        <is>
          <t>G4 Before claims</t>
        </is>
      </c>
      <c r="J157" s="6" t="inlineStr">
        <is>
          <t>Normal</t>
        </is>
      </c>
      <c r="K157" s="6" t="n">
        <v>207</v>
      </c>
      <c r="L157" s="6" t="inlineStr">
        <is>
          <t>W4 End-to-end</t>
        </is>
      </c>
      <c r="M157" s="6" t="inlineStr">
        <is>
          <t>S22</t>
        </is>
      </c>
      <c r="N157" s="6" t="inlineStr">
        <is>
          <t>Team</t>
        </is>
      </c>
      <c r="O157" s="6" t="inlineStr">
        <is>
          <t>Needs an AUTH and a protocol</t>
        </is>
      </c>
      <c r="P157" s="6" t="inlineStr">
        <is>
          <t>No</t>
        </is>
      </c>
      <c r="Q157" s="6" t="inlineStr">
        <is>
          <t>Scientific unknown</t>
        </is>
      </c>
      <c r="R157" s="6" t="inlineStr">
        <is>
          <t>Sub-item</t>
        </is>
      </c>
      <c r="S157" s="6" t="inlineStr">
        <is>
          <t>C-S11</t>
        </is>
      </c>
      <c r="T157" s="6" t="inlineStr">
        <is>
          <t>HYP-0002: in the regimes tested no specified cascade dominates the best single-stage policy.</t>
        </is>
      </c>
      <c r="U157" s="6" t="inlineStr">
        <is>
          <t>Proposed; the DMB two-stage router scored 0.7-4.0 below rag:32 inside the +/-8 interval.</t>
        </is>
      </c>
      <c r="V157" s="6" t="inlineStr">
        <is>
          <t>Cascade vs best single stage on one scorer.</t>
        </is>
      </c>
      <c r="W157" s="6" t="inlineStr">
        <is>
          <t>C-D03, C-D09, C-D08</t>
        </is>
      </c>
      <c r="X157" s="6" t="inlineStr"/>
      <c r="Y157" s="6" t="inlineStr">
        <is>
          <t>Q-J08</t>
        </is>
      </c>
      <c r="Z157" s="6" t="inlineStr"/>
      <c r="AA157" s="6" t="inlineStr"/>
      <c r="AB157" s="6" t="inlineStr">
        <is>
          <t>DATA</t>
        </is>
      </c>
      <c r="AC157" s="6" t="inlineStr">
        <is>
          <t>n/a (sub-item)</t>
        </is>
      </c>
      <c r="AD157" s="6" t="inlineStr">
        <is>
          <t>NEW (SRC-11 sub-row)</t>
        </is>
      </c>
      <c r="AE157" s="6" t="inlineStr">
        <is>
          <t>2026-10-19</t>
        </is>
      </c>
      <c r="AF157" s="6" t="inlineStr">
        <is>
          <t>HYP-0002</t>
        </is>
      </c>
      <c r="AG157" s="6" t="inlineStr"/>
      <c r="AH157" s="6" t="inlineStr">
        <is>
          <t>Yes</t>
        </is>
      </c>
      <c r="AI157" s="6" t="inlineStr"/>
      <c r="AJ157" s="6" t="inlineStr">
        <is>
          <t>repo: HYP-0002</t>
        </is>
      </c>
      <c r="AK157" s="6" t="inlineStr">
        <is>
          <t>HYP-0002</t>
        </is>
      </c>
      <c r="AL157" s="6" t="inlineStr">
        <is>
          <t>S13</t>
        </is>
      </c>
    </row>
    <row r="158" ht="53" customHeight="1">
      <c r="A158" s="5" t="inlineStr">
        <is>
          <t>C-S11/TRIG</t>
        </is>
      </c>
      <c r="B158" s="6" t="inlineStr">
        <is>
          <t>System trigger: can it tell that a tool is missing? No source shows it</t>
        </is>
      </c>
      <c r="C158" s="6" t="inlineStr">
        <is>
          <t>OPEN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K11 End-to-end comparison</t>
        </is>
      </c>
      <c r="I158" s="6" t="inlineStr">
        <is>
          <t>G4 Before claims</t>
        </is>
      </c>
      <c r="J158" s="6" t="inlineStr">
        <is>
          <t>Normal</t>
        </is>
      </c>
      <c r="K158" s="6" t="n">
        <v>208</v>
      </c>
      <c r="L158" s="6" t="inlineStr">
        <is>
          <t>W4 End-to-end</t>
        </is>
      </c>
      <c r="M158" s="6" t="inlineStr">
        <is>
          <t>S22</t>
        </is>
      </c>
      <c r="N158" s="6" t="inlineStr">
        <is>
          <t>Team</t>
        </is>
      </c>
      <c r="O158" s="6" t="inlineStr">
        <is>
          <t>Needs an AUTH and a protocol</t>
        </is>
      </c>
      <c r="P158" s="6" t="inlineStr">
        <is>
          <t>No</t>
        </is>
      </c>
      <c r="Q158" s="6" t="inlineStr">
        <is>
          <t>Scientific unknown</t>
        </is>
      </c>
      <c r="R158" s="6" t="inlineStr">
        <is>
          <t>Sub-item</t>
        </is>
      </c>
      <c r="S158" s="6" t="inlineStr">
        <is>
          <t>C-S11</t>
        </is>
      </c>
      <c r="T158" s="6" t="inlineStr">
        <is>
          <t>HYP-0006/0012 and RA5: a system trigger over runtime-observable signals (model text of inability, termination, repeated failure) is untested; the only trigger-like result is a termination trigger (PlanBench-XL).</t>
        </is>
      </c>
      <c r="U158" s="6" t="inlineStr">
        <is>
          <t>Proposed; no stored source.</t>
        </is>
      </c>
      <c r="V158" s="6" t="inlineStr">
        <is>
          <t>Trigger arms in the end-to-end pilot.</t>
        </is>
      </c>
      <c r="W158" s="6" t="inlineStr">
        <is>
          <t>C-D03, C-D09, C-D08</t>
        </is>
      </c>
      <c r="X158" s="6" t="inlineStr"/>
      <c r="Y158" s="6" t="inlineStr"/>
      <c r="Z158" s="6" t="inlineStr"/>
      <c r="AA158" s="6" t="inlineStr"/>
      <c r="AB158" s="6" t="inlineStr">
        <is>
          <t>DATA</t>
        </is>
      </c>
      <c r="AC158" s="6" t="inlineStr">
        <is>
          <t>n/a (sub-item)</t>
        </is>
      </c>
      <c r="AD158" s="6" t="inlineStr">
        <is>
          <t>NEW (SRC-11 sub-row)</t>
        </is>
      </c>
      <c r="AE158" s="6" t="inlineStr">
        <is>
          <t>2026-10-19</t>
        </is>
      </c>
      <c r="AF158" s="6" t="inlineStr">
        <is>
          <t>v4-01 section 4; HYP-0006</t>
        </is>
      </c>
      <c r="AG158" s="6" t="inlineStr"/>
      <c r="AH158" s="6" t="inlineStr">
        <is>
          <t>Yes</t>
        </is>
      </c>
      <c r="AI158" s="6" t="inlineStr"/>
      <c r="AJ158" s="6" t="inlineStr">
        <is>
          <t>repo: v4-01 section 4; HYP-0006/0012</t>
        </is>
      </c>
      <c r="AK158" s="6" t="inlineStr">
        <is>
          <t>HYP-0006, HYP-0012, RA5, CH-0041</t>
        </is>
      </c>
      <c r="AL158" s="6" t="inlineStr">
        <is>
          <t>S13</t>
        </is>
      </c>
    </row>
    <row r="159" ht="40.5" customHeight="1">
      <c r="A159" s="5" t="inlineStr">
        <is>
          <t>C-S18</t>
        </is>
      </c>
      <c r="B159" s="6" t="inlineStr">
        <is>
          <t>Interaction among needed tools and the residual success-loss term are unbounded; the cited simulation was n...</t>
        </is>
      </c>
      <c r="C159" s="6" t="inlineStr">
        <is>
          <t>PARTLY ANSWERED</t>
        </is>
      </c>
      <c r="D159" s="6">
        <f>IFERROR(INDEX(Lists!$B$2:$B$14,MATCH(C159,Lists!$A$2:$A$14,0)),"?")</f>
        <v/>
      </c>
      <c r="E159" s="6">
        <f>IF(COUNTIFS(Links!$B$2:$B$600,A159,Links!$E$2:$E$600,"Yes")&gt;0,"REVISE","")</f>
        <v/>
      </c>
      <c r="F159" s="6">
        <f>COUNTIFS(Links!$B$2:$B$600,A159,Links!$D$2:$D$600,"No",Links!$C$2:$C$600,"&lt;&gt;INFORMS")</f>
        <v/>
      </c>
      <c r="G159" s="13" t="inlineStr">
        <is>
          <t>DESK-ANALYSIS</t>
        </is>
      </c>
      <c r="H159" s="6" t="inlineStr">
        <is>
          <t>K17 Record repair &amp; procedure error</t>
        </is>
      </c>
      <c r="I159" s="6" t="inlineStr">
        <is>
          <t>G4 Before claims</t>
        </is>
      </c>
      <c r="J159" s="6" t="inlineStr">
        <is>
          <t>Normal</t>
        </is>
      </c>
      <c r="K159" s="6" t="n">
        <v>209</v>
      </c>
      <c r="L159" s="6" t="inlineStr">
        <is>
          <t>W4 End-to-end</t>
        </is>
      </c>
      <c r="M159" s="6" t="inlineStr">
        <is>
          <t>S22</t>
        </is>
      </c>
      <c r="N159" s="6" t="inlineStr">
        <is>
          <t>Lead; team</t>
        </is>
      </c>
      <c r="O159" s="6" t="inlineStr">
        <is>
          <t>Lead computes or writes it (no model runs)</t>
        </is>
      </c>
      <c r="P159" s="6" t="inlineStr">
        <is>
          <t>Partly</t>
        </is>
      </c>
      <c r="Q159" s="6" t="inlineStr">
        <is>
          <t>Scientific unknown</t>
        </is>
      </c>
      <c r="R159" s="6" t="inlineStr">
        <is>
          <t>Item</t>
        </is>
      </c>
      <c r="S159" s="6" t="inlineStr"/>
      <c r="T159" s="6" t="inlineStr">
        <is>
          <t>Interaction among needed tools and the residual success-loss term are unbounded; the cited simulation was not rerun.</t>
        </is>
      </c>
      <c r="U159" s="6" t="inlineStr">
        <is>
          <t>Errata removed the false bound and the greedy-optimality claim; v3 maths not re-derived in v4.</t>
        </is>
      </c>
      <c r="V159" s="6" t="inlineStr">
        <is>
          <t>Simulation rerun; interactions measured on paired trajectories.</t>
        </is>
      </c>
      <c r="W159" s="6" t="inlineStr"/>
      <c r="X159" s="6" t="inlineStr">
        <is>
          <t>C-D08</t>
        </is>
      </c>
      <c r="Y159" s="6" t="inlineStr"/>
      <c r="Z159" s="6" t="inlineStr">
        <is>
          <t>TEST-PILOT</t>
        </is>
      </c>
      <c r="AA159" s="6" t="inlineStr">
        <is>
          <t>K12 Selector &amp; need estimation</t>
        </is>
      </c>
      <c r="AB159" s="6" t="inlineStr">
        <is>
          <t>DATA</t>
        </is>
      </c>
      <c r="AC159" s="6" t="inlineStr">
        <is>
          <t>PARTLY ANSWERED - OPEN</t>
        </is>
      </c>
      <c r="AD159" s="6" t="inlineStr">
        <is>
          <t>UNCHANGED</t>
        </is>
      </c>
      <c r="AE159" s="6" t="inlineStr">
        <is>
          <t>2026-10-19</t>
        </is>
      </c>
      <c r="AF159" s="6" t="inlineStr">
        <is>
          <t>v3-01 sections 2-3; v4-03 section 3</t>
        </is>
      </c>
      <c r="AG159" s="6" t="inlineStr"/>
      <c r="AH159" s="6" t="inlineStr">
        <is>
          <t>Measured part: yes</t>
        </is>
      </c>
      <c r="AI159" s="6" t="inlineStr"/>
      <c r="AJ159" s="6" t="inlineStr">
        <is>
          <t>SRC-11 canonical</t>
        </is>
      </c>
      <c r="AK159" s="6" t="inlineStr">
        <is>
          <t>SRC-06 S36, SRC-06 S37</t>
        </is>
      </c>
      <c r="AL159" s="6" t="inlineStr">
        <is>
          <t>S14</t>
        </is>
      </c>
    </row>
    <row r="160" ht="40.5" customHeight="1">
      <c r="A160" s="5" t="inlineStr">
        <is>
          <t>C-S07</t>
        </is>
      </c>
      <c r="B160" s="6" t="inlineStr">
        <is>
          <t>Published contrasts confound tool count, total tokens, overlap and position; a full factorial may be imposs...</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K11 End-to-end comparison</t>
        </is>
      </c>
      <c r="I160" s="6" t="inlineStr">
        <is>
          <t>G4 Before claims</t>
        </is>
      </c>
      <c r="J160" s="6" t="inlineStr">
        <is>
          <t>Normal</t>
        </is>
      </c>
      <c r="K160" s="6" t="n">
        <v>210</v>
      </c>
      <c r="L160" s="6" t="inlineStr">
        <is>
          <t>W4 End-to-end</t>
        </is>
      </c>
      <c r="M160" s="6" t="inlineStr">
        <is>
          <t>S22</t>
        </is>
      </c>
      <c r="N160" s="6" t="inlineStr">
        <is>
          <t>Team</t>
        </is>
      </c>
      <c r="O160" s="6" t="inlineStr">
        <is>
          <t>Needs an AUTH and a protocol</t>
        </is>
      </c>
      <c r="P160" s="6" t="inlineStr">
        <is>
          <t>No</t>
        </is>
      </c>
      <c r="Q160" s="6" t="inlineStr">
        <is>
          <t>Scientific unknown</t>
        </is>
      </c>
      <c r="R160" s="6" t="inlineStr">
        <is>
          <t>Item</t>
        </is>
      </c>
      <c r="S160" s="6" t="inlineStr"/>
      <c r="T160" s="6" t="inlineStr">
        <is>
          <t>Published contrasts confound tool count, total tokens, overlap and position; a full factorial may be impossible.</t>
        </is>
      </c>
      <c r="U160" s="6" t="inlineStr">
        <is>
          <t>MCP-Universe adds a confounded observation only.</t>
        </is>
      </c>
      <c r="V160" s="6" t="inlineStr">
        <is>
          <t>Feasible token-matched contrasts run; what cannot be isolated is stated.</t>
        </is>
      </c>
      <c r="W160" s="6" t="inlineStr">
        <is>
          <t>C-D09, C-D08</t>
        </is>
      </c>
      <c r="X160" s="6" t="inlineStr"/>
      <c r="Y160" s="6" t="inlineStr"/>
      <c r="Z160" s="6" t="inlineStr">
        <is>
          <t>ACCEPT-LIMITATION</t>
        </is>
      </c>
      <c r="AA160" s="6" t="inlineStr"/>
      <c r="AB160" s="6" t="inlineStr">
        <is>
          <t>DATA+BOUND</t>
        </is>
      </c>
      <c r="AC160" s="6" t="inlineStr">
        <is>
          <t>OPEN</t>
        </is>
      </c>
      <c r="AD160" s="6" t="inlineStr">
        <is>
          <t>UNCHANGED</t>
        </is>
      </c>
      <c r="AE160" s="6" t="inlineStr">
        <is>
          <t>2026-10-19</t>
        </is>
      </c>
      <c r="AF160" s="6" t="inlineStr">
        <is>
          <t>v4-05 Round 5</t>
        </is>
      </c>
      <c r="AG160" s="6" t="inlineStr"/>
      <c r="AH160" s="6" t="inlineStr">
        <is>
          <t>Yes</t>
        </is>
      </c>
      <c r="AI160" s="6" t="inlineStr"/>
      <c r="AJ160" s="6" t="inlineStr">
        <is>
          <t>SRC-11 canonical</t>
        </is>
      </c>
      <c r="AK160" s="6" t="inlineStr">
        <is>
          <t>SRC-06 S20, SRC-07 19</t>
        </is>
      </c>
      <c r="AL160" s="6" t="inlineStr">
        <is>
          <t>S22</t>
        </is>
      </c>
    </row>
    <row r="161" ht="40.5" customHeight="1">
      <c r="A161" s="5" t="inlineStr">
        <is>
          <t>C-S14/MULT</t>
        </is>
      </c>
      <c r="B161" s="6" t="inlineStr">
        <is>
          <t>Multiplicity enumeration (CH-0040 a, b) remains open</t>
        </is>
      </c>
      <c r="C161" s="6" t="inlineStr">
        <is>
          <t>OPEN</t>
        </is>
      </c>
      <c r="D161" s="6">
        <f>IFERROR(INDEX(Lists!$B$2:$B$14,MATCH(C161,Lists!$A$2:$A$14,0)),"?")</f>
        <v/>
      </c>
      <c r="E161" s="6">
        <f>IF(COUNTIFS(Links!$B$2:$B$600,A161,Links!$E$2:$E$600,"Yes")&gt;0,"REVISE","")</f>
        <v/>
      </c>
      <c r="F161" s="6">
        <f>COUNTIFS(Links!$B$2:$B$600,A161,Links!$D$2:$D$600,"No",Links!$C$2:$C$600,"&lt;&gt;INFORMS")</f>
        <v/>
      </c>
      <c r="G161" s="13" t="inlineStr">
        <is>
          <t>DESK-ANALYSIS</t>
        </is>
      </c>
      <c r="H161" s="6" t="inlineStr">
        <is>
          <t>K5 Evaluation contract</t>
        </is>
      </c>
      <c r="I161" s="6" t="inlineStr">
        <is>
          <t>G3 Before confirmatory study</t>
        </is>
      </c>
      <c r="J161" s="6" t="inlineStr">
        <is>
          <t>Normal</t>
        </is>
      </c>
      <c r="K161" s="6" t="n">
        <v>211</v>
      </c>
      <c r="L161" s="6" t="inlineStr">
        <is>
          <t>W4 End-to-end</t>
        </is>
      </c>
      <c r="M161" s="6" t="inlineStr">
        <is>
          <t>S23</t>
        </is>
      </c>
      <c r="N161" s="6" t="inlineStr">
        <is>
          <t>Lead; team</t>
        </is>
      </c>
      <c r="O161" s="6" t="inlineStr">
        <is>
          <t>Lead computes or writes it (no model runs)</t>
        </is>
      </c>
      <c r="P161" s="6" t="inlineStr">
        <is>
          <t>No</t>
        </is>
      </c>
      <c r="Q161" s="6" t="inlineStr">
        <is>
          <t>Scientific unknown</t>
        </is>
      </c>
      <c r="R161" s="6" t="inlineStr">
        <is>
          <t>Sub-item</t>
        </is>
      </c>
      <c r="S161" s="6" t="inlineStr">
        <is>
          <t>C-S14</t>
        </is>
      </c>
      <c r="T161" s="6" t="inlineStr">
        <is>
          <t>The enumeration of contrasts and the multiplicity rule across the arm table are open.</t>
        </is>
      </c>
      <c r="U161" s="6" t="inlineStr">
        <is>
          <t>Documented as open.</t>
        </is>
      </c>
      <c r="V161" s="6" t="inlineStr">
        <is>
          <t>Contrast list fixed and correction chosen.</t>
        </is>
      </c>
      <c r="W161" s="6" t="inlineStr"/>
      <c r="X161" s="6" t="inlineStr"/>
      <c r="Y161" s="6" t="inlineStr"/>
      <c r="Z161" s="6" t="inlineStr"/>
      <c r="AA161" s="6" t="inlineStr"/>
      <c r="AB161" s="6" t="inlineStr">
        <is>
          <t>DATA</t>
        </is>
      </c>
      <c r="AC161" s="6" t="inlineStr">
        <is>
          <t>n/a (sub-item)</t>
        </is>
      </c>
      <c r="AD161" s="6" t="inlineStr">
        <is>
          <t>NEW (SRC-11 sub-row)</t>
        </is>
      </c>
      <c r="AE161" s="6" t="inlineStr">
        <is>
          <t>2026-10-19</t>
        </is>
      </c>
      <c r="AF161" s="6" t="inlineStr">
        <is>
          <t>v4-02 section 6</t>
        </is>
      </c>
      <c r="AG161" s="6" t="inlineStr"/>
      <c r="AH161" s="6" t="inlineStr">
        <is>
          <t>No for simulation; yes for cross-setting</t>
        </is>
      </c>
      <c r="AI161" s="6" t="inlineStr"/>
      <c r="AJ161" s="6" t="inlineStr">
        <is>
          <t>repo: v4-02 section 6 / v4-03 section 5</t>
        </is>
      </c>
      <c r="AK161" s="6" t="inlineStr">
        <is>
          <t>CH-0040</t>
        </is>
      </c>
      <c r="AL161" s="6" t="inlineStr">
        <is>
          <t>S14</t>
        </is>
      </c>
    </row>
    <row r="162" ht="40.5" customHeight="1">
      <c r="A162" s="5" t="inlineStr">
        <is>
          <t>C-S14/PATHDEP</t>
        </is>
      </c>
      <c r="B162" s="6" t="inlineStr">
        <is>
          <t>Stage-inclusion reading is path-dependent</t>
        </is>
      </c>
      <c r="C162" s="6" t="inlineStr">
        <is>
          <t>OPEN</t>
        </is>
      </c>
      <c r="D162" s="6">
        <f>IFERROR(INDEX(Lists!$B$2:$B$14,MATCH(C162,Lists!$A$2:$A$14,0)),"?")</f>
        <v/>
      </c>
      <c r="E162" s="6">
        <f>IF(COUNTIFS(Links!$B$2:$B$600,A162,Links!$E$2:$E$600,"Yes")&gt;0,"REVISE","")</f>
        <v/>
      </c>
      <c r="F162" s="6">
        <f>COUNTIFS(Links!$B$2:$B$600,A162,Links!$D$2:$D$600,"No",Links!$C$2:$C$600,"&lt;&gt;INFORMS")</f>
        <v/>
      </c>
      <c r="G162" s="13" t="inlineStr">
        <is>
          <t>DESK-ANALYSIS</t>
        </is>
      </c>
      <c r="H162" s="6" t="inlineStr">
        <is>
          <t>K5 Evaluation contract</t>
        </is>
      </c>
      <c r="I162" s="6" t="inlineStr">
        <is>
          <t>G3 Before confirmatory study</t>
        </is>
      </c>
      <c r="J162" s="6" t="inlineStr">
        <is>
          <t>Normal</t>
        </is>
      </c>
      <c r="K162" s="6" t="n">
        <v>212</v>
      </c>
      <c r="L162" s="6" t="inlineStr">
        <is>
          <t>W4 End-to-end</t>
        </is>
      </c>
      <c r="M162" s="6" t="inlineStr">
        <is>
          <t>S23</t>
        </is>
      </c>
      <c r="N162" s="6" t="inlineStr">
        <is>
          <t>Lead; team</t>
        </is>
      </c>
      <c r="O162" s="6" t="inlineStr">
        <is>
          <t>Lead computes or writes it (no model runs)</t>
        </is>
      </c>
      <c r="P162" s="6" t="inlineStr">
        <is>
          <t>No</t>
        </is>
      </c>
      <c r="Q162" s="6" t="inlineStr">
        <is>
          <t>Scientific unknown</t>
        </is>
      </c>
      <c r="R162" s="6" t="inlineStr">
        <is>
          <t>Sub-item</t>
        </is>
      </c>
      <c r="S162" s="6" t="inlineStr">
        <is>
          <t>C-S14</t>
        </is>
      </c>
      <c r="T162" s="6" t="inlineStr">
        <is>
          <t>A component that pays only in the presence of another is found only if that pair is in the arm table; table size drives multiplicity.</t>
        </is>
      </c>
      <c r="U162" s="6" t="inlineStr">
        <is>
          <t>Documented as open.</t>
        </is>
      </c>
      <c r="V162" s="6" t="inlineStr">
        <is>
          <t>Matched pairs listed; table size fixed.</t>
        </is>
      </c>
      <c r="W162" s="6" t="inlineStr"/>
      <c r="X162" s="6" t="inlineStr"/>
      <c r="Y162" s="6" t="inlineStr"/>
      <c r="Z162" s="6" t="inlineStr"/>
      <c r="AA162" s="6" t="inlineStr"/>
      <c r="AB162" s="6" t="inlineStr">
        <is>
          <t>DATA</t>
        </is>
      </c>
      <c r="AC162" s="6" t="inlineStr">
        <is>
          <t>n/a (sub-item)</t>
        </is>
      </c>
      <c r="AD162" s="6" t="inlineStr">
        <is>
          <t>NEW (SRC-11 sub-row)</t>
        </is>
      </c>
      <c r="AE162" s="6" t="inlineStr">
        <is>
          <t>2026-10-19</t>
        </is>
      </c>
      <c r="AF162" s="6" t="inlineStr">
        <is>
          <t>v4-02 section 6</t>
        </is>
      </c>
      <c r="AG162" s="6" t="inlineStr"/>
      <c r="AH162" s="6" t="inlineStr">
        <is>
          <t>No for simulation; yes for cross-setting</t>
        </is>
      </c>
      <c r="AI162" s="6" t="inlineStr"/>
      <c r="AJ162" s="6" t="inlineStr">
        <is>
          <t>repo: v4-02 section 6 / v4-03 section 5</t>
        </is>
      </c>
      <c r="AK162" s="6" t="inlineStr">
        <is>
          <t>CH-0049, RV-0005 R2</t>
        </is>
      </c>
      <c r="AL162" s="6" t="inlineStr">
        <is>
          <t>S14</t>
        </is>
      </c>
    </row>
    <row r="163" ht="40.5" customHeight="1">
      <c r="A163" s="5" t="inlineStr">
        <is>
          <t>C-S14/POSTSEL</t>
        </is>
      </c>
      <c r="B163" s="6" t="inlineStr">
        <is>
          <t>S is a post-selection set with unknown coverage</t>
        </is>
      </c>
      <c r="C163" s="6" t="inlineStr">
        <is>
          <t>OPEN</t>
        </is>
      </c>
      <c r="D163" s="6">
        <f>IFERROR(INDEX(Lists!$B$2:$B$14,MATCH(C163,Lists!$A$2:$A$14,0)),"?")</f>
        <v/>
      </c>
      <c r="E163" s="6">
        <f>IF(COUNTIFS(Links!$B$2:$B$600,A163,Links!$E$2:$E$600,"Yes")&gt;0,"REVISE","")</f>
        <v/>
      </c>
      <c r="F163" s="6">
        <f>COUNTIFS(Links!$B$2:$B$600,A163,Links!$D$2:$D$600,"No",Links!$C$2:$C$600,"&lt;&gt;INFORMS")</f>
        <v/>
      </c>
      <c r="G163" s="13" t="inlineStr">
        <is>
          <t>DESK-ANALYSIS</t>
        </is>
      </c>
      <c r="H163" s="6" t="inlineStr">
        <is>
          <t>K5 Evaluation contract</t>
        </is>
      </c>
      <c r="I163" s="6" t="inlineStr">
        <is>
          <t>G3 Before confirmatory study</t>
        </is>
      </c>
      <c r="J163" s="6" t="inlineStr">
        <is>
          <t>Normal</t>
        </is>
      </c>
      <c r="K163" s="6" t="n">
        <v>213</v>
      </c>
      <c r="L163" s="6" t="inlineStr">
        <is>
          <t>W4 End-to-end</t>
        </is>
      </c>
      <c r="M163" s="6" t="inlineStr">
        <is>
          <t>S23</t>
        </is>
      </c>
      <c r="N163" s="6" t="inlineStr">
        <is>
          <t>Lead; team</t>
        </is>
      </c>
      <c r="O163" s="6" t="inlineStr">
        <is>
          <t>Lead computes or writes it (no model runs)</t>
        </is>
      </c>
      <c r="P163" s="6" t="inlineStr">
        <is>
          <t>No</t>
        </is>
      </c>
      <c r="Q163" s="6" t="inlineStr">
        <is>
          <t>Scientific unknown</t>
        </is>
      </c>
      <c r="R163" s="6" t="inlineStr">
        <is>
          <t>Sub-item</t>
        </is>
      </c>
      <c r="S163" s="6" t="inlineStr">
        <is>
          <t>C-S14</t>
        </is>
      </c>
      <c r="T163" s="6" t="inlineStr">
        <is>
          <t>F and S are estimated on the same split, so S's coverage is not nominal; its error rate is unknown (E6).</t>
        </is>
      </c>
      <c r="U163" s="6" t="inlineStr">
        <is>
          <t>Documented as open.</t>
        </is>
      </c>
      <c r="V163" s="6" t="inlineStr">
        <is>
          <t>Simulation of coverage and sensitivity.</t>
        </is>
      </c>
      <c r="W163" s="6" t="inlineStr"/>
      <c r="X163" s="6" t="inlineStr"/>
      <c r="Y163" s="6" t="inlineStr"/>
      <c r="Z163" s="6" t="inlineStr"/>
      <c r="AA163" s="6" t="inlineStr"/>
      <c r="AB163" s="6" t="inlineStr">
        <is>
          <t>DATA</t>
        </is>
      </c>
      <c r="AC163" s="6" t="inlineStr">
        <is>
          <t>n/a (sub-item)</t>
        </is>
      </c>
      <c r="AD163" s="6" t="inlineStr">
        <is>
          <t>NEW (SRC-11 sub-row)</t>
        </is>
      </c>
      <c r="AE163" s="6" t="inlineStr">
        <is>
          <t>2026-10-19</t>
        </is>
      </c>
      <c r="AF163" s="6" t="inlineStr">
        <is>
          <t>v4-02 section 6</t>
        </is>
      </c>
      <c r="AG163" s="6" t="inlineStr"/>
      <c r="AH163" s="6" t="inlineStr">
        <is>
          <t>No for simulation; yes for cross-setting</t>
        </is>
      </c>
      <c r="AI163" s="6" t="inlineStr"/>
      <c r="AJ163" s="6" t="inlineStr">
        <is>
          <t>repo: v4-02 section 6 / v4-03 section 5</t>
        </is>
      </c>
      <c r="AK163" s="6" t="inlineStr">
        <is>
          <t>CH-0050</t>
        </is>
      </c>
      <c r="AL163" s="6" t="inlineStr">
        <is>
          <t>S14</t>
        </is>
      </c>
    </row>
    <row r="164" ht="53" customHeight="1">
      <c r="A164" s="5" t="inlineStr">
        <is>
          <t>C-S14</t>
        </is>
      </c>
      <c r="B164" s="6" t="inlineStr">
        <is>
          <t>Error of the arm-selection procedure (multiplicity, strata, tails, power); margins and arm table unset.</t>
        </is>
      </c>
      <c r="C164" s="6" t="inlineStr">
        <is>
          <t>PARTLY ANSWERED</t>
        </is>
      </c>
      <c r="D164" s="6">
        <f>IFERROR(INDEX(Lists!$B$2:$B$14,MATCH(C164,Lists!$A$2:$A$14,0)),"?")</f>
        <v/>
      </c>
      <c r="E164" s="6">
        <f>IF(COUNTIFS(Links!$B$2:$B$600,A164,Links!$E$2:$E$600,"Yes")&gt;0,"REVISE","")</f>
        <v/>
      </c>
      <c r="F164" s="6">
        <f>COUNTIFS(Links!$B$2:$B$600,A164,Links!$D$2:$D$600,"No",Links!$C$2:$C$600,"&lt;&gt;INFORMS")</f>
        <v/>
      </c>
      <c r="G164" s="13" t="inlineStr">
        <is>
          <t>DESK-ANALYSIS</t>
        </is>
      </c>
      <c r="H164" s="6" t="inlineStr">
        <is>
          <t>K5 Evaluation contract</t>
        </is>
      </c>
      <c r="I164" s="6" t="inlineStr">
        <is>
          <t>G3 Before confirmatory study</t>
        </is>
      </c>
      <c r="J164" s="6" t="inlineStr">
        <is>
          <t>Normal</t>
        </is>
      </c>
      <c r="K164" s="6" t="n">
        <v>214</v>
      </c>
      <c r="L164" s="6" t="inlineStr">
        <is>
          <t>W4 End-to-end</t>
        </is>
      </c>
      <c r="M164" s="6" t="inlineStr">
        <is>
          <t>S23</t>
        </is>
      </c>
      <c r="N164" s="6" t="inlineStr">
        <is>
          <t>Lead (simulation); Joaa/you (parameters)</t>
        </is>
      </c>
      <c r="O164" s="6" t="inlineStr">
        <is>
          <t>Lead computes or writes it (no model runs)</t>
        </is>
      </c>
      <c r="P164" s="6" t="inlineStr">
        <is>
          <t>Partly</t>
        </is>
      </c>
      <c r="Q164" s="6" t="inlineStr">
        <is>
          <t>Scientific unknown</t>
        </is>
      </c>
      <c r="R164" s="6" t="inlineStr">
        <is>
          <t>Item</t>
        </is>
      </c>
      <c r="S164" s="6" t="inlineStr"/>
      <c r="T164" s="6" t="inlineStr">
        <is>
          <t>Error of the arm-selection procedure (multiplicity, strata, tails, power); margins and arm table unset.</t>
        </is>
      </c>
      <c r="U164" s="6" t="inlineStr">
        <is>
          <t>Tie rule rewritten (feasible set F, directional set S, human epsilon); power table verified; selection error unmeasured; multiplicity enumeration (CH-0040) open.</t>
        </is>
      </c>
      <c r="V164" s="6" t="inlineStr">
        <is>
          <t>Simulation done; cross-setting test run on confirmatory data.</t>
        </is>
      </c>
      <c r="W164" s="6" t="inlineStr">
        <is>
          <t>C-D08, C-D06</t>
        </is>
      </c>
      <c r="X164" s="6" t="inlineStr"/>
      <c r="Y164" s="6" t="inlineStr">
        <is>
          <t>Q-J14, Q-J20, Q-U26</t>
        </is>
      </c>
      <c r="Z164" s="6" t="inlineStr">
        <is>
          <t>JOAA-DECISION, TEST-PILOT</t>
        </is>
      </c>
      <c r="AA164" s="6" t="inlineStr">
        <is>
          <t>K17 Record repair &amp; procedure error</t>
        </is>
      </c>
      <c r="AB164" s="6" t="inlineStr">
        <is>
          <t>DATA+DEC</t>
        </is>
      </c>
      <c r="AC164" s="6" t="inlineStr">
        <is>
          <t>PARTLY ANSWERED - OPEN</t>
        </is>
      </c>
      <c r="AD164" s="6" t="inlineStr">
        <is>
          <t>RE-CHARACTERISED</t>
        </is>
      </c>
      <c r="AE164" s="6" t="inlineStr">
        <is>
          <t>2026-10-19</t>
        </is>
      </c>
      <c r="AF164" s="6" t="inlineStr">
        <is>
          <t>v4-02 sections 6-7; v4-03 section 5</t>
        </is>
      </c>
      <c r="AG164" s="6" t="inlineStr"/>
      <c r="AH164" s="6" t="inlineStr">
        <is>
          <t>No for simulation; yes for cross-setting</t>
        </is>
      </c>
      <c r="AI164" s="6" t="inlineStr"/>
      <c r="AJ164" s="6" t="inlineStr">
        <is>
          <t>SRC-11 canonical</t>
        </is>
      </c>
      <c r="AK164" s="6" t="inlineStr">
        <is>
          <t>SRC-06 S32, SRC-06 S38, SRC-06 C01, SRC-06 C12, SRC-07 09, SRC-07 16, SRC-07 17, CH-0040, v3-04 objection 1</t>
        </is>
      </c>
      <c r="AL164" s="6" t="inlineStr">
        <is>
          <t>S14</t>
        </is>
      </c>
    </row>
    <row r="165" ht="28" customHeight="1">
      <c r="A165" s="5" t="inlineStr">
        <is>
          <t>C-X06</t>
        </is>
      </c>
      <c r="B165" s="6" t="inlineStr">
        <is>
          <t>E6: error rates of the arm-selection procedure (simulation plus cross-setting test).</t>
        </is>
      </c>
      <c r="C165" s="6" t="inlineStr">
        <is>
          <t>UNRUN</t>
        </is>
      </c>
      <c r="D165" s="6">
        <f>IFERROR(INDEX(Lists!$B$2:$B$14,MATCH(C165,Lists!$A$2:$A$14,0)),"?")</f>
        <v/>
      </c>
      <c r="E165" s="6">
        <f>IF(COUNTIFS(Links!$B$2:$B$600,A165,Links!$E$2:$E$600,"Yes")&gt;0,"REVISE","")</f>
        <v/>
      </c>
      <c r="F165" s="6">
        <f>COUNTIFS(Links!$B$2:$B$600,A165,Links!$D$2:$D$600,"No",Links!$C$2:$C$600,"&lt;&gt;INFORMS")</f>
        <v/>
      </c>
      <c r="G165" s="13" t="inlineStr">
        <is>
          <t>DESK-ANALYSIS</t>
        </is>
      </c>
      <c r="H165" s="6" t="inlineStr">
        <is>
          <t>K5 Evaluation contract</t>
        </is>
      </c>
      <c r="I165" s="6" t="inlineStr">
        <is>
          <t>G3 Before confirmatory study</t>
        </is>
      </c>
      <c r="J165" s="6" t="inlineStr">
        <is>
          <t>Normal</t>
        </is>
      </c>
      <c r="K165" s="6" t="n">
        <v>215</v>
      </c>
      <c r="L165" s="6" t="inlineStr">
        <is>
          <t>W4 End-to-end</t>
        </is>
      </c>
      <c r="M165" s="6" t="inlineStr">
        <is>
          <t>S23</t>
        </is>
      </c>
      <c r="N165" s="6" t="inlineStr">
        <is>
          <t>Lead / team</t>
        </is>
      </c>
      <c r="O165" s="6" t="inlineStr">
        <is>
          <t>Lead computes or writes it (no model runs)</t>
        </is>
      </c>
      <c r="P165" s="6" t="inlineStr">
        <is>
          <t>No</t>
        </is>
      </c>
      <c r="Q165" s="6" t="inlineStr">
        <is>
          <t>Test</t>
        </is>
      </c>
      <c r="R165" s="6" t="inlineStr">
        <is>
          <t>Check</t>
        </is>
      </c>
      <c r="S165" s="6" t="inlineStr"/>
      <c r="T165" s="6" t="inlineStr">
        <is>
          <t>E6: error rates of the arm-selection procedure (simulation plus cross-setting test).</t>
        </is>
      </c>
      <c r="U165" s="6" t="inlineStr">
        <is>
          <t>Not run.</t>
        </is>
      </c>
      <c r="V165" s="6" t="inlineStr">
        <is>
          <t>Same as C-S14.</t>
        </is>
      </c>
      <c r="W165" s="6" t="inlineStr">
        <is>
          <t>C-D08</t>
        </is>
      </c>
      <c r="X165" s="6" t="inlineStr"/>
      <c r="Y165" s="6" t="inlineStr">
        <is>
          <t>Q-U26</t>
        </is>
      </c>
      <c r="Z165" s="6" t="inlineStr">
        <is>
          <t>TEST-PILOT</t>
        </is>
      </c>
      <c r="AA165" s="6" t="inlineStr">
        <is>
          <t>K17 Record repair &amp; procedure error</t>
        </is>
      </c>
      <c r="AB165" s="6" t="inlineStr">
        <is>
          <t>DATA</t>
        </is>
      </c>
      <c r="AC165" s="6" t="inlineStr">
        <is>
          <t>NO RESULT - OPEN</t>
        </is>
      </c>
      <c r="AD165" s="6" t="inlineStr">
        <is>
          <t>UNCHANGED</t>
        </is>
      </c>
      <c r="AE165" s="6" t="inlineStr">
        <is>
          <t>2026-10-19</t>
        </is>
      </c>
      <c r="AF165" s="6" t="inlineStr">
        <is>
          <t>v4-02 section 6</t>
        </is>
      </c>
      <c r="AG165" s="6" t="inlineStr"/>
      <c r="AH165" s="6" t="inlineStr">
        <is>
          <t>Cross-setting part: yes</t>
        </is>
      </c>
      <c r="AI165" s="6" t="inlineStr"/>
      <c r="AJ165" s="6" t="inlineStr">
        <is>
          <t>SRC-11 canonical</t>
        </is>
      </c>
      <c r="AK165" s="6" t="inlineStr">
        <is>
          <t>E6</t>
        </is>
      </c>
      <c r="AL165" s="6" t="inlineStr">
        <is>
          <t>S14</t>
        </is>
      </c>
    </row>
    <row r="166" ht="53" customHeight="1">
      <c r="A166" s="5" t="inlineStr">
        <is>
          <t>N-12</t>
        </is>
      </c>
      <c r="B166" s="6" t="inlineStr">
        <is>
          <t>Does an early-observable quantity predict whether restriction pays?</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K9 Cache &amp; billing</t>
        </is>
      </c>
      <c r="I166" s="6" t="inlineStr">
        <is>
          <t>G3 Before confirmatory study</t>
        </is>
      </c>
      <c r="J166" s="6" t="inlineStr">
        <is>
          <t>Normal</t>
        </is>
      </c>
      <c r="K166" s="6" t="n">
        <v>216</v>
      </c>
      <c r="L166" s="6" t="inlineStr">
        <is>
          <t>W4 End-to-end</t>
        </is>
      </c>
      <c r="M166" s="6" t="inlineStr">
        <is>
          <t>S23</t>
        </is>
      </c>
      <c r="N166" s="6" t="inlineStr">
        <is>
          <t>Team</t>
        </is>
      </c>
      <c r="O166" s="6" t="inlineStr">
        <is>
          <t>Needs an AUTH and a protocol</t>
        </is>
      </c>
      <c r="P166" s="6" t="inlineStr">
        <is>
          <t>No</t>
        </is>
      </c>
      <c r="Q166" s="6" t="inlineStr">
        <is>
          <t>Scientific unknown</t>
        </is>
      </c>
      <c r="R166" s="6" t="inlineStr">
        <is>
          <t>Item</t>
        </is>
      </c>
      <c r="S166" s="6" t="inlineStr"/>
      <c r="T166" s="6" t="inlineStr">
        <is>
          <t>HYP-0001: a quantity observable at or shortly after session start (early cache-read share, request repetition) predicts which exposure arm is non-dominated better than pre-session variables.</t>
        </is>
      </c>
      <c r="U166" s="6" t="inlineStr">
        <is>
          <t>Proposed; falsifier stated.</t>
        </is>
      </c>
      <c r="V166" s="6" t="inlineStr">
        <is>
          <t>Regime grid run with early-observable features; falsifier tested.</t>
        </is>
      </c>
      <c r="W166" s="6" t="inlineStr">
        <is>
          <t>C-D09, C-D08</t>
        </is>
      </c>
      <c r="X166" s="6" t="inlineStr">
        <is>
          <t>N-3</t>
        </is>
      </c>
      <c r="Y166" s="6" t="inlineStr">
        <is>
          <t>Q-J04</t>
        </is>
      </c>
      <c r="Z166" s="6" t="inlineStr"/>
      <c r="AA166" s="6" t="inlineStr"/>
      <c r="AB166" s="6" t="inlineStr">
        <is>
          <t>DATA</t>
        </is>
      </c>
      <c r="AC166" s="6" t="inlineStr">
        <is>
          <t>n/a (new)</t>
        </is>
      </c>
      <c r="AD166" s="6" t="inlineStr">
        <is>
          <t>NEW (repo sweep)</t>
        </is>
      </c>
      <c r="AE166" s="6" t="inlineStr">
        <is>
          <t>2026-10-19</t>
        </is>
      </c>
      <c r="AF166" s="6" t="inlineStr">
        <is>
          <t>HYP-0001 (proposed); untestable on the closest vehicle (no sessions, no cache fields)</t>
        </is>
      </c>
      <c r="AG166" s="6" t="inlineStr"/>
      <c r="AH166" s="6" t="inlineStr">
        <is>
          <t>Yes</t>
        </is>
      </c>
      <c r="AI166" s="6" t="inlineStr"/>
      <c r="AJ166" s="6" t="inlineStr">
        <is>
          <t>repo: hypotheses/HYP-0001.md</t>
        </is>
      </c>
      <c r="AK166" s="6" t="inlineStr">
        <is>
          <t>HYP-0001</t>
        </is>
      </c>
      <c r="AL166" s="6" t="inlineStr">
        <is>
          <t>S18</t>
        </is>
      </c>
    </row>
    <row r="167" ht="65.5" customHeight="1">
      <c r="A167" s="5" t="inlineStr">
        <is>
          <t>N-29</t>
        </is>
      </c>
      <c r="B167" s="6" t="inlineStr">
        <is>
          <t>Tool responses kept in files and searched, instead of kept in the context (supervisor's example; '80% of the cost')</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G2 Before the affected pilot/arm</t>
        </is>
      </c>
      <c r="J167" s="6" t="inlineStr">
        <is>
          <t>Normal</t>
        </is>
      </c>
      <c r="K167" s="6" t="n">
        <v>217</v>
      </c>
      <c r="L167" s="6" t="inlineStr">
        <is>
          <t>W4 End-to-end</t>
        </is>
      </c>
      <c r="M167" s="6" t="inlineStr">
        <is>
          <t>S23</t>
        </is>
      </c>
      <c r="N167" s="6" t="inlineStr">
        <is>
          <t>Team</t>
        </is>
      </c>
      <c r="O167" s="6" t="inlineStr">
        <is>
          <t>Candidate arm for the first memory-and-tools pilot</t>
        </is>
      </c>
      <c r="P167" s="6" t="inlineStr">
        <is>
          <t>No</t>
        </is>
      </c>
      <c r="Q167" s="6" t="inlineStr">
        <is>
          <t>Claim to test</t>
        </is>
      </c>
      <c r="R167" s="6" t="inlineStr">
        <is>
          <t>Item</t>
        </is>
      </c>
      <c r="S167" s="6" t="inlineStr"/>
      <c r="T167" s="6" t="inlineStr">
        <is>
          <t>The supervisor contrasts an MCP-style agent that keeps every tool response in its 'brain' with one that writes responses to files and reads or searches them when needed, and says 'You can save around 80% of the cost by doing this' (INT-T-002 L250-L275). A design element and a claim to test.</t>
        </is>
      </c>
      <c r="U167" s="6" t="inlineStr">
        <is>
          <t>Recorded; no stored source measures this practice in our setting (the code-mode and programmatic-tool-calling sources concern tool results kept out of the context, EXT-0183, EXT-0016: related, not the same).</t>
        </is>
      </c>
      <c r="V167" s="6" t="inlineStr">
        <is>
          <t>An arm that keeps tool results outside the context is measured against one that keeps them in, on tokens, cost and success over turns.</t>
        </is>
      </c>
      <c r="W167" s="6" t="inlineStr"/>
      <c r="X167" s="6" t="inlineStr"/>
      <c r="Y167" s="6" t="inlineStr">
        <is>
          <t>Q-J30</t>
        </is>
      </c>
      <c r="Z167" s="6" t="inlineStr"/>
      <c r="AA167" s="6" t="inlineStr"/>
      <c r="AB167" s="6" t="inlineStr">
        <is>
          <t>DATA</t>
        </is>
      </c>
      <c r="AC167" s="6" t="inlineStr">
        <is>
          <t>n/a (new, 21 Oct meeting)</t>
        </is>
      </c>
      <c r="AD167" s="6" t="inlineStr">
        <is>
          <t>NEW (supervisor meeting 2026-10-21)</t>
        </is>
      </c>
      <c r="AE167" s="6" t="inlineStr">
        <is>
          <t>2026-10-21</t>
        </is>
      </c>
      <c r="AF167" s="6" t="inlineStr">
        <is>
          <t>INT-T-002 (requirements/intake/2026-10-21-supervisor-meeting-2026-10-21-notes-and-transcript.md); mapping design/ledger/notes/MEETINGS-MAPPING-20261021.md checked line by line by FND-0035 and FND-0036; REGISTER section H</t>
        </is>
      </c>
      <c r="AG167" s="6" t="inlineStr"/>
      <c r="AH167" s="6" t="inlineStr">
        <is>
          <t>Yes for any experiment</t>
        </is>
      </c>
      <c r="AI167" s="6" t="inlineStr"/>
      <c r="AJ167" s="6" t="inlineStr">
        <is>
          <t>Supervisor meetings intake (AUTH-018)</t>
        </is>
      </c>
      <c r="AK167" s="6" t="inlineStr"/>
      <c r="AL167" s="6" t="inlineStr">
        <is>
          <t>S22</t>
        </is>
      </c>
    </row>
    <row r="168" ht="40.5" customHeight="1">
      <c r="A168" s="5" t="inlineStr">
        <is>
          <t>C-S02/INVERSION</t>
        </is>
      </c>
      <c r="B168" s="6" t="inlineStr">
        <is>
          <t>Does a regime exist where fewer exposed tokens cost more in billed terms?</t>
        </is>
      </c>
      <c r="C168" s="6" t="inlineStr">
        <is>
          <t>OPEN</t>
        </is>
      </c>
      <c r="D168" s="6">
        <f>IFERROR(INDEX(Lists!$B$2:$B$14,MATCH(C168,Lists!$A$2:$A$14,0)),"?")</f>
        <v/>
      </c>
      <c r="E168" s="6">
        <f>IF(COUNTIFS(Links!$B$2:$B$600,A168,Links!$E$2:$E$600,"Yes")&gt;0,"REVISE","")</f>
        <v/>
      </c>
      <c r="F168" s="6">
        <f>COUNTIFS(Links!$B$2:$B$600,A168,Links!$D$2:$D$600,"No",Links!$C$2:$C$600,"&lt;&gt;INFORMS")</f>
        <v/>
      </c>
      <c r="G168" s="19" t="inlineStr">
        <is>
          <t>TEST-CONFIRMATORY</t>
        </is>
      </c>
      <c r="H168" s="6" t="inlineStr">
        <is>
          <t>K11 End-to-end comparison</t>
        </is>
      </c>
      <c r="I168" s="6" t="inlineStr">
        <is>
          <t>G4 Before claims</t>
        </is>
      </c>
      <c r="J168" s="6" t="inlineStr">
        <is>
          <t>Normal</t>
        </is>
      </c>
      <c r="K168" s="6" t="n">
        <v>218</v>
      </c>
      <c r="L168" s="6" t="inlineStr">
        <is>
          <t>W4 End-to-end</t>
        </is>
      </c>
      <c r="M168" s="6" t="inlineStr">
        <is>
          <t>S23</t>
        </is>
      </c>
      <c r="N168" s="6" t="inlineStr">
        <is>
          <t>Team</t>
        </is>
      </c>
      <c r="O168" s="6" t="inlineStr">
        <is>
          <t>Only after pilots, decisions and an AUTH</t>
        </is>
      </c>
      <c r="P168" s="6" t="inlineStr">
        <is>
          <t>No</t>
        </is>
      </c>
      <c r="Q168" s="6" t="inlineStr">
        <is>
          <t>Scientific unknown</t>
        </is>
      </c>
      <c r="R168" s="6" t="inlineStr">
        <is>
          <t>Sub-item</t>
        </is>
      </c>
      <c r="S168" s="6" t="inlineStr">
        <is>
          <t>C-S02</t>
        </is>
      </c>
      <c r="T168" s="6" t="inlineStr">
        <is>
          <t>HYP-0005/0008: the exposure-cost relation is not monotone; an inversion arises only via a lower hit rate, longer decision path or higher price of the restricted arm.</t>
        </is>
      </c>
      <c r="U168" s="6" t="inlineStr">
        <is>
          <t>Proposed.</t>
        </is>
      </c>
      <c r="V168" s="6" t="inlineStr">
        <is>
          <t>Sweep over cache regimes and surface policies with intervals.</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HYP-0005, HYP-0008</t>
        </is>
      </c>
      <c r="AG168" s="6" t="inlineStr"/>
      <c r="AH168" s="6" t="inlineStr">
        <is>
          <t>Yes</t>
        </is>
      </c>
      <c r="AI168" s="6" t="inlineStr"/>
      <c r="AJ168" s="6" t="inlineStr">
        <is>
          <t>repo: HYP records / CH-0042</t>
        </is>
      </c>
      <c r="AK168" s="6" t="inlineStr">
        <is>
          <t>HYP-0005, HYP-0008</t>
        </is>
      </c>
      <c r="AL168" s="6" t="inlineStr">
        <is>
          <t>S22</t>
        </is>
      </c>
    </row>
    <row r="169" ht="40.5" customHeight="1">
      <c r="A169" s="5" t="inlineStr">
        <is>
          <t>C-S02/PERVERSE</t>
        </is>
      </c>
      <c r="B169" s="6" t="inlineStr">
        <is>
          <t>Perverse optima of the token objective (tail dilution, expensive-task shedding, uncounted compute)</t>
        </is>
      </c>
      <c r="C169" s="6" t="inlineStr">
        <is>
          <t>OPEN</t>
        </is>
      </c>
      <c r="D169" s="6">
        <f>IFERROR(INDEX(Lists!$B$2:$B$14,MATCH(C169,Lists!$A$2:$A$14,0)),"?")</f>
        <v/>
      </c>
      <c r="E169" s="6">
        <f>IF(COUNTIFS(Links!$B$2:$B$600,A169,Links!$E$2:$E$600,"Yes")&gt;0,"REVISE","")</f>
        <v/>
      </c>
      <c r="F169" s="6">
        <f>COUNTIFS(Links!$B$2:$B$600,A169,Links!$D$2:$D$600,"No",Links!$C$2:$C$600,"&lt;&gt;INFORMS")</f>
        <v/>
      </c>
      <c r="G169" s="13" t="inlineStr">
        <is>
          <t>DESK-ANALYSIS</t>
        </is>
      </c>
      <c r="H169" s="6" t="inlineStr">
        <is>
          <t>K11 End-to-end comparison</t>
        </is>
      </c>
      <c r="I169" s="6" t="inlineStr">
        <is>
          <t>G4 Before claims</t>
        </is>
      </c>
      <c r="J169" s="6" t="inlineStr">
        <is>
          <t>Normal</t>
        </is>
      </c>
      <c r="K169" s="6" t="n">
        <v>219</v>
      </c>
      <c r="L169" s="6" t="inlineStr">
        <is>
          <t>W4 End-to-end</t>
        </is>
      </c>
      <c r="M169" s="6" t="inlineStr">
        <is>
          <t>S23</t>
        </is>
      </c>
      <c r="N169" s="6" t="inlineStr">
        <is>
          <t>Team</t>
        </is>
      </c>
      <c r="O169" s="6" t="inlineStr">
        <is>
          <t>Lead computes or writes it (no model runs)</t>
        </is>
      </c>
      <c r="P169" s="6" t="inlineStr">
        <is>
          <t>No</t>
        </is>
      </c>
      <c r="Q169" s="6" t="inlineStr">
        <is>
          <t>Scientific unknown</t>
        </is>
      </c>
      <c r="R169" s="6" t="inlineStr">
        <is>
          <t>Sub-item</t>
        </is>
      </c>
      <c r="S169" s="6" t="inlineStr">
        <is>
          <t>C-S02</t>
        </is>
      </c>
      <c r="T169" s="6" t="inlineStr">
        <is>
          <t>CH-0042: an aggregate noninferiority constraint on tokens can have perverse optima; non-token compute is uncounted.</t>
        </is>
      </c>
      <c r="U169" s="6" t="inlineStr">
        <is>
          <t>Stratum guard added; tokens split by outcome belong to E1.</t>
        </is>
      </c>
      <c r="V169" s="6" t="inlineStr">
        <is>
          <t>Success and tokens reported by stratum and outcome; non-token compute listed.</t>
        </is>
      </c>
      <c r="W169" s="6" t="inlineStr">
        <is>
          <t>C-D09, C-D08</t>
        </is>
      </c>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v3-04 section 1 (CH-0042 residual)</t>
        </is>
      </c>
      <c r="AG169" s="6" t="inlineStr"/>
      <c r="AH169" s="6" t="inlineStr">
        <is>
          <t>Yes</t>
        </is>
      </c>
      <c r="AI169" s="6" t="inlineStr"/>
      <c r="AJ169" s="6" t="inlineStr">
        <is>
          <t>repo: HYP records / CH-0042</t>
        </is>
      </c>
      <c r="AK169" s="6" t="inlineStr">
        <is>
          <t>CH-0042</t>
        </is>
      </c>
      <c r="AL169" s="6" t="inlineStr">
        <is>
          <t>S22</t>
        </is>
      </c>
    </row>
    <row r="170" ht="40.5" customHeight="1">
      <c r="A170" s="5" t="inlineStr">
        <is>
          <t>C-S02/PREV</t>
        </is>
      </c>
      <c r="B170" s="6" t="inlineStr">
        <is>
          <t>Is recovery worth its price as a function of prevalence w of tasks needing non-core tools?</t>
        </is>
      </c>
      <c r="C170" s="6" t="inlineStr">
        <is>
          <t>OPEN</t>
        </is>
      </c>
      <c r="D170" s="6">
        <f>IFERROR(INDEX(Lists!$B$2:$B$14,MATCH(C170,Lists!$A$2:$A$14,0)),"?")</f>
        <v/>
      </c>
      <c r="E170" s="6">
        <f>IF(COUNTIFS(Links!$B$2:$B$600,A170,Links!$E$2:$E$600,"Yes")&gt;0,"REVISE","")</f>
        <v/>
      </c>
      <c r="F170" s="6">
        <f>COUNTIFS(Links!$B$2:$B$600,A170,Links!$D$2:$D$600,"No",Links!$C$2:$C$600,"&lt;&gt;INFORMS")</f>
        <v/>
      </c>
      <c r="G170" s="19" t="inlineStr">
        <is>
          <t>TEST-CONFIRMATORY</t>
        </is>
      </c>
      <c r="H170" s="6" t="inlineStr">
        <is>
          <t>K11 End-to-end comparison</t>
        </is>
      </c>
      <c r="I170" s="6" t="inlineStr">
        <is>
          <t>G4 Before claims</t>
        </is>
      </c>
      <c r="J170" s="6" t="inlineStr">
        <is>
          <t>Normal</t>
        </is>
      </c>
      <c r="K170" s="6" t="n">
        <v>220</v>
      </c>
      <c r="L170" s="6" t="inlineStr">
        <is>
          <t>W4 End-to-end</t>
        </is>
      </c>
      <c r="M170" s="6" t="inlineStr">
        <is>
          <t>S23</t>
        </is>
      </c>
      <c r="N170" s="6" t="inlineStr">
        <is>
          <t>Team</t>
        </is>
      </c>
      <c r="O170" s="6" t="inlineStr">
        <is>
          <t>Only after pilots, decisions and an AUTH</t>
        </is>
      </c>
      <c r="P170" s="6" t="inlineStr">
        <is>
          <t>No</t>
        </is>
      </c>
      <c r="Q170" s="6" t="inlineStr">
        <is>
          <t>Scientific unknown</t>
        </is>
      </c>
      <c r="R170" s="6" t="inlineStr">
        <is>
          <t>Sub-item</t>
        </is>
      </c>
      <c r="S170" s="6" t="inlineStr">
        <is>
          <t>C-S02</t>
        </is>
      </c>
      <c r="T170" s="6" t="inlineStr">
        <is>
          <t>HYP-0011: value accrues only in tasks needing a tool outside the core while price accrues in all tasks.</t>
        </is>
      </c>
      <c r="U170" s="6" t="inlineStr">
        <is>
          <t>Proposed.</t>
        </is>
      </c>
      <c r="V170" s="6" t="inlineStr">
        <is>
          <t>Population net effect w x gain - (1-w) x price estimated; prevalence reported.</t>
        </is>
      </c>
      <c r="W170" s="6" t="inlineStr">
        <is>
          <t>C-D09, C-D08</t>
        </is>
      </c>
      <c r="X170" s="6" t="inlineStr"/>
      <c r="Y170" s="6" t="inlineStr"/>
      <c r="Z170" s="6" t="inlineStr"/>
      <c r="AA170" s="6" t="inlineStr"/>
      <c r="AB170" s="6" t="inlineStr">
        <is>
          <t>DATA</t>
        </is>
      </c>
      <c r="AC170" s="6" t="inlineStr">
        <is>
          <t>n/a (sub-item)</t>
        </is>
      </c>
      <c r="AD170" s="6" t="inlineStr">
        <is>
          <t>NEW (SRC-11 sub-row)</t>
        </is>
      </c>
      <c r="AE170" s="6" t="inlineStr">
        <is>
          <t>2026-10-19</t>
        </is>
      </c>
      <c r="AF170" s="6" t="inlineStr">
        <is>
          <t>HYP-0011</t>
        </is>
      </c>
      <c r="AG170" s="6" t="inlineStr"/>
      <c r="AH170" s="6" t="inlineStr">
        <is>
          <t>Yes</t>
        </is>
      </c>
      <c r="AI170" s="6" t="inlineStr"/>
      <c r="AJ170" s="6" t="inlineStr">
        <is>
          <t>repo: HYP records / CH-0042</t>
        </is>
      </c>
      <c r="AK170" s="6" t="inlineStr">
        <is>
          <t>HYP-0011</t>
        </is>
      </c>
      <c r="AL170" s="6" t="inlineStr">
        <is>
          <t>S22</t>
        </is>
      </c>
    </row>
    <row r="171" ht="228" customHeight="1">
      <c r="A171" s="5" t="inlineStr">
        <is>
          <t>C-S02</t>
        </is>
      </c>
      <c r="B171" s="6" t="inlineStr">
        <is>
          <t>Repeated complete-trajectory success and cache-aware billed cost: deferral/discovery vs cached full exposure.</t>
        </is>
      </c>
      <c r="C171" s="6" t="inlineStr">
        <is>
          <t>OPEN</t>
        </is>
      </c>
      <c r="D171" s="6">
        <f>IFERROR(INDEX(Lists!$B$2:$B$14,MATCH(C171,Lists!$A$2:$A$14,0)),"?")</f>
        <v/>
      </c>
      <c r="E171" s="6">
        <f>IF(COUNTIFS(Links!$B$2:$B$600,A171,Links!$E$2:$E$600,"Yes")&gt;0,"REVISE","")</f>
        <v/>
      </c>
      <c r="F171" s="6">
        <f>COUNTIFS(Links!$B$2:$B$600,A171,Links!$D$2:$D$600,"No",Links!$C$2:$C$600,"&lt;&gt;INFORMS")</f>
        <v/>
      </c>
      <c r="G171" s="19" t="inlineStr">
        <is>
          <t>TEST-CONFIRMATORY</t>
        </is>
      </c>
      <c r="H171" s="6" t="inlineStr">
        <is>
          <t>K11 End-to-end comparison</t>
        </is>
      </c>
      <c r="I171" s="6" t="inlineStr">
        <is>
          <t>G4 Before claims</t>
        </is>
      </c>
      <c r="J171" s="6" t="inlineStr">
        <is>
          <t>Normal</t>
        </is>
      </c>
      <c r="K171" s="6" t="n">
        <v>221</v>
      </c>
      <c r="L171" s="6" t="inlineStr">
        <is>
          <t>W4 End-to-end</t>
        </is>
      </c>
      <c r="M171" s="6" t="inlineStr">
        <is>
          <t>S23</t>
        </is>
      </c>
      <c r="N171" s="6" t="inlineStr">
        <is>
          <t>Team</t>
        </is>
      </c>
      <c r="O171" s="6" t="inlineStr">
        <is>
          <t>Only after pilots, decisions and an AUTH</t>
        </is>
      </c>
      <c r="P171" s="6" t="inlineStr">
        <is>
          <t>No</t>
        </is>
      </c>
      <c r="Q171" s="6" t="inlineStr">
        <is>
          <t>Scientific unknown</t>
        </is>
      </c>
      <c r="R171" s="6" t="inlineStr">
        <is>
          <t>Item</t>
        </is>
      </c>
      <c r="S171" s="6" t="inlineStr"/>
      <c r="T171" s="6" t="inlineStr">
        <is>
          <t>Repeated complete-trajectory success and cache-aware billed cost: deferral/discovery vs cached full exposure.</t>
        </is>
      </c>
      <c r="U171"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71" s="6" t="inlineStr">
        <is>
          <t>Feasibility pilot, then an appropriately powered paired comparison with provider usage and invoice reconciliation.</t>
        </is>
      </c>
      <c r="W171" s="6" t="inlineStr">
        <is>
          <t>C-D09, C-D08, C-D02, C-D06, C-E06, C-S01, C-S03, C-S08, C-S14</t>
        </is>
      </c>
      <c r="X171" s="6" t="inlineStr">
        <is>
          <t>C-S12, C-S13, C-S15, C-D11</t>
        </is>
      </c>
      <c r="Y171" s="6" t="inlineStr">
        <is>
          <t>Q-U03</t>
        </is>
      </c>
      <c r="Z171" s="6" t="inlineStr">
        <is>
          <t>TEST-PILOT</t>
        </is>
      </c>
      <c r="AA171" s="6" t="inlineStr">
        <is>
          <t>K9 Cache &amp; billing</t>
        </is>
      </c>
      <c r="AB171" s="6" t="inlineStr">
        <is>
          <t>DATA</t>
        </is>
      </c>
      <c r="AC171" s="6" t="inlineStr">
        <is>
          <t>OPEN</t>
        </is>
      </c>
      <c r="AD171" s="6" t="inlineStr">
        <is>
          <t>UNCHANGED</t>
        </is>
      </c>
      <c r="AE171" s="6" t="inlineStr">
        <is>
          <t>2026-10-19</t>
        </is>
      </c>
      <c r="AF171" s="6" t="inlineStr">
        <is>
          <t>v4-05 section 1A; v4-04 section 3</t>
        </is>
      </c>
      <c r="AG171" s="6" t="inlineStr"/>
      <c r="AH171" s="6" t="inlineStr">
        <is>
          <t>Yes</t>
        </is>
      </c>
      <c r="AI171" s="6" t="inlineStr"/>
      <c r="AJ171" s="6" t="inlineStr">
        <is>
          <t>SRC-11 canonical</t>
        </is>
      </c>
      <c r="AK171" s="6" t="inlineStr">
        <is>
          <t>SRC-06 S01, SRC-06 S03, SRC-07 13, SRC-07 22, v3-04 E5, v3-04 E7, HYP-0005, HYP-0008, RA11</t>
        </is>
      </c>
      <c r="AL171" s="6" t="inlineStr">
        <is>
          <t>S22</t>
        </is>
      </c>
    </row>
    <row r="172" ht="40.5" customHeight="1">
      <c r="A172" s="5" t="inlineStr">
        <is>
          <t>C-X05</t>
        </is>
      </c>
      <c r="B172" s="6" t="inlineStr">
        <is>
          <t>E5: repeated end-to-end success/cost sweep that answers C-S02.</t>
        </is>
      </c>
      <c r="C172" s="6" t="inlineStr">
        <is>
          <t>UNRUN</t>
        </is>
      </c>
      <c r="D172" s="6">
        <f>IFERROR(INDEX(Lists!$B$2:$B$14,MATCH(C172,Lists!$A$2:$A$14,0)),"?")</f>
        <v/>
      </c>
      <c r="E172" s="6">
        <f>IF(COUNTIFS(Links!$B$2:$B$600,A172,Links!$E$2:$E$600,"Yes")&gt;0,"REVISE","")</f>
        <v/>
      </c>
      <c r="F172" s="6">
        <f>COUNTIFS(Links!$B$2:$B$600,A172,Links!$D$2:$D$600,"No",Links!$C$2:$C$600,"&lt;&gt;INFORMS")</f>
        <v/>
      </c>
      <c r="G172" s="19" t="inlineStr">
        <is>
          <t>TEST-CONFIRMATORY</t>
        </is>
      </c>
      <c r="H172" s="6" t="inlineStr">
        <is>
          <t>K11 End-to-end comparison</t>
        </is>
      </c>
      <c r="I172" s="6" t="inlineStr">
        <is>
          <t>G4 Before claims</t>
        </is>
      </c>
      <c r="J172" s="6" t="inlineStr">
        <is>
          <t>Normal</t>
        </is>
      </c>
      <c r="K172" s="6" t="n">
        <v>222</v>
      </c>
      <c r="L172" s="6" t="inlineStr">
        <is>
          <t>W4 End-to-end</t>
        </is>
      </c>
      <c r="M172" s="6" t="inlineStr">
        <is>
          <t>S23</t>
        </is>
      </c>
      <c r="N172" s="6" t="inlineStr">
        <is>
          <t>Team</t>
        </is>
      </c>
      <c r="O172" s="6" t="inlineStr">
        <is>
          <t>Only after pilots, decisions and an AUTH</t>
        </is>
      </c>
      <c r="P172" s="6" t="inlineStr">
        <is>
          <t>No</t>
        </is>
      </c>
      <c r="Q172" s="6" t="inlineStr">
        <is>
          <t>Test</t>
        </is>
      </c>
      <c r="R172" s="6" t="inlineStr">
        <is>
          <t>Check</t>
        </is>
      </c>
      <c r="S172" s="6" t="inlineStr"/>
      <c r="T172" s="6" t="inlineStr">
        <is>
          <t>E5: repeated end-to-end success/cost sweep that answers C-S02.</t>
        </is>
      </c>
      <c r="U172" s="6" t="inlineStr">
        <is>
          <t>Power arithmetic only: about 495 pairs for a single five-point contrast; 800-2,300 for several contrasts or strata.</t>
        </is>
      </c>
      <c r="V172" s="6" t="inlineStr">
        <is>
          <t>Same as C-S02.</t>
        </is>
      </c>
      <c r="W172" s="6" t="inlineStr">
        <is>
          <t>C-D09, C-D08, C-D02, C-D06, C-E06, C-S01, C-S03, C-S08</t>
        </is>
      </c>
      <c r="X172" s="6" t="inlineStr">
        <is>
          <t>C-D11</t>
        </is>
      </c>
      <c r="Y172" s="6" t="inlineStr"/>
      <c r="Z172" s="6" t="inlineStr">
        <is>
          <t>TEST-PILOT</t>
        </is>
      </c>
      <c r="AA172" s="6" t="inlineStr"/>
      <c r="AB172" s="6" t="inlineStr">
        <is>
          <t>DATA</t>
        </is>
      </c>
      <c r="AC172" s="6" t="inlineStr">
        <is>
          <t>NO RESULT - OPEN</t>
        </is>
      </c>
      <c r="AD172" s="6" t="inlineStr">
        <is>
          <t>UNCHANGED</t>
        </is>
      </c>
      <c r="AE172" s="6" t="inlineStr">
        <is>
          <t>2026-10-19</t>
        </is>
      </c>
      <c r="AF172" s="6" t="inlineStr">
        <is>
          <t>v4-02 section 7</t>
        </is>
      </c>
      <c r="AG172" s="6" t="inlineStr"/>
      <c r="AH172" s="6" t="inlineStr">
        <is>
          <t>Yes</t>
        </is>
      </c>
      <c r="AI172" s="6" t="inlineStr"/>
      <c r="AJ172" s="6" t="inlineStr">
        <is>
          <t>SRC-11 canonical</t>
        </is>
      </c>
      <c r="AK172" s="6" t="inlineStr">
        <is>
          <t>E5</t>
        </is>
      </c>
      <c r="AL172" s="6" t="inlineStr">
        <is>
          <t>S22</t>
        </is>
      </c>
    </row>
    <row r="173" ht="253" customHeight="1">
      <c r="A173" s="5" t="inlineStr">
        <is>
          <t>C-E03</t>
        </is>
      </c>
      <c r="B173" s="6" t="inlineStr">
        <is>
          <t>Version drift, vendor arithmetic and evaluator error need version labels and primary checks.</t>
        </is>
      </c>
      <c r="C173" s="6" t="inlineStr">
        <is>
          <t>PARTLY ANSWERED</t>
        </is>
      </c>
      <c r="D173" s="6">
        <f>IFERROR(INDEX(Lists!$B$2:$B$14,MATCH(C173,Lists!$A$2:$A$14,0)),"?")</f>
        <v/>
      </c>
      <c r="E173" s="6">
        <f>IF(COUNTIFS(Links!$B$2:$B$600,A173,Links!$E$2:$E$600,"Yes")&gt;0,"REVISE","")</f>
        <v/>
      </c>
      <c r="F173" s="6">
        <f>COUNTIFS(Links!$B$2:$B$600,A173,Links!$D$2:$D$600,"No",Links!$C$2:$C$600,"&lt;&gt;INFORMS")</f>
        <v/>
      </c>
      <c r="G173" s="14" t="inlineStr">
        <is>
          <t>SOURCE-REREAD</t>
        </is>
      </c>
      <c r="H173" s="6" t="inlineStr">
        <is>
          <t>K14 Source &amp; vendor verification</t>
        </is>
      </c>
      <c r="I173" s="6" t="inlineStr">
        <is>
          <t>G4 Before claims</t>
        </is>
      </c>
      <c r="J173" s="6" t="inlineStr">
        <is>
          <t>Normal</t>
        </is>
      </c>
      <c r="K173" s="6" t="n">
        <v>223</v>
      </c>
      <c r="L173" s="6" t="inlineStr">
        <is>
          <t>W5 Claim-time</t>
        </is>
      </c>
      <c r="M173" s="6" t="inlineStr">
        <is>
          <t>S24</t>
        </is>
      </c>
      <c r="N173" s="6" t="inlineStr">
        <is>
          <t>Lead</t>
        </is>
      </c>
      <c r="O173" s="6" t="inlineStr">
        <is>
          <t>You approve the pointer sentence (06 row 3.29); then this row can close</t>
        </is>
      </c>
      <c r="P173" s="6" t="inlineStr">
        <is>
          <t>Yes - stored text, unread</t>
        </is>
      </c>
      <c r="Q173" s="6" t="inlineStr">
        <is>
          <t>Source check</t>
        </is>
      </c>
      <c r="R173" s="6" t="inlineStr">
        <is>
          <t>Item</t>
        </is>
      </c>
      <c r="S173" s="6" t="inlineStr"/>
      <c r="T173" s="6" t="inlineStr">
        <is>
          <t>Version drift, vendor arithmetic and evaluator error need version labels and primary checks.</t>
        </is>
      </c>
      <c r="U173"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73" s="6" t="inlineStr">
        <is>
          <t>Every quoted number carries its version and date.</t>
        </is>
      </c>
      <c r="W173" s="6" t="inlineStr"/>
      <c r="X173" s="6" t="inlineStr">
        <is>
          <t>C-D01</t>
        </is>
      </c>
      <c r="Y173" s="6" t="inlineStr"/>
      <c r="Z173" s="6" t="inlineStr">
        <is>
          <t>TIME-RECHECK</t>
        </is>
      </c>
      <c r="AA173" s="6" t="inlineStr">
        <is>
          <t>K15 Expiring provider facts</t>
        </is>
      </c>
      <c r="AB173" s="6" t="inlineStr">
        <is>
          <t>SOURCE+TIME+DATA</t>
        </is>
      </c>
      <c r="AC173" s="6" t="inlineStr">
        <is>
          <t>OPEN</t>
        </is>
      </c>
      <c r="AD173" s="6" t="inlineStr">
        <is>
          <t>UNCHANGED</t>
        </is>
      </c>
      <c r="AE173" s="6" t="inlineStr">
        <is>
          <t>2026-10-20</t>
        </is>
      </c>
      <c r="AF173" s="6" t="inlineStr">
        <is>
          <t>FND-0033 (findings/SUM-0035); FND-0034 (findings/SUM-0036); EXT-0177, EXT-0220..0223</t>
        </is>
      </c>
      <c r="AG173" s="6" t="inlineStr">
        <is>
          <t>When a claim is used in the thesis</t>
        </is>
      </c>
      <c r="AH173" s="6" t="inlineStr">
        <is>
          <t>No</t>
        </is>
      </c>
      <c r="AI173" s="6" t="inlineStr"/>
      <c r="AJ173" s="6" t="inlineStr">
        <is>
          <t>SRC-11 canonical</t>
        </is>
      </c>
      <c r="AK173" s="6" t="inlineStr">
        <is>
          <t>SRC-06 E03, SRC-06 E40, SRC-07 25-27, CAVEATS 7, CAVEATS 8, CAVEATS 9</t>
        </is>
      </c>
      <c r="AL173" s="6" t="inlineStr">
        <is>
          <t>S11</t>
        </is>
      </c>
    </row>
    <row r="174" ht="290.5" customHeight="1">
      <c r="A174" s="5" t="inlineStr">
        <is>
          <t>C-E03/E40</t>
        </is>
      </c>
      <c r="B174" s="6" t="inlineStr">
        <is>
          <t>MCPVerse, MCP-Atlas, LiveMCPBench version-sensitive numbers</t>
        </is>
      </c>
      <c r="C174" s="6" t="inlineStr">
        <is>
          <t>PARTLY ANSWERED</t>
        </is>
      </c>
      <c r="D174" s="6">
        <f>IFERROR(INDEX(Lists!$B$2:$B$14,MATCH(C174,Lists!$A$2:$A$14,0)),"?")</f>
        <v/>
      </c>
      <c r="E174" s="6">
        <f>IF(COUNTIFS(Links!$B$2:$B$600,A174,Links!$E$2:$E$600,"Yes")&gt;0,"REVISE","")</f>
        <v/>
      </c>
      <c r="F174" s="6">
        <f>COUNTIFS(Links!$B$2:$B$600,A174,Links!$D$2:$D$600,"No",Links!$C$2:$C$600,"&lt;&gt;INFORMS")</f>
        <v/>
      </c>
      <c r="G174" s="14" t="inlineStr">
        <is>
          <t>SOURCE-REREAD</t>
        </is>
      </c>
      <c r="H174" s="6" t="inlineStr">
        <is>
          <t>K14 Source &amp; vendor verification</t>
        </is>
      </c>
      <c r="I174" s="6" t="inlineStr">
        <is>
          <t>G4 Before claims</t>
        </is>
      </c>
      <c r="J174" s="6" t="inlineStr">
        <is>
          <t>Normal</t>
        </is>
      </c>
      <c r="K174" s="6" t="n">
        <v>224</v>
      </c>
      <c r="L174" s="6" t="inlineStr">
        <is>
          <t>W5 Claim-time</t>
        </is>
      </c>
      <c r="M174" s="6" t="inlineStr">
        <is>
          <t>S24</t>
        </is>
      </c>
      <c r="N174" s="6" t="inlineStr">
        <is>
          <t>Lead</t>
        </is>
      </c>
      <c r="O174" s="6" t="inlineStr">
        <is>
          <t>Apply version tags at claim time (thesis text) or approve 06 row 3.29</t>
        </is>
      </c>
      <c r="P174" s="6" t="inlineStr">
        <is>
          <t>Yes - stored text, unread</t>
        </is>
      </c>
      <c r="Q174" s="6" t="inlineStr">
        <is>
          <t>Source check</t>
        </is>
      </c>
      <c r="R174" s="6" t="inlineStr">
        <is>
          <t>Sub-item</t>
        </is>
      </c>
      <c r="S174" s="6" t="inlineStr">
        <is>
          <t>C-E03</t>
        </is>
      </c>
      <c r="T174" s="6" t="inlineStr">
        <is>
          <t>SRC-06 E40 / SRC-07 25: MCPVerse, MCP-Atlas and LiveMCPBench numbers and attribution are version-sensitive.</t>
        </is>
      </c>
      <c r="U174"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74" s="6" t="inlineStr">
        <is>
          <t>Every quoted number carries version and date.</t>
        </is>
      </c>
      <c r="W174" s="6" t="inlineStr"/>
      <c r="X174" s="6" t="inlineStr"/>
      <c r="Y174" s="6" t="inlineStr"/>
      <c r="Z174" s="6" t="inlineStr"/>
      <c r="AA174" s="6" t="inlineStr"/>
      <c r="AB174" s="6" t="inlineStr">
        <is>
          <t>SOURCE+TIME</t>
        </is>
      </c>
      <c r="AC174" s="6" t="inlineStr">
        <is>
          <t>n/a (sub-item)</t>
        </is>
      </c>
      <c r="AD174" s="6" t="inlineStr">
        <is>
          <t>NARROWED</t>
        </is>
      </c>
      <c r="AE174" s="6" t="inlineStr">
        <is>
          <t>2026-10-20</t>
        </is>
      </c>
      <c r="AF174" s="6" t="inlineStr">
        <is>
          <t>FND-0033, FND-0034</t>
        </is>
      </c>
      <c r="AG174" s="6" t="inlineStr"/>
      <c r="AH174" s="6" t="inlineStr">
        <is>
          <t>No</t>
        </is>
      </c>
      <c r="AI174" s="6" t="inlineStr"/>
      <c r="AJ174" s="6" t="inlineStr">
        <is>
          <t>SRC-11 section D1</t>
        </is>
      </c>
      <c r="AK174" s="6" t="inlineStr">
        <is>
          <t>SRC-06 E40, SRC-07 25, CAVEATS 7</t>
        </is>
      </c>
      <c r="AL174" s="6" t="inlineStr">
        <is>
          <t>S11</t>
        </is>
      </c>
    </row>
    <row r="175" ht="300" customHeight="1">
      <c r="A175" s="5" t="inlineStr">
        <is>
          <t>C-E03/O7-27</t>
        </is>
      </c>
      <c r="B175" s="6" t="inlineStr">
        <is>
          <t>Evaluator-human disagreement and incomplete LLM-judge answers</t>
        </is>
      </c>
      <c r="C175" s="6" t="inlineStr">
        <is>
          <t>PARTLY ANSWERED</t>
        </is>
      </c>
      <c r="D175" s="6">
        <f>IFERROR(INDEX(Lists!$B$2:$B$14,MATCH(C175,Lists!$A$2:$A$14,0)),"?")</f>
        <v/>
      </c>
      <c r="E175" s="6">
        <f>IF(COUNTIFS(Links!$B$2:$B$600,A175,Links!$E$2:$E$600,"Yes")&gt;0,"REVISE","")</f>
        <v/>
      </c>
      <c r="F175" s="6">
        <f>COUNTIFS(Links!$B$2:$B$600,A175,Links!$D$2:$D$600,"No",Links!$C$2:$C$600,"&lt;&gt;INFORMS")</f>
        <v/>
      </c>
      <c r="G175" s="14" t="inlineStr">
        <is>
          <t>SOURCE-REREAD</t>
        </is>
      </c>
      <c r="H175" s="6" t="inlineStr">
        <is>
          <t>K14 Source &amp; vendor verification</t>
        </is>
      </c>
      <c r="I175" s="6" t="inlineStr">
        <is>
          <t>G4 Before claims</t>
        </is>
      </c>
      <c r="J175" s="6" t="inlineStr">
        <is>
          <t>Normal</t>
        </is>
      </c>
      <c r="K175" s="6" t="n">
        <v>226</v>
      </c>
      <c r="L175" s="6" t="inlineStr">
        <is>
          <t>W5 Claim-time</t>
        </is>
      </c>
      <c r="M175" s="6" t="inlineStr">
        <is>
          <t>S24</t>
        </is>
      </c>
      <c r="N175" s="6" t="inlineStr">
        <is>
          <t>Team</t>
        </is>
      </c>
      <c r="O175" s="6" t="inlineStr">
        <is>
          <t>You send the drafted ask (design/ledger/notes/AUTHOR-ASKS-DRAFT-20261020.md, section 2) and record the reply; until then it waits on the authors</t>
        </is>
      </c>
      <c r="P175" s="6" t="inlineStr">
        <is>
          <t>Yes - stored text, unread</t>
        </is>
      </c>
      <c r="Q175" s="6" t="inlineStr">
        <is>
          <t>Source check</t>
        </is>
      </c>
      <c r="R175" s="6" t="inlineStr">
        <is>
          <t>Sub-item</t>
        </is>
      </c>
      <c r="S175" s="6" t="inlineStr">
        <is>
          <t>C-E03</t>
        </is>
      </c>
      <c r="T175" s="6" t="inlineStr">
        <is>
          <t>SRC-07 27: evaluator-human disagreement (18.5% in one audit) and plausible but incomplete LLM-judge answers.</t>
        </is>
      </c>
      <c r="U175"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75" s="6" t="inlineStr">
        <is>
          <t>Source figure verified; scorer chosen; a sample audited against humans.</t>
        </is>
      </c>
      <c r="W175" s="6" t="inlineStr"/>
      <c r="X175" s="6" t="inlineStr"/>
      <c r="Y175" s="6" t="inlineStr"/>
      <c r="Z175" s="6" t="inlineStr"/>
      <c r="AA175" s="6" t="inlineStr"/>
      <c r="AB175" s="6" t="inlineStr">
        <is>
          <t>DATA+SOURCE</t>
        </is>
      </c>
      <c r="AC175" s="6" t="inlineStr">
        <is>
          <t>n/a (sub-item)</t>
        </is>
      </c>
      <c r="AD175" s="6" t="inlineStr">
        <is>
          <t>NEW (SRC-11 sub-row)</t>
        </is>
      </c>
      <c r="AE175" s="6" t="inlineStr">
        <is>
          <t>2026-10-20</t>
        </is>
      </c>
      <c r="AF175" s="6" t="inlineStr">
        <is>
          <t>FND-0021 (findings/SUM-0023); EXT-0184, EXT-0186, EXT-0187, EXT-0190, EXT-0156, EXT-0159</t>
        </is>
      </c>
      <c r="AG175" s="6" t="inlineStr"/>
      <c r="AH175" s="6" t="inlineStr">
        <is>
          <t>No</t>
        </is>
      </c>
      <c r="AI175" s="6" t="inlineStr"/>
      <c r="AJ175" s="6" t="inlineStr">
        <is>
          <t>SRC-11 section D1</t>
        </is>
      </c>
      <c r="AK175" s="6" t="inlineStr">
        <is>
          <t>SRC-07 27, CAVEATS 9</t>
        </is>
      </c>
      <c r="AL175" s="6" t="inlineStr">
        <is>
          <t>S11</t>
        </is>
      </c>
    </row>
    <row r="176" ht="53" customHeight="1">
      <c r="A176" s="5" t="inlineStr">
        <is>
          <t>N-23</t>
        </is>
      </c>
      <c r="B176" s="6" t="inlineStr">
        <is>
          <t>Move the review and this ledger into tracked docs; record an AUTH row for the review</t>
        </is>
      </c>
      <c r="C176" s="6" t="inlineStr">
        <is>
          <t>PARTLY ANSWERED</t>
        </is>
      </c>
      <c r="D176" s="6">
        <f>IFERROR(INDEX(Lists!$B$2:$B$14,MATCH(C176,Lists!$A$2:$A$14,0)),"?")</f>
        <v/>
      </c>
      <c r="E176" s="6">
        <f>IF(COUNTIFS(Links!$B$2:$B$600,A176,Links!$E$2:$E$600,"Yes")&gt;0,"REVISE","")</f>
        <v/>
      </c>
      <c r="F176" s="6">
        <f>COUNTIFS(Links!$B$2:$B$600,A176,Links!$D$2:$D$600,"No",Links!$C$2:$C$600,"&lt;&gt;INFORMS")</f>
        <v/>
      </c>
      <c r="G176" s="9" t="inlineStr">
        <is>
          <t>USER-DECISION</t>
        </is>
      </c>
      <c r="H176" s="6" t="inlineStr">
        <is>
          <t>K16 Limits &amp; provenance</t>
        </is>
      </c>
      <c r="I176" s="6" t="inlineStr">
        <is>
          <t>G5 Housekeeping / no block</t>
        </is>
      </c>
      <c r="J176" s="6" t="inlineStr">
        <is>
          <t>Low</t>
        </is>
      </c>
      <c r="K176" s="6" t="n">
        <v>235</v>
      </c>
      <c r="L176" s="6" t="inlineStr">
        <is>
          <t>W5 Claim-time</t>
        </is>
      </c>
      <c r="M176" s="6" t="inlineStr">
        <is>
          <t>S25</t>
        </is>
      </c>
      <c r="N176" s="6" t="inlineStr">
        <is>
          <t>You</t>
        </is>
      </c>
      <c r="O176" s="6" t="inlineStr">
        <is>
          <t>Answer Q-U18</t>
        </is>
      </c>
      <c r="P176" s="6" t="inlineStr">
        <is>
          <t>n/a</t>
        </is>
      </c>
      <c r="Q176" s="6" t="inlineStr">
        <is>
          <t>Decision</t>
        </is>
      </c>
      <c r="R176" s="6" t="inlineStr">
        <is>
          <t>Item</t>
        </is>
      </c>
      <c r="S176" s="6" t="inlineStr"/>
      <c r="T176" s="6" t="inlineStr">
        <is>
          <t>Review section 9: no AUTH covers the review or the ledger; moving them into tracked documentation needs your approval; SRC-11/12 would need an intake route if they become inputs; the .workspace folder is untracked and not in the remote backup.</t>
        </is>
      </c>
      <c r="U176" s="6" t="inlineStr">
        <is>
          <t>Ledger workbook is tracked at design/ledger/ under AUTH-016 (CSV export alongside). The review report and SRC-11/12 remain untracked in .workspace; admitting them is undecided.</t>
        </is>
      </c>
      <c r="V176" s="6" t="inlineStr">
        <is>
          <t>Review report and SRC-11/12 either admitted (review as SUM; SRC-11/12 via the intake route with provenance) or explicitly kept outside.</t>
        </is>
      </c>
      <c r="W176" s="6" t="inlineStr"/>
      <c r="X176" s="6" t="inlineStr"/>
      <c r="Y176" s="6" t="inlineStr">
        <is>
          <t>Q-U18</t>
        </is>
      </c>
      <c r="Z176" s="6" t="inlineStr"/>
      <c r="AA176" s="6" t="inlineStr"/>
      <c r="AB176" s="6" t="inlineStr">
        <is>
          <t>DEC+RECORD</t>
        </is>
      </c>
      <c r="AC176" s="6" t="inlineStr">
        <is>
          <t>n/a (new)</t>
        </is>
      </c>
      <c r="AD176" s="6" t="inlineStr">
        <is>
          <t>NEW (repo sweep)</t>
        </is>
      </c>
      <c r="AE176" s="6" t="inlineStr">
        <is>
          <t>2026-10-19</t>
        </is>
      </c>
      <c r="AF176" s="6" t="inlineStr">
        <is>
          <t>ops/AUTHORIZATIONS.md AUTH-016; Questions Q-U18 answer</t>
        </is>
      </c>
      <c r="AG176" s="6" t="inlineStr"/>
      <c r="AH176" s="6" t="inlineStr">
        <is>
          <t>Yes (AUTH row)</t>
        </is>
      </c>
      <c r="AI176" s="6" t="inlineStr"/>
      <c r="AJ176" s="6" t="inlineStr">
        <is>
          <t>review 19 Oct section 9</t>
        </is>
      </c>
      <c r="AK176" s="6" t="inlineStr"/>
      <c r="AL176" s="6" t="inlineStr">
        <is>
          <t>S03</t>
        </is>
      </c>
    </row>
    <row r="177" ht="278" customHeight="1">
      <c r="A177" s="5" t="inlineStr">
        <is>
          <t>AS-02</t>
        </is>
      </c>
      <c r="B177" s="6" t="inlineStr">
        <is>
          <t>Supervisor assertion A2: No symbolic algorithm can beat the LLM across all cases</t>
        </is>
      </c>
      <c r="C177" s="6" t="inlineStr">
        <is>
          <t>PARTLY ANSWERED</t>
        </is>
      </c>
      <c r="D177" s="6">
        <f>IFERROR(INDEX(Lists!$B$2:$B$14,MATCH(C177,Lists!$A$2:$A$14,0)),"?")</f>
        <v/>
      </c>
      <c r="E177" s="6">
        <f>IF(COUNTIFS(Links!$B$2:$B$600,A177,Links!$E$2:$E$600,"Yes")&gt;0,"REVISE","")</f>
        <v/>
      </c>
      <c r="F177" s="6">
        <f>COUNTIFS(Links!$B$2:$B$600,A177,Links!$D$2:$D$600,"No",Links!$C$2:$C$600,"&lt;&gt;INFORMS")</f>
        <v/>
      </c>
      <c r="G177" s="12" t="inlineStr">
        <is>
          <t>ACCEPT-LIMITATION</t>
        </is>
      </c>
      <c r="H177" s="6" t="inlineStr">
        <is>
          <t>K14 Source &amp; vendor verification</t>
        </is>
      </c>
      <c r="I177" s="6" t="inlineStr">
        <is>
          <t>G5 Housekeeping / no block</t>
        </is>
      </c>
      <c r="J177" s="6" t="inlineStr">
        <is>
          <t>Low</t>
        </is>
      </c>
      <c r="K177" s="6" t="n">
        <v>236</v>
      </c>
      <c r="L177" s="6" t="inlineStr">
        <is>
          <t>W5 Claim-time</t>
        </is>
      </c>
      <c r="M177" s="6" t="inlineStr">
        <is>
          <t>S25</t>
        </is>
      </c>
      <c r="N177" s="6" t="inlineStr">
        <is>
          <t>Lead / team</t>
        </is>
      </c>
      <c r="O177" s="6" t="inlineStr">
        <is>
          <t>Q-J29; the testable version would need a pilot arm</t>
        </is>
      </c>
      <c r="P177" s="6" t="inlineStr">
        <is>
          <t>No</t>
        </is>
      </c>
      <c r="Q177" s="6" t="inlineStr">
        <is>
          <t>Claim to test</t>
        </is>
      </c>
      <c r="R177" s="6" t="inlineStr">
        <is>
          <t>Item</t>
        </is>
      </c>
      <c r="S177" s="6" t="inlineStr"/>
      <c r="T177" s="6" t="inlineStr">
        <is>
          <t>REQ-A1 A2: No symbolic algorithm can beat the LLM across all cases. Universal, partly definitional claim; hard to test as stated.</t>
        </is>
      </c>
      <c r="U177"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77" s="6" t="inlineStr">
        <is>
          <t>Universal, partly definitional claim; hard to test as stated.</t>
        </is>
      </c>
      <c r="W177" s="6" t="inlineStr"/>
      <c r="X177" s="6" t="inlineStr"/>
      <c r="Y177" s="6" t="inlineStr">
        <is>
          <t>Q-J29</t>
        </is>
      </c>
      <c r="Z177" s="6" t="inlineStr"/>
      <c r="AA177" s="6" t="inlineStr"/>
      <c r="AB177" s="6" t="inlineStr">
        <is>
          <t>SOURCE</t>
        </is>
      </c>
      <c r="AC177" s="6" t="inlineStr">
        <is>
          <t>n/a (REGISTER E)</t>
        </is>
      </c>
      <c r="AD177" s="6" t="inlineStr">
        <is>
          <t>NEW (repo sweep)</t>
        </is>
      </c>
      <c r="AE177" s="6" t="inlineStr">
        <is>
          <t>2026-10-20</t>
        </is>
      </c>
      <c r="AF177" s="6" t="inlineStr">
        <is>
          <t>FND-0031 (findings/SUM-0033); EXT-0207, EXT-0208</t>
        </is>
      </c>
      <c r="AG177" s="6" t="inlineStr"/>
      <c r="AH177" s="6" t="inlineStr">
        <is>
          <t>No</t>
        </is>
      </c>
      <c r="AI177" s="6" t="inlineStr"/>
      <c r="AJ177" s="6" t="inlineStr">
        <is>
          <t>repo: REGISTER section E / EXT-0004</t>
        </is>
      </c>
      <c r="AK177" s="6" t="inlineStr">
        <is>
          <t>REQ-A1 A2</t>
        </is>
      </c>
      <c r="AL177" s="6" t="inlineStr">
        <is>
          <t>S11</t>
        </is>
      </c>
    </row>
    <row r="178" ht="103" customHeight="1">
      <c r="A178" s="5" t="inlineStr">
        <is>
          <t>AS-08</t>
        </is>
      </c>
      <c r="B178" s="6" t="inlineStr">
        <is>
          <t>Supervisor assertion A8: Industry has tried to solve LLM interpretability for years without a solution</t>
        </is>
      </c>
      <c r="C178" s="6" t="inlineStr">
        <is>
          <t>DEFERRED</t>
        </is>
      </c>
      <c r="D178" s="6">
        <f>IFERROR(INDEX(Lists!$B$2:$B$14,MATCH(C178,Lists!$A$2:$A$14,0)),"?")</f>
        <v/>
      </c>
      <c r="E178" s="6">
        <f>IF(COUNTIFS(Links!$B$2:$B$600,A178,Links!$E$2:$E$600,"Yes")&gt;0,"REVISE","")</f>
        <v/>
      </c>
      <c r="F178" s="6">
        <f>COUNTIFS(Links!$B$2:$B$600,A178,Links!$D$2:$D$600,"No",Links!$C$2:$C$600,"&lt;&gt;INFORMS")</f>
        <v/>
      </c>
      <c r="G178" s="12" t="inlineStr">
        <is>
          <t>ACCEPT-LIMITATION</t>
        </is>
      </c>
      <c r="H178" s="6" t="inlineStr">
        <is>
          <t>K14 Source &amp; vendor verification</t>
        </is>
      </c>
      <c r="I178" s="6" t="inlineStr">
        <is>
          <t>G5 Housekeeping / no block</t>
        </is>
      </c>
      <c r="J178" s="6" t="inlineStr">
        <is>
          <t>Low</t>
        </is>
      </c>
      <c r="K178" s="6" t="n">
        <v>237</v>
      </c>
      <c r="L178" s="6" t="inlineStr">
        <is>
          <t>W5 Claim-time</t>
        </is>
      </c>
      <c r="M178" s="6" t="inlineStr">
        <is>
          <t>S25</t>
        </is>
      </c>
      <c r="N178" s="6" t="inlineStr">
        <is>
          <t>Lead / team</t>
        </is>
      </c>
      <c r="O178" s="6" t="inlineStr">
        <is>
          <t>none</t>
        </is>
      </c>
      <c r="P178" s="6" t="inlineStr">
        <is>
          <t>No</t>
        </is>
      </c>
      <c r="Q178" s="6" t="inlineStr">
        <is>
          <t>Claim to test</t>
        </is>
      </c>
      <c r="R178" s="6" t="inlineStr">
        <is>
          <t>Item</t>
        </is>
      </c>
      <c r="S178" s="6" t="inlineStr"/>
      <c r="T178" s="6" t="inlineStr">
        <is>
          <t>REQ-A1 A8: Industry has tried to solve LLM interpretability for years without a solution. Background claim; low priority.</t>
        </is>
      </c>
      <c r="U178"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78" s="6" t="inlineStr">
        <is>
          <t>Background claim; low priority.</t>
        </is>
      </c>
      <c r="W178" s="6" t="inlineStr"/>
      <c r="X178" s="6" t="inlineStr"/>
      <c r="Y178" s="6" t="inlineStr"/>
      <c r="Z178" s="6" t="inlineStr"/>
      <c r="AA178" s="6" t="inlineStr"/>
      <c r="AB178" s="6" t="inlineStr">
        <is>
          <t>SOURCE</t>
        </is>
      </c>
      <c r="AC178" s="6" t="inlineStr">
        <is>
          <t>n/a (REGISTER E)</t>
        </is>
      </c>
      <c r="AD178" s="6" t="inlineStr">
        <is>
          <t>NEW (repo sweep)</t>
        </is>
      </c>
      <c r="AE178" s="6" t="inlineStr">
        <is>
          <t>2026-10-20</t>
        </is>
      </c>
      <c r="AF178" s="6" t="inlineStr">
        <is>
          <t>this row; ledger README (status DEFERRED)</t>
        </is>
      </c>
      <c r="AG178" s="6" t="inlineStr">
        <is>
          <t>The supervisor or a reviewer asks for evidence on it, or a thesis sentence relies on it</t>
        </is>
      </c>
      <c r="AH178" s="6" t="inlineStr">
        <is>
          <t>No</t>
        </is>
      </c>
      <c r="AI178" s="6" t="inlineStr"/>
      <c r="AJ178" s="6" t="inlineStr">
        <is>
          <t>repo: REGISTER section E / EXT-0004</t>
        </is>
      </c>
      <c r="AK178" s="6" t="inlineStr">
        <is>
          <t>REQ-A1 A8</t>
        </is>
      </c>
      <c r="AL178" s="6" t="inlineStr">
        <is>
          <t>S11</t>
        </is>
      </c>
    </row>
    <row r="179" ht="240.5" customHeight="1">
      <c r="A179" s="5" t="inlineStr">
        <is>
          <t>AS-10</t>
        </is>
      </c>
      <c r="B179" s="6" t="inlineStr">
        <is>
          <t>Supervisor assertion A10: Synonyms get the same embedding; keyword search is 'a layer before' semantic search</t>
        </is>
      </c>
      <c r="C179" s="6" t="inlineStr">
        <is>
          <t>PARTLY ANSWERED</t>
        </is>
      </c>
      <c r="D179" s="6">
        <f>IFERROR(INDEX(Lists!$B$2:$B$14,MATCH(C179,Lists!$A$2:$A$14,0)),"?")</f>
        <v/>
      </c>
      <c r="E179" s="6">
        <f>IF(COUNTIFS(Links!$B$2:$B$600,A179,Links!$E$2:$E$600,"Yes")&gt;0,"REVISE","")</f>
        <v/>
      </c>
      <c r="F179" s="6">
        <f>COUNTIFS(Links!$B$2:$B$600,A179,Links!$D$2:$D$600,"No",Links!$C$2:$C$600,"&lt;&gt;INFORMS")</f>
        <v/>
      </c>
      <c r="G179" s="12" t="inlineStr">
        <is>
          <t>ACCEPT-LIMITATION</t>
        </is>
      </c>
      <c r="H179" s="6" t="inlineStr">
        <is>
          <t>K14 Source &amp; vendor verification</t>
        </is>
      </c>
      <c r="I179" s="6" t="inlineStr">
        <is>
          <t>G5 Housekeeping / no block</t>
        </is>
      </c>
      <c r="J179" s="6" t="inlineStr">
        <is>
          <t>Low</t>
        </is>
      </c>
      <c r="K179" s="6" t="n">
        <v>238</v>
      </c>
      <c r="L179" s="6" t="inlineStr">
        <is>
          <t>W5 Claim-time</t>
        </is>
      </c>
      <c r="M179" s="6" t="inlineStr">
        <is>
          <t>S25</t>
        </is>
      </c>
      <c r="N179" s="6" t="inlineStr">
        <is>
          <t>Lead / team</t>
        </is>
      </c>
      <c r="O179" s="6" t="inlineStr">
        <is>
          <t>low priority; Q-J29 covers the mixed reading</t>
        </is>
      </c>
      <c r="P179" s="6" t="inlineStr">
        <is>
          <t>No</t>
        </is>
      </c>
      <c r="Q179" s="6" t="inlineStr">
        <is>
          <t>Claim to test</t>
        </is>
      </c>
      <c r="R179" s="6" t="inlineStr">
        <is>
          <t>Item</t>
        </is>
      </c>
      <c r="S179" s="6" t="inlineStr"/>
      <c r="T179" s="6" t="inlineStr">
        <is>
          <t>REQ-A1 A10: Synonyms get the same embedding; keyword search is 'a layer before' semantic search. Simplification; low priority.</t>
        </is>
      </c>
      <c r="U179"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79" s="6" t="inlineStr">
        <is>
          <t>Simplification; low priority.</t>
        </is>
      </c>
      <c r="W179" s="6" t="inlineStr"/>
      <c r="X179" s="6" t="inlineStr"/>
      <c r="Y179" s="6" t="inlineStr"/>
      <c r="Z179" s="6" t="inlineStr"/>
      <c r="AA179" s="6" t="inlineStr"/>
      <c r="AB179" s="6" t="inlineStr">
        <is>
          <t>SOURCE</t>
        </is>
      </c>
      <c r="AC179" s="6" t="inlineStr">
        <is>
          <t>n/a (REGISTER E)</t>
        </is>
      </c>
      <c r="AD179" s="6" t="inlineStr">
        <is>
          <t>NEW (repo sweep)</t>
        </is>
      </c>
      <c r="AE179" s="6" t="inlineStr">
        <is>
          <t>2026-10-20</t>
        </is>
      </c>
      <c r="AF179" s="6" t="inlineStr">
        <is>
          <t>FND-0031 (findings/SUM-0033)</t>
        </is>
      </c>
      <c r="AG179" s="6" t="inlineStr"/>
      <c r="AH179" s="6" t="inlineStr">
        <is>
          <t>No</t>
        </is>
      </c>
      <c r="AI179" s="6" t="inlineStr"/>
      <c r="AJ179" s="6" t="inlineStr">
        <is>
          <t>repo: REGISTER section E / EXT-0004</t>
        </is>
      </c>
      <c r="AK179" s="6" t="inlineStr">
        <is>
          <t>REQ-A1 A10</t>
        </is>
      </c>
      <c r="AL179" s="6" t="inlineStr">
        <is>
          <t>S11</t>
        </is>
      </c>
    </row>
    <row r="180" ht="228" customHeight="1">
      <c r="A180" s="5" t="inlineStr">
        <is>
          <t>AS-11</t>
        </is>
      </c>
      <c r="B180" s="6" t="inlineStr">
        <is>
          <t>Supervisor assertion A11: 'Semantic is doing the same thing LLM is doing'</t>
        </is>
      </c>
      <c r="C180" s="6" t="inlineStr">
        <is>
          <t>PARTLY ANSWERED</t>
        </is>
      </c>
      <c r="D180" s="6">
        <f>IFERROR(INDEX(Lists!$B$2:$B$14,MATCH(C180,Lists!$A$2:$A$14,0)),"?")</f>
        <v/>
      </c>
      <c r="E180" s="6">
        <f>IF(COUNTIFS(Links!$B$2:$B$600,A180,Links!$E$2:$E$600,"Yes")&gt;0,"REVISE","")</f>
        <v/>
      </c>
      <c r="F180" s="6">
        <f>COUNTIFS(Links!$B$2:$B$600,A180,Links!$D$2:$D$600,"No",Links!$C$2:$C$600,"&lt;&gt;INFORMS")</f>
        <v/>
      </c>
      <c r="G180" s="12" t="inlineStr">
        <is>
          <t>ACCEPT-LIMITATION</t>
        </is>
      </c>
      <c r="H180" s="6" t="inlineStr">
        <is>
          <t>K14 Source &amp; vendor verification</t>
        </is>
      </c>
      <c r="I180" s="6" t="inlineStr">
        <is>
          <t>G5 Housekeeping / no block</t>
        </is>
      </c>
      <c r="J180" s="6" t="inlineStr">
        <is>
          <t>Low</t>
        </is>
      </c>
      <c r="K180" s="6" t="n">
        <v>239</v>
      </c>
      <c r="L180" s="6" t="inlineStr">
        <is>
          <t>W5 Claim-time</t>
        </is>
      </c>
      <c r="M180" s="6" t="inlineStr">
        <is>
          <t>S25</t>
        </is>
      </c>
      <c r="N180" s="6" t="inlineStr">
        <is>
          <t>Lead / team</t>
        </is>
      </c>
      <c r="O180" s="6" t="inlineStr">
        <is>
          <t>low priority; Q-J29 covers it</t>
        </is>
      </c>
      <c r="P180" s="6" t="inlineStr">
        <is>
          <t>No</t>
        </is>
      </c>
      <c r="Q180" s="6" t="inlineStr">
        <is>
          <t>Claim to test</t>
        </is>
      </c>
      <c r="R180" s="6" t="inlineStr">
        <is>
          <t>Item</t>
        </is>
      </c>
      <c r="S180" s="6" t="inlineStr"/>
      <c r="T180" s="6" t="inlineStr">
        <is>
          <t>REQ-A1 A11: 'Semantic is doing the same thing LLM is doing'. Analogy, not an established claim.</t>
        </is>
      </c>
      <c r="U180"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80" s="6" t="inlineStr">
        <is>
          <t>Analogy, not an established claim.</t>
        </is>
      </c>
      <c r="W180" s="6" t="inlineStr"/>
      <c r="X180" s="6" t="inlineStr"/>
      <c r="Y180" s="6" t="inlineStr">
        <is>
          <t>Q-J29</t>
        </is>
      </c>
      <c r="Z180" s="6" t="inlineStr"/>
      <c r="AA180" s="6" t="inlineStr"/>
      <c r="AB180" s="6" t="inlineStr">
        <is>
          <t>SOURCE</t>
        </is>
      </c>
      <c r="AC180" s="6" t="inlineStr">
        <is>
          <t>n/a (REGISTER E)</t>
        </is>
      </c>
      <c r="AD180" s="6" t="inlineStr">
        <is>
          <t>NEW (repo sweep)</t>
        </is>
      </c>
      <c r="AE180" s="6" t="inlineStr">
        <is>
          <t>2026-10-20</t>
        </is>
      </c>
      <c r="AF180" s="6" t="inlineStr">
        <is>
          <t>FND-0031 (findings/SUM-0033); page images complexmcp p7-p8</t>
        </is>
      </c>
      <c r="AG180" s="6" t="inlineStr"/>
      <c r="AH180" s="6" t="inlineStr">
        <is>
          <t>No</t>
        </is>
      </c>
      <c r="AI180" s="6" t="inlineStr"/>
      <c r="AJ180" s="6" t="inlineStr">
        <is>
          <t>repo: REGISTER section E / EXT-0004</t>
        </is>
      </c>
      <c r="AK180" s="6" t="inlineStr">
        <is>
          <t>REQ-A1 A11</t>
        </is>
      </c>
      <c r="AL180" s="6" t="inlineStr">
        <is>
          <t>S11</t>
        </is>
      </c>
    </row>
    <row r="181" ht="28" customHeight="1">
      <c r="A181" s="5" t="inlineStr">
        <is>
          <t>C-D12</t>
        </is>
      </c>
      <c r="B181" s="6" t="inlineStr">
        <is>
          <t>Whether to commission a further independent replication track.</t>
        </is>
      </c>
      <c r="C181" s="6" t="inlineStr">
        <is>
          <t>OPEN</t>
        </is>
      </c>
      <c r="D181" s="6">
        <f>IFERROR(INDEX(Lists!$B$2:$B$14,MATCH(C181,Lists!$A$2:$A$14,0)),"?")</f>
        <v/>
      </c>
      <c r="E181" s="6">
        <f>IF(COUNTIFS(Links!$B$2:$B$600,A181,Links!$E$2:$E$600,"Yes")&gt;0,"REVISE","")</f>
        <v/>
      </c>
      <c r="F181" s="6">
        <f>COUNTIFS(Links!$B$2:$B$600,A181,Links!$D$2:$D$600,"No",Links!$C$2:$C$600,"&lt;&gt;INFORMS")</f>
        <v/>
      </c>
      <c r="G181" s="9" t="inlineStr">
        <is>
          <t>USER-DECISION</t>
        </is>
      </c>
      <c r="H181" s="6" t="inlineStr">
        <is>
          <t>K16 Limits &amp; provenance</t>
        </is>
      </c>
      <c r="I181" s="6" t="inlineStr">
        <is>
          <t>G5 Housekeeping / no block</t>
        </is>
      </c>
      <c r="J181" s="6" t="inlineStr">
        <is>
          <t>Low</t>
        </is>
      </c>
      <c r="K181" s="6" t="n">
        <v>240</v>
      </c>
      <c r="L181" s="6" t="inlineStr">
        <is>
          <t>W5 Claim-time</t>
        </is>
      </c>
      <c r="M181" s="6" t="inlineStr">
        <is>
          <t>S25</t>
        </is>
      </c>
      <c r="N181" s="6" t="inlineStr">
        <is>
          <t>You</t>
        </is>
      </c>
      <c r="O181" s="6" t="inlineStr">
        <is>
          <t>You decide (Q-U13, Q-U15)</t>
        </is>
      </c>
      <c r="P181" s="6" t="inlineStr">
        <is>
          <t>n/a</t>
        </is>
      </c>
      <c r="Q181" s="6" t="inlineStr">
        <is>
          <t>Decision</t>
        </is>
      </c>
      <c r="R181" s="6" t="inlineStr">
        <is>
          <t>Item</t>
        </is>
      </c>
      <c r="S181" s="6" t="inlineStr"/>
      <c r="T181" s="6" t="inlineStr">
        <is>
          <t>Whether to commission a further independent replication track.</t>
        </is>
      </c>
      <c r="U181" s="6" t="inlineStr">
        <is>
          <t>Phase 1/2/2b exist outside the repo; this is a separate decision.</t>
        </is>
      </c>
      <c r="V181" s="6" t="inlineStr">
        <is>
          <t>Decide after checking existing Project A evidence.</t>
        </is>
      </c>
      <c r="W181" s="6" t="inlineStr"/>
      <c r="X181" s="6" t="inlineStr"/>
      <c r="Y181" s="6" t="inlineStr">
        <is>
          <t>Q-U13, Q-U15</t>
        </is>
      </c>
      <c r="Z181" s="6" t="inlineStr"/>
      <c r="AA181" s="6" t="inlineStr"/>
      <c r="AB181" s="6" t="inlineStr">
        <is>
          <t>DEC</t>
        </is>
      </c>
      <c r="AC181" s="6" t="inlineStr">
        <is>
          <t>OPEN</t>
        </is>
      </c>
      <c r="AD181" s="6" t="inlineStr">
        <is>
          <t>UNCHANGED</t>
        </is>
      </c>
      <c r="AE181" s="6" t="inlineStr">
        <is>
          <t>2026-10-19</t>
        </is>
      </c>
      <c r="AF181" s="6" t="inlineStr">
        <is>
          <t>STATE; AUTH-007..009</t>
        </is>
      </c>
      <c r="AG181" s="6" t="inlineStr">
        <is>
          <t>After existing Project A evidence is checked</t>
        </is>
      </c>
      <c r="AH181" s="6" t="inlineStr">
        <is>
          <t>No</t>
        </is>
      </c>
      <c r="AI181" s="6" t="inlineStr"/>
      <c r="AJ181" s="6" t="inlineStr">
        <is>
          <t>SRC-11 canonical</t>
        </is>
      </c>
      <c r="AK181" s="6" t="inlineStr">
        <is>
          <t>SRC-06 D15</t>
        </is>
      </c>
      <c r="AL181" s="6" t="inlineStr">
        <is>
          <t>S25</t>
        </is>
      </c>
    </row>
    <row r="182" ht="28" customHeight="1">
      <c r="A182" s="5" t="inlineStr">
        <is>
          <t>C-D14</t>
        </is>
      </c>
      <c r="B182" s="6" t="inlineStr">
        <is>
          <t>Optional dated near-miss-source note: add or decline.</t>
        </is>
      </c>
      <c r="C182" s="6" t="inlineStr">
        <is>
          <t>OPEN</t>
        </is>
      </c>
      <c r="D182" s="6">
        <f>IFERROR(INDEX(Lists!$B$2:$B$14,MATCH(C182,Lists!$A$2:$A$14,0)),"?")</f>
        <v/>
      </c>
      <c r="E182" s="6">
        <f>IF(COUNTIFS(Links!$B$2:$B$600,A182,Links!$E$2:$E$600,"Yes")&gt;0,"REVISE","")</f>
        <v/>
      </c>
      <c r="F182" s="6">
        <f>COUNTIFS(Links!$B$2:$B$600,A182,Links!$D$2:$D$600,"No",Links!$C$2:$C$600,"&lt;&gt;INFORMS")</f>
        <v/>
      </c>
      <c r="G182" s="9" t="inlineStr">
        <is>
          <t>USER-DECISION</t>
        </is>
      </c>
      <c r="H182" s="6" t="inlineStr">
        <is>
          <t>K16 Limits &amp; provenance</t>
        </is>
      </c>
      <c r="I182" s="6" t="inlineStr">
        <is>
          <t>G5 Housekeeping / no block</t>
        </is>
      </c>
      <c r="J182" s="6" t="inlineStr">
        <is>
          <t>Low</t>
        </is>
      </c>
      <c r="K182" s="6" t="n">
        <v>241</v>
      </c>
      <c r="L182" s="6" t="inlineStr">
        <is>
          <t>W5 Claim-time</t>
        </is>
      </c>
      <c r="M182" s="6" t="inlineStr">
        <is>
          <t>S25</t>
        </is>
      </c>
      <c r="N182" s="6" t="inlineStr">
        <is>
          <t>You</t>
        </is>
      </c>
      <c r="O182" s="6" t="inlineStr">
        <is>
          <t>You decide (Q-U16)</t>
        </is>
      </c>
      <c r="P182" s="6" t="inlineStr">
        <is>
          <t>n/a</t>
        </is>
      </c>
      <c r="Q182" s="6" t="inlineStr">
        <is>
          <t>Decision</t>
        </is>
      </c>
      <c r="R182" s="6" t="inlineStr">
        <is>
          <t>Item</t>
        </is>
      </c>
      <c r="S182" s="6" t="inlineStr"/>
      <c r="T182" s="6" t="inlineStr">
        <is>
          <t>Optional dated near-miss-source note: add or decline.</t>
        </is>
      </c>
      <c r="U182" s="6" t="inlineStr">
        <is>
          <t>No decision found.</t>
        </is>
      </c>
      <c r="V182" s="6" t="inlineStr">
        <is>
          <t>Added or explicitly declined.</t>
        </is>
      </c>
      <c r="W182" s="6" t="inlineStr"/>
      <c r="X182" s="6" t="inlineStr"/>
      <c r="Y182" s="6" t="inlineStr">
        <is>
          <t>Q-U16</t>
        </is>
      </c>
      <c r="Z182" s="6" t="inlineStr"/>
      <c r="AA182" s="6" t="inlineStr"/>
      <c r="AB182" s="6" t="inlineStr">
        <is>
          <t>DEC+RECORD</t>
        </is>
      </c>
      <c r="AC182" s="6" t="inlineStr">
        <is>
          <t>OPEN</t>
        </is>
      </c>
      <c r="AD182" s="6" t="inlineStr">
        <is>
          <t>UNCHANGED</t>
        </is>
      </c>
      <c r="AE182" s="6" t="inlineStr">
        <is>
          <t>2026-10-19</t>
        </is>
      </c>
      <c r="AF182" s="6" t="inlineStr">
        <is>
          <t>not found</t>
        </is>
      </c>
      <c r="AG182" s="6" t="inlineStr">
        <is>
          <t>Before the final literature audit</t>
        </is>
      </c>
      <c r="AH182" s="6" t="inlineStr">
        <is>
          <t>No</t>
        </is>
      </c>
      <c r="AI182" s="6" t="inlineStr"/>
      <c r="AJ182" s="6" t="inlineStr">
        <is>
          <t>SRC-11 canonical</t>
        </is>
      </c>
      <c r="AK182" s="6" t="inlineStr">
        <is>
          <t>SRC-06 D17</t>
        </is>
      </c>
      <c r="AL182" s="6" t="inlineStr">
        <is>
          <t>S25</t>
        </is>
      </c>
    </row>
    <row r="183" ht="40.5" customHeight="1">
      <c r="A183" s="5" t="inlineStr">
        <is>
          <t>C-P01</t>
        </is>
      </c>
      <c r="B183" s="6" t="inlineStr">
        <is>
          <t>Aborted launch attempts are provenance, not findings; two copied thesis workspaces remain in the parent tree.</t>
        </is>
      </c>
      <c r="C183" s="6" t="inlineStr">
        <is>
          <t>OPEN</t>
        </is>
      </c>
      <c r="D183" s="6">
        <f>IFERROR(INDEX(Lists!$B$2:$B$14,MATCH(C183,Lists!$A$2:$A$14,0)),"?")</f>
        <v/>
      </c>
      <c r="E183" s="6">
        <f>IF(COUNTIFS(Links!$B$2:$B$600,A183,Links!$E$2:$E$600,"Yes")&gt;0,"REVISE","")</f>
        <v/>
      </c>
      <c r="F183" s="6">
        <f>COUNTIFS(Links!$B$2:$B$600,A183,Links!$D$2:$D$600,"No",Links!$C$2:$C$600,"&lt;&gt;INFORMS")</f>
        <v/>
      </c>
      <c r="G183" s="9" t="inlineStr">
        <is>
          <t>USER-DECISION</t>
        </is>
      </c>
      <c r="H183" s="6" t="inlineStr">
        <is>
          <t>K16 Limits &amp; provenance</t>
        </is>
      </c>
      <c r="I183" s="6" t="inlineStr">
        <is>
          <t>G5 Housekeeping / no block</t>
        </is>
      </c>
      <c r="J183" s="6" t="inlineStr">
        <is>
          <t>Low</t>
        </is>
      </c>
      <c r="K183" s="6" t="n">
        <v>243</v>
      </c>
      <c r="L183" s="6" t="inlineStr">
        <is>
          <t>W5 Claim-time</t>
        </is>
      </c>
      <c r="M183" s="6" t="inlineStr">
        <is>
          <t>S25</t>
        </is>
      </c>
      <c r="N183" s="6" t="inlineStr">
        <is>
          <t>You</t>
        </is>
      </c>
      <c r="O183" s="6" t="inlineStr">
        <is>
          <t>You decide (Q-U17)</t>
        </is>
      </c>
      <c r="P183" s="6" t="inlineStr">
        <is>
          <t>No</t>
        </is>
      </c>
      <c r="Q183" s="6" t="inlineStr">
        <is>
          <t>Decision</t>
        </is>
      </c>
      <c r="R183" s="6" t="inlineStr">
        <is>
          <t>Item</t>
        </is>
      </c>
      <c r="S183" s="6" t="inlineStr"/>
      <c r="T183" s="6" t="inlineStr">
        <is>
          <t>Aborted launch attempts are provenance, not findings; two copied thesis workspaces remain in the parent tree.</t>
        </is>
      </c>
      <c r="U183" s="6" t="inlineStr">
        <is>
          <t>Outside the repo.</t>
        </is>
      </c>
      <c r="V183" s="6" t="inlineStr">
        <is>
          <t>Keep/move/remove decided; provenance preserved.</t>
        </is>
      </c>
      <c r="W183" s="6" t="inlineStr"/>
      <c r="X183" s="6" t="inlineStr"/>
      <c r="Y183" s="6" t="inlineStr">
        <is>
          <t>Q-U17</t>
        </is>
      </c>
      <c r="Z183" s="6" t="inlineStr">
        <is>
          <t>ACCEPT-LIMITATION</t>
        </is>
      </c>
      <c r="AA183" s="6" t="inlineStr"/>
      <c r="AB183" s="6" t="inlineStr">
        <is>
          <t>RECORD+DEC</t>
        </is>
      </c>
      <c r="AC183" s="6" t="inlineStr">
        <is>
          <t>BOUNDARY - OPEN</t>
        </is>
      </c>
      <c r="AD183" s="6" t="inlineStr">
        <is>
          <t>UNCHANGED</t>
        </is>
      </c>
      <c r="AE183" s="6" t="inlineStr">
        <is>
          <t>2026-10-19</t>
        </is>
      </c>
      <c r="AF183" s="6" t="inlineStr">
        <is>
          <t>SRC-11 C-P01</t>
        </is>
      </c>
      <c r="AG183" s="6" t="inlineStr"/>
      <c r="AH183" s="6" t="inlineStr">
        <is>
          <t>No</t>
        </is>
      </c>
      <c r="AI183" s="6" t="inlineStr"/>
      <c r="AJ183" s="6" t="inlineStr">
        <is>
          <t>SRC-11 canonical</t>
        </is>
      </c>
      <c r="AK183" s="6" t="inlineStr">
        <is>
          <t>SRC-06 P01-P02</t>
        </is>
      </c>
      <c r="AL183" s="6" t="inlineStr">
        <is>
          <t>S25</t>
        </is>
      </c>
    </row>
    <row r="184" ht="28" customHeight="1">
      <c r="A184" s="5" t="inlineStr">
        <is>
          <t>C-P01/P01</t>
        </is>
      </c>
      <c r="B184" s="6" t="inlineStr">
        <is>
          <t>Four aborted/unfinished launch attempts</t>
        </is>
      </c>
      <c r="C184" s="6" t="inlineStr">
        <is>
          <t>OPEN</t>
        </is>
      </c>
      <c r="D184" s="6">
        <f>IFERROR(INDEX(Lists!$B$2:$B$14,MATCH(C184,Lists!$A$2:$A$14,0)),"?")</f>
        <v/>
      </c>
      <c r="E184" s="6">
        <f>IF(COUNTIFS(Links!$B$2:$B$600,A184,Links!$E$2:$E$600,"Yes")&gt;0,"REVISE","")</f>
        <v/>
      </c>
      <c r="F184" s="6">
        <f>COUNTIFS(Links!$B$2:$B$600,A184,Links!$D$2:$D$600,"No",Links!$C$2:$C$600,"&lt;&gt;INFORMS")</f>
        <v/>
      </c>
      <c r="G184" s="9" t="inlineStr">
        <is>
          <t>USER-DECISION</t>
        </is>
      </c>
      <c r="H184" s="6" t="inlineStr">
        <is>
          <t>K16 Limits &amp; provenance</t>
        </is>
      </c>
      <c r="I184" s="6" t="inlineStr">
        <is>
          <t>G5 Housekeeping / no block</t>
        </is>
      </c>
      <c r="J184" s="6" t="inlineStr">
        <is>
          <t>Low</t>
        </is>
      </c>
      <c r="K184" s="6" t="n">
        <v>244</v>
      </c>
      <c r="L184" s="6" t="inlineStr">
        <is>
          <t>W5 Claim-time</t>
        </is>
      </c>
      <c r="M184" s="6" t="inlineStr">
        <is>
          <t>S25</t>
        </is>
      </c>
      <c r="N184" s="6" t="inlineStr">
        <is>
          <t>You</t>
        </is>
      </c>
      <c r="O184" s="6" t="inlineStr">
        <is>
          <t>You decide (Q-U17)</t>
        </is>
      </c>
      <c r="P184" s="6" t="inlineStr">
        <is>
          <t>No</t>
        </is>
      </c>
      <c r="Q184" s="6" t="inlineStr">
        <is>
          <t>Record fix</t>
        </is>
      </c>
      <c r="R184" s="6" t="inlineStr">
        <is>
          <t>Sub-item</t>
        </is>
      </c>
      <c r="S184" s="6" t="inlineStr">
        <is>
          <t>C-P01</t>
        </is>
      </c>
      <c r="T184" s="6" t="inlineStr">
        <is>
          <t>SRC-06 P01: four aborted or unfinished launch attempts are provenance, not independent findings.</t>
        </is>
      </c>
      <c r="U184" s="6" t="inlineStr">
        <is>
          <t>Outside the repo.</t>
        </is>
      </c>
      <c r="V184" s="6" t="inlineStr">
        <is>
          <t>Repaired or disclosed.</t>
        </is>
      </c>
      <c r="W184" s="6" t="inlineStr"/>
      <c r="X184" s="6" t="inlineStr"/>
      <c r="Y184" s="6" t="inlineStr">
        <is>
          <t>Q-U17</t>
        </is>
      </c>
      <c r="Z184" s="6" t="inlineStr"/>
      <c r="AA184" s="6" t="inlineStr"/>
      <c r="AB184" s="6" t="inlineStr">
        <is>
          <t>RECORD+DEC</t>
        </is>
      </c>
      <c r="AC184" s="6" t="inlineStr">
        <is>
          <t>n/a (sub-item)</t>
        </is>
      </c>
      <c r="AD184" s="6" t="inlineStr">
        <is>
          <t>NEW (SRC-11 sub-row)</t>
        </is>
      </c>
      <c r="AE184" s="6" t="inlineStr">
        <is>
          <t>2026-10-19</t>
        </is>
      </c>
      <c r="AF184" s="6" t="inlineStr">
        <is>
          <t>Outside repo (SRC-11 D5)</t>
        </is>
      </c>
      <c r="AG184" s="6" t="inlineStr"/>
      <c r="AH184" s="6" t="inlineStr">
        <is>
          <t>No</t>
        </is>
      </c>
      <c r="AI184" s="6" t="inlineStr"/>
      <c r="AJ184" s="6" t="inlineStr">
        <is>
          <t>SRC-11 section D5</t>
        </is>
      </c>
      <c r="AK184" s="6" t="inlineStr">
        <is>
          <t>SRC-06 P01</t>
        </is>
      </c>
      <c r="AL184" s="6" t="inlineStr">
        <is>
          <t>S25</t>
        </is>
      </c>
    </row>
    <row r="185" ht="28" customHeight="1">
      <c r="A185" s="5" t="inlineStr">
        <is>
          <t>C-P01/P02</t>
        </is>
      </c>
      <c r="B185" s="6" t="inlineStr">
        <is>
          <t>Two copied thesis workspaces remain in the parent tree</t>
        </is>
      </c>
      <c r="C185" s="6" t="inlineStr">
        <is>
          <t>OPEN</t>
        </is>
      </c>
      <c r="D185" s="6">
        <f>IFERROR(INDEX(Lists!$B$2:$B$14,MATCH(C185,Lists!$A$2:$A$14,0)),"?")</f>
        <v/>
      </c>
      <c r="E185" s="6">
        <f>IF(COUNTIFS(Links!$B$2:$B$600,A185,Links!$E$2:$E$600,"Yes")&gt;0,"REVISE","")</f>
        <v/>
      </c>
      <c r="F185" s="6">
        <f>COUNTIFS(Links!$B$2:$B$600,A185,Links!$D$2:$D$600,"No",Links!$C$2:$C$600,"&lt;&gt;INFORMS")</f>
        <v/>
      </c>
      <c r="G185" s="9" t="inlineStr">
        <is>
          <t>USER-DECISION</t>
        </is>
      </c>
      <c r="H185" s="6" t="inlineStr">
        <is>
          <t>K16 Limits &amp; provenance</t>
        </is>
      </c>
      <c r="I185" s="6" t="inlineStr">
        <is>
          <t>G5 Housekeeping / no block</t>
        </is>
      </c>
      <c r="J185" s="6" t="inlineStr">
        <is>
          <t>Low</t>
        </is>
      </c>
      <c r="K185" s="6" t="n">
        <v>245</v>
      </c>
      <c r="L185" s="6" t="inlineStr">
        <is>
          <t>W5 Claim-time</t>
        </is>
      </c>
      <c r="M185" s="6" t="inlineStr">
        <is>
          <t>S25</t>
        </is>
      </c>
      <c r="N185" s="6" t="inlineStr">
        <is>
          <t>You</t>
        </is>
      </c>
      <c r="O185" s="6" t="inlineStr">
        <is>
          <t>You decide (Q-U17)</t>
        </is>
      </c>
      <c r="P185" s="6" t="inlineStr">
        <is>
          <t>No</t>
        </is>
      </c>
      <c r="Q185" s="6" t="inlineStr">
        <is>
          <t>Record fix</t>
        </is>
      </c>
      <c r="R185" s="6" t="inlineStr">
        <is>
          <t>Sub-item</t>
        </is>
      </c>
      <c r="S185" s="6" t="inlineStr">
        <is>
          <t>C-P01</t>
        </is>
      </c>
      <c r="T185" s="6" t="inlineStr">
        <is>
          <t>SRC-06 P02: two copied thesis workspaces remain in the parent tree; moving them cannot retroactively create independence.</t>
        </is>
      </c>
      <c r="U185" s="6" t="inlineStr">
        <is>
          <t>Outside the repo.</t>
        </is>
      </c>
      <c r="V185" s="6" t="inlineStr">
        <is>
          <t>Repaired or disclosed.</t>
        </is>
      </c>
      <c r="W185" s="6" t="inlineStr"/>
      <c r="X185" s="6" t="inlineStr"/>
      <c r="Y185" s="6" t="inlineStr">
        <is>
          <t>Q-U17</t>
        </is>
      </c>
      <c r="Z185" s="6" t="inlineStr"/>
      <c r="AA185" s="6" t="inlineStr"/>
      <c r="AB185" s="6" t="inlineStr">
        <is>
          <t>RECORD+DEC</t>
        </is>
      </c>
      <c r="AC185" s="6" t="inlineStr">
        <is>
          <t>n/a (sub-item)</t>
        </is>
      </c>
      <c r="AD185" s="6" t="inlineStr">
        <is>
          <t>NEW (SRC-11 sub-row)</t>
        </is>
      </c>
      <c r="AE185" s="6" t="inlineStr">
        <is>
          <t>2026-10-19</t>
        </is>
      </c>
      <c r="AF185" s="6" t="inlineStr">
        <is>
          <t>Outside repo (SRC-11 D5)</t>
        </is>
      </c>
      <c r="AG185" s="6" t="inlineStr"/>
      <c r="AH185" s="6" t="inlineStr">
        <is>
          <t>No</t>
        </is>
      </c>
      <c r="AI185" s="6" t="inlineStr"/>
      <c r="AJ185" s="6" t="inlineStr">
        <is>
          <t>SRC-11 section D5</t>
        </is>
      </c>
      <c r="AK185" s="6" t="inlineStr">
        <is>
          <t>SRC-06 P02</t>
        </is>
      </c>
      <c r="AL185" s="6" t="inlineStr">
        <is>
          <t>S25</t>
        </is>
      </c>
    </row>
    <row r="186" ht="140.5" customHeight="1">
      <c r="A186" s="5" t="inlineStr">
        <is>
          <t>C-P02</t>
        </is>
      </c>
      <c r="B186" s="6" t="inlineStr">
        <is>
          <t>Hash gaps, wrong boilerplate, same-model/operator/source risk, asymmetric coverage in the independent track.</t>
        </is>
      </c>
      <c r="C186" s="6" t="inlineStr">
        <is>
          <t>PARTLY ANSWERED</t>
        </is>
      </c>
      <c r="D186" s="6">
        <f>IFERROR(INDEX(Lists!$B$2:$B$14,MATCH(C186,Lists!$A$2:$A$14,0)),"?")</f>
        <v/>
      </c>
      <c r="E186" s="6">
        <f>IF(COUNTIFS(Links!$B$2:$B$600,A186,Links!$E$2:$E$600,"Yes")&gt;0,"REVISE","")</f>
        <v/>
      </c>
      <c r="F186" s="6">
        <f>COUNTIFS(Links!$B$2:$B$600,A186,Links!$D$2:$D$600,"No",Links!$C$2:$C$600,"&lt;&gt;INFORMS")</f>
        <v/>
      </c>
      <c r="G186" s="8" t="inlineStr">
        <is>
          <t>RECORDS-AT-HAND</t>
        </is>
      </c>
      <c r="H186" s="6" t="inlineStr">
        <is>
          <t>K16 Limits &amp; provenance</t>
        </is>
      </c>
      <c r="I186" s="6" t="inlineStr">
        <is>
          <t>G5 Housekeeping / no block</t>
        </is>
      </c>
      <c r="J186" s="6" t="inlineStr">
        <is>
          <t>Low</t>
        </is>
      </c>
      <c r="K186" s="6" t="n">
        <v>246</v>
      </c>
      <c r="L186" s="6" t="inlineStr">
        <is>
          <t>W5 Claim-time</t>
        </is>
      </c>
      <c r="M186" s="6" t="inlineStr">
        <is>
          <t>S25</t>
        </is>
      </c>
      <c r="N186" s="6" t="inlineStr">
        <is>
          <t>You</t>
        </is>
      </c>
      <c r="O186" s="6" t="inlineStr">
        <is>
          <t>Repairs P03, P04, P06, P10 need the human (files outside the repo)</t>
        </is>
      </c>
      <c r="P186" s="6" t="inlineStr">
        <is>
          <t>No</t>
        </is>
      </c>
      <c r="Q186" s="6" t="inlineStr">
        <is>
          <t>Record fix</t>
        </is>
      </c>
      <c r="R186" s="6" t="inlineStr">
        <is>
          <t>Item</t>
        </is>
      </c>
      <c r="S186" s="6" t="inlineStr"/>
      <c r="T186" s="6" t="inlineStr">
        <is>
          <t>Hash gaps, wrong boilerplate, same-model/operator/source risk, asymmetric coverage in the independent track.</t>
        </is>
      </c>
      <c r="U186"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86" s="6" t="inlineStr">
        <is>
          <t>Repairs made where cheap; independence claims qualified.</t>
        </is>
      </c>
      <c r="W186" s="6" t="inlineStr"/>
      <c r="X186" s="6" t="inlineStr"/>
      <c r="Y186" s="6" t="inlineStr">
        <is>
          <t>Q-U20</t>
        </is>
      </c>
      <c r="Z186" s="6" t="inlineStr">
        <is>
          <t>ACCEPT-LIMITATION</t>
        </is>
      </c>
      <c r="AA186" s="6" t="inlineStr"/>
      <c r="AB186" s="6" t="inlineStr">
        <is>
          <t>RECORD+BOUND</t>
        </is>
      </c>
      <c r="AC186" s="6" t="inlineStr">
        <is>
          <t>BOUNDARY - OPEN</t>
        </is>
      </c>
      <c r="AD186" s="6" t="inlineStr">
        <is>
          <t>UNCHANGED</t>
        </is>
      </c>
      <c r="AE186" s="6" t="inlineStr">
        <is>
          <t>2026-10-20</t>
        </is>
      </c>
      <c r="AF186" s="6" t="inlineStr">
        <is>
          <t>Questions Q-U20; chat message of 2026-10-20</t>
        </is>
      </c>
      <c r="AG186" s="6" t="inlineStr"/>
      <c r="AH186" s="6" t="inlineStr">
        <is>
          <t>No</t>
        </is>
      </c>
      <c r="AI186" s="6" t="inlineStr"/>
      <c r="AJ186" s="6" t="inlineStr">
        <is>
          <t>SRC-11 canonical</t>
        </is>
      </c>
      <c r="AK186" s="6" t="inlineStr">
        <is>
          <t>SRC-06 P03-P10</t>
        </is>
      </c>
      <c r="AL186" s="6" t="inlineStr">
        <is>
          <t>S25</t>
        </is>
      </c>
    </row>
    <row r="187" ht="28" customHeight="1">
      <c r="A187" s="5" t="inlineStr">
        <is>
          <t>C-P02/P03</t>
        </is>
      </c>
      <c r="B187" s="6" t="inlineStr">
        <is>
          <t>Incomplete externally held hashes</t>
        </is>
      </c>
      <c r="C187" s="6" t="inlineStr">
        <is>
          <t>OPEN</t>
        </is>
      </c>
      <c r="D187" s="6">
        <f>IFERROR(INDEX(Lists!$B$2:$B$14,MATCH(C187,Lists!$A$2:$A$14,0)),"?")</f>
        <v/>
      </c>
      <c r="E187" s="6">
        <f>IF(COUNTIFS(Links!$B$2:$B$600,A187,Links!$E$2:$E$600,"Yes")&gt;0,"REVISE","")</f>
        <v/>
      </c>
      <c r="F187" s="6">
        <f>COUNTIFS(Links!$B$2:$B$600,A187,Links!$D$2:$D$600,"No",Links!$C$2:$C$600,"&lt;&gt;INFORMS")</f>
        <v/>
      </c>
      <c r="G187" s="8" t="inlineStr">
        <is>
          <t>RECORDS-AT-HAND</t>
        </is>
      </c>
      <c r="H187" s="6" t="inlineStr">
        <is>
          <t>K16 Limits &amp; provenance</t>
        </is>
      </c>
      <c r="I187" s="6" t="inlineStr">
        <is>
          <t>G5 Housekeeping / no block</t>
        </is>
      </c>
      <c r="J187" s="6" t="inlineStr">
        <is>
          <t>Low</t>
        </is>
      </c>
      <c r="K187" s="6" t="n">
        <v>247</v>
      </c>
      <c r="L187" s="6" t="inlineStr">
        <is>
          <t>W5 Claim-time</t>
        </is>
      </c>
      <c r="M187" s="6" t="inlineStr">
        <is>
          <t>S25</t>
        </is>
      </c>
      <c r="N187" s="6" t="inlineStr">
        <is>
          <t>You</t>
        </is>
      </c>
      <c r="O187" s="6" t="inlineStr">
        <is>
          <t>Lead drafts the fix; you approve</t>
        </is>
      </c>
      <c r="P187" s="6" t="inlineStr">
        <is>
          <t>No</t>
        </is>
      </c>
      <c r="Q187" s="6" t="inlineStr">
        <is>
          <t>Record fix</t>
        </is>
      </c>
      <c r="R187" s="6" t="inlineStr">
        <is>
          <t>Sub-item</t>
        </is>
      </c>
      <c r="S187" s="6" t="inlineStr">
        <is>
          <t>C-P02</t>
        </is>
      </c>
      <c r="T187" s="6" t="inlineStr">
        <is>
          <t>SRC-06 P03: externally held hashes are incomplete.</t>
        </is>
      </c>
      <c r="U187" s="6" t="inlineStr">
        <is>
          <t>Outside the repo.</t>
        </is>
      </c>
      <c r="V187" s="6" t="inlineStr">
        <is>
          <t>Repaired or disclosed.</t>
        </is>
      </c>
      <c r="W187" s="6" t="inlineStr"/>
      <c r="X187" s="6" t="inlineStr"/>
      <c r="Y187" s="6" t="inlineStr"/>
      <c r="Z187" s="6" t="inlineStr"/>
      <c r="AA187" s="6" t="inlineStr"/>
      <c r="AB187" s="6" t="inlineStr">
        <is>
          <t>RECORD</t>
        </is>
      </c>
      <c r="AC187" s="6" t="inlineStr">
        <is>
          <t>n/a (sub-item)</t>
        </is>
      </c>
      <c r="AD187" s="6" t="inlineStr">
        <is>
          <t>NEW (SRC-11 sub-row)</t>
        </is>
      </c>
      <c r="AE187" s="6" t="inlineStr">
        <is>
          <t>2026-10-19</t>
        </is>
      </c>
      <c r="AF187" s="6" t="inlineStr">
        <is>
          <t>Outside repo (SRC-11 D5)</t>
        </is>
      </c>
      <c r="AG187" s="6" t="inlineStr"/>
      <c r="AH187" s="6" t="inlineStr">
        <is>
          <t>No</t>
        </is>
      </c>
      <c r="AI187" s="6" t="inlineStr"/>
      <c r="AJ187" s="6" t="inlineStr">
        <is>
          <t>SRC-11 section D5</t>
        </is>
      </c>
      <c r="AK187" s="6" t="inlineStr">
        <is>
          <t>SRC-06 P03</t>
        </is>
      </c>
      <c r="AL187" s="6" t="inlineStr">
        <is>
          <t>S25</t>
        </is>
      </c>
    </row>
    <row r="188" ht="28" customHeight="1">
      <c r="A188" s="5" t="inlineStr">
        <is>
          <t>C-P02/P04</t>
        </is>
      </c>
      <c r="B188" s="6" t="inlineStr">
        <is>
          <t>Wrong freeze boilerplate; missing authorizations in inspected files</t>
        </is>
      </c>
      <c r="C188" s="6" t="inlineStr">
        <is>
          <t>OPEN</t>
        </is>
      </c>
      <c r="D188" s="6">
        <f>IFERROR(INDEX(Lists!$B$2:$B$14,MATCH(C188,Lists!$A$2:$A$14,0)),"?")</f>
        <v/>
      </c>
      <c r="E188" s="6">
        <f>IF(COUNTIFS(Links!$B$2:$B$600,A188,Links!$E$2:$E$600,"Yes")&gt;0,"REVISE","")</f>
        <v/>
      </c>
      <c r="F188" s="6">
        <f>COUNTIFS(Links!$B$2:$B$600,A188,Links!$D$2:$D$600,"No",Links!$C$2:$C$600,"&lt;&gt;INFORMS")</f>
        <v/>
      </c>
      <c r="G188" s="8" t="inlineStr">
        <is>
          <t>RECORDS-AT-HAND</t>
        </is>
      </c>
      <c r="H188" s="6" t="inlineStr">
        <is>
          <t>K16 Limits &amp; provenance</t>
        </is>
      </c>
      <c r="I188" s="6" t="inlineStr">
        <is>
          <t>G5 Housekeeping / no block</t>
        </is>
      </c>
      <c r="J188" s="6" t="inlineStr">
        <is>
          <t>Low</t>
        </is>
      </c>
      <c r="K188" s="6" t="n">
        <v>248</v>
      </c>
      <c r="L188" s="6" t="inlineStr">
        <is>
          <t>W5 Claim-time</t>
        </is>
      </c>
      <c r="M188" s="6" t="inlineStr">
        <is>
          <t>S25</t>
        </is>
      </c>
      <c r="N188" s="6" t="inlineStr">
        <is>
          <t>You</t>
        </is>
      </c>
      <c r="O188" s="6" t="inlineStr">
        <is>
          <t>Lead drafts the fix; you approve</t>
        </is>
      </c>
      <c r="P188" s="6" t="inlineStr">
        <is>
          <t>No</t>
        </is>
      </c>
      <c r="Q188" s="6" t="inlineStr">
        <is>
          <t>Record fix</t>
        </is>
      </c>
      <c r="R188" s="6" t="inlineStr">
        <is>
          <t>Sub-item</t>
        </is>
      </c>
      <c r="S188" s="6" t="inlineStr">
        <is>
          <t>C-P02</t>
        </is>
      </c>
      <c r="T188" s="6" t="inlineStr">
        <is>
          <t>SRC-06 P04: wrong freeze boilerplate and missing authorizations in inspected files.</t>
        </is>
      </c>
      <c r="U188" s="6" t="inlineStr">
        <is>
          <t>Outside the repo.</t>
        </is>
      </c>
      <c r="V188" s="6" t="inlineStr">
        <is>
          <t>Repaired or disclosed.</t>
        </is>
      </c>
      <c r="W188" s="6" t="inlineStr"/>
      <c r="X188" s="6" t="inlineStr"/>
      <c r="Y188" s="6" t="inlineStr"/>
      <c r="Z188" s="6" t="inlineStr"/>
      <c r="AA188" s="6" t="inlineStr"/>
      <c r="AB188" s="6" t="inlineStr">
        <is>
          <t>RECORD</t>
        </is>
      </c>
      <c r="AC188" s="6" t="inlineStr">
        <is>
          <t>n/a (sub-item)</t>
        </is>
      </c>
      <c r="AD188" s="6" t="inlineStr">
        <is>
          <t>NEW (SRC-11 sub-row)</t>
        </is>
      </c>
      <c r="AE188" s="6" t="inlineStr">
        <is>
          <t>2026-10-19</t>
        </is>
      </c>
      <c r="AF188" s="6" t="inlineStr">
        <is>
          <t>Outside repo (SRC-11 D5)</t>
        </is>
      </c>
      <c r="AG188" s="6" t="inlineStr"/>
      <c r="AH188" s="6" t="inlineStr">
        <is>
          <t>No</t>
        </is>
      </c>
      <c r="AI188" s="6" t="inlineStr"/>
      <c r="AJ188" s="6" t="inlineStr">
        <is>
          <t>SRC-11 section D5</t>
        </is>
      </c>
      <c r="AK188" s="6" t="inlineStr">
        <is>
          <t>SRC-06 P04</t>
        </is>
      </c>
      <c r="AL188" s="6" t="inlineStr">
        <is>
          <t>S25</t>
        </is>
      </c>
    </row>
    <row r="189" ht="28" customHeight="1">
      <c r="A189" s="5" t="inlineStr">
        <is>
          <t>C-P02/P06</t>
        </is>
      </c>
      <c r="B189" s="6" t="inlineStr">
        <is>
          <t>Two out-of-folder reads lacking a human check</t>
        </is>
      </c>
      <c r="C189" s="6" t="inlineStr">
        <is>
          <t>OPEN</t>
        </is>
      </c>
      <c r="D189" s="6">
        <f>IFERROR(INDEX(Lists!$B$2:$B$14,MATCH(C189,Lists!$A$2:$A$14,0)),"?")</f>
        <v/>
      </c>
      <c r="E189" s="6">
        <f>IF(COUNTIFS(Links!$B$2:$B$600,A189,Links!$E$2:$E$600,"Yes")&gt;0,"REVISE","")</f>
        <v/>
      </c>
      <c r="F189" s="6">
        <f>COUNTIFS(Links!$B$2:$B$600,A189,Links!$D$2:$D$600,"No",Links!$C$2:$C$600,"&lt;&gt;INFORMS")</f>
        <v/>
      </c>
      <c r="G189" s="8" t="inlineStr">
        <is>
          <t>RECORDS-AT-HAND</t>
        </is>
      </c>
      <c r="H189" s="6" t="inlineStr">
        <is>
          <t>K16 Limits &amp; provenance</t>
        </is>
      </c>
      <c r="I189" s="6" t="inlineStr">
        <is>
          <t>G5 Housekeeping / no block</t>
        </is>
      </c>
      <c r="J189" s="6" t="inlineStr">
        <is>
          <t>Low</t>
        </is>
      </c>
      <c r="K189" s="6" t="n">
        <v>250</v>
      </c>
      <c r="L189" s="6" t="inlineStr">
        <is>
          <t>W5 Claim-time</t>
        </is>
      </c>
      <c r="M189" s="6" t="inlineStr">
        <is>
          <t>S25</t>
        </is>
      </c>
      <c r="N189" s="6" t="inlineStr">
        <is>
          <t>You</t>
        </is>
      </c>
      <c r="O189" s="6" t="inlineStr">
        <is>
          <t>Lead drafts the fix; you approve</t>
        </is>
      </c>
      <c r="P189" s="6" t="inlineStr">
        <is>
          <t>No</t>
        </is>
      </c>
      <c r="Q189" s="6" t="inlineStr">
        <is>
          <t>Record fix</t>
        </is>
      </c>
      <c r="R189" s="6" t="inlineStr">
        <is>
          <t>Sub-item</t>
        </is>
      </c>
      <c r="S189" s="6" t="inlineStr">
        <is>
          <t>C-P02</t>
        </is>
      </c>
      <c r="T189" s="6" t="inlineStr">
        <is>
          <t>SRC-06 P06: two out-of-folder reads occurred without a human check.</t>
        </is>
      </c>
      <c r="U189" s="6" t="inlineStr">
        <is>
          <t>Outside the repo.</t>
        </is>
      </c>
      <c r="V189" s="6" t="inlineStr">
        <is>
          <t>Repaired or disclosed.</t>
        </is>
      </c>
      <c r="W189" s="6" t="inlineStr"/>
      <c r="X189" s="6" t="inlineStr"/>
      <c r="Y189" s="6" t="inlineStr"/>
      <c r="Z189" s="6" t="inlineStr"/>
      <c r="AA189" s="6" t="inlineStr"/>
      <c r="AB189" s="6" t="inlineStr">
        <is>
          <t>RECORD</t>
        </is>
      </c>
      <c r="AC189" s="6" t="inlineStr">
        <is>
          <t>n/a (sub-item)</t>
        </is>
      </c>
      <c r="AD189" s="6" t="inlineStr">
        <is>
          <t>NEW (SRC-11 sub-row)</t>
        </is>
      </c>
      <c r="AE189" s="6" t="inlineStr">
        <is>
          <t>2026-10-19</t>
        </is>
      </c>
      <c r="AF189" s="6" t="inlineStr">
        <is>
          <t>Outside repo (SRC-11 D5)</t>
        </is>
      </c>
      <c r="AG189" s="6" t="inlineStr"/>
      <c r="AH189" s="6" t="inlineStr">
        <is>
          <t>No</t>
        </is>
      </c>
      <c r="AI189" s="6" t="inlineStr"/>
      <c r="AJ189" s="6" t="inlineStr">
        <is>
          <t>SRC-11 section D5</t>
        </is>
      </c>
      <c r="AK189" s="6" t="inlineStr">
        <is>
          <t>SRC-06 P06</t>
        </is>
      </c>
      <c r="AL189" s="6" t="inlineStr">
        <is>
          <t>S25</t>
        </is>
      </c>
    </row>
    <row r="190" ht="28" customHeight="1">
      <c r="A190" s="5" t="inlineStr">
        <is>
          <t>C-P02/P10</t>
        </is>
      </c>
      <c r="B190" s="6" t="inlineStr">
        <is>
          <t>Small glyph/denominator/extract limits</t>
        </is>
      </c>
      <c r="C190" s="6" t="inlineStr">
        <is>
          <t>OPEN</t>
        </is>
      </c>
      <c r="D190" s="6">
        <f>IFERROR(INDEX(Lists!$B$2:$B$14,MATCH(C190,Lists!$A$2:$A$14,0)),"?")</f>
        <v/>
      </c>
      <c r="E190" s="6">
        <f>IF(COUNTIFS(Links!$B$2:$B$600,A190,Links!$E$2:$E$600,"Yes")&gt;0,"REVISE","")</f>
        <v/>
      </c>
      <c r="F190" s="6">
        <f>COUNTIFS(Links!$B$2:$B$600,A190,Links!$D$2:$D$600,"No",Links!$C$2:$C$600,"&lt;&gt;INFORMS")</f>
        <v/>
      </c>
      <c r="G190" s="8" t="inlineStr">
        <is>
          <t>RECORDS-AT-HAND</t>
        </is>
      </c>
      <c r="H190" s="6" t="inlineStr">
        <is>
          <t>K16 Limits &amp; provenance</t>
        </is>
      </c>
      <c r="I190" s="6" t="inlineStr">
        <is>
          <t>G5 Housekeeping / no block</t>
        </is>
      </c>
      <c r="J190" s="6" t="inlineStr">
        <is>
          <t>Low</t>
        </is>
      </c>
      <c r="K190" s="6" t="n">
        <v>254</v>
      </c>
      <c r="L190" s="6" t="inlineStr">
        <is>
          <t>W5 Claim-time</t>
        </is>
      </c>
      <c r="M190" s="6" t="inlineStr">
        <is>
          <t>S25</t>
        </is>
      </c>
      <c r="N190" s="6" t="inlineStr">
        <is>
          <t>You</t>
        </is>
      </c>
      <c r="O190" s="6" t="inlineStr">
        <is>
          <t>Lead drafts the fix; you approve</t>
        </is>
      </c>
      <c r="P190" s="6" t="inlineStr">
        <is>
          <t>No</t>
        </is>
      </c>
      <c r="Q190" s="6" t="inlineStr">
        <is>
          <t>Record fix</t>
        </is>
      </c>
      <c r="R190" s="6" t="inlineStr">
        <is>
          <t>Sub-item</t>
        </is>
      </c>
      <c r="S190" s="6" t="inlineStr">
        <is>
          <t>C-P02</t>
        </is>
      </c>
      <c r="T190" s="6" t="inlineStr">
        <is>
          <t>SRC-06 P10: small glyph, denominator and extract limits.</t>
        </is>
      </c>
      <c r="U190" s="6" t="inlineStr">
        <is>
          <t>Outside the repo.</t>
        </is>
      </c>
      <c r="V190" s="6" t="inlineStr">
        <is>
          <t>Repaired or disclosed.</t>
        </is>
      </c>
      <c r="W190" s="6" t="inlineStr"/>
      <c r="X190" s="6" t="inlineStr"/>
      <c r="Y190" s="6" t="inlineStr"/>
      <c r="Z190" s="6" t="inlineStr"/>
      <c r="AA190" s="6" t="inlineStr"/>
      <c r="AB190" s="6" t="inlineStr">
        <is>
          <t>RECORD</t>
        </is>
      </c>
      <c r="AC190" s="6" t="inlineStr">
        <is>
          <t>n/a (sub-item)</t>
        </is>
      </c>
      <c r="AD190" s="6" t="inlineStr">
        <is>
          <t>NEW (SRC-11 sub-row)</t>
        </is>
      </c>
      <c r="AE190" s="6" t="inlineStr">
        <is>
          <t>2026-10-19</t>
        </is>
      </c>
      <c r="AF190" s="6" t="inlineStr">
        <is>
          <t>Outside repo (SRC-11 D5)</t>
        </is>
      </c>
      <c r="AG190" s="6" t="inlineStr"/>
      <c r="AH190" s="6" t="inlineStr">
        <is>
          <t>No</t>
        </is>
      </c>
      <c r="AI190" s="6" t="inlineStr"/>
      <c r="AJ190" s="6" t="inlineStr">
        <is>
          <t>SRC-11 section D5</t>
        </is>
      </c>
      <c r="AK190" s="6" t="inlineStr">
        <is>
          <t>SRC-06 P10</t>
        </is>
      </c>
      <c r="AL190" s="6" t="inlineStr">
        <is>
          <t>S25</t>
        </is>
      </c>
    </row>
    <row r="191" ht="40.5" customHeight="1">
      <c r="A191" s="5" t="inlineStr">
        <is>
          <t>C-P03</t>
        </is>
      </c>
      <c r="B191" s="6" t="inlineStr">
        <is>
          <t>First-session reconciliation not executed; safeguards untested; evidence ledger partly spot-checked; ASR pr...</t>
        </is>
      </c>
      <c r="C191" s="6" t="inlineStr">
        <is>
          <t>OPEN</t>
        </is>
      </c>
      <c r="D191" s="6">
        <f>IFERROR(INDEX(Lists!$B$2:$B$14,MATCH(C191,Lists!$A$2:$A$14,0)),"?")</f>
        <v/>
      </c>
      <c r="E191" s="6">
        <f>IF(COUNTIFS(Links!$B$2:$B$600,A191,Links!$E$2:$E$600,"Yes")&gt;0,"REVISE","")</f>
        <v/>
      </c>
      <c r="F191" s="6">
        <f>COUNTIFS(Links!$B$2:$B$600,A191,Links!$D$2:$D$600,"No",Links!$C$2:$C$600,"&lt;&gt;INFORMS")</f>
        <v/>
      </c>
      <c r="G191" s="9" t="inlineStr">
        <is>
          <t>USER-DECISION</t>
        </is>
      </c>
      <c r="H191" s="6" t="inlineStr">
        <is>
          <t>K16 Limits &amp; provenance</t>
        </is>
      </c>
      <c r="I191" s="6" t="inlineStr">
        <is>
          <t>G5 Housekeeping / no block</t>
        </is>
      </c>
      <c r="J191" s="6" t="inlineStr">
        <is>
          <t>Low</t>
        </is>
      </c>
      <c r="K191" s="6" t="n">
        <v>255</v>
      </c>
      <c r="L191" s="6" t="inlineStr">
        <is>
          <t>W5 Claim-time</t>
        </is>
      </c>
      <c r="M191" s="6" t="inlineStr">
        <is>
          <t>S25</t>
        </is>
      </c>
      <c r="N191" s="6" t="inlineStr">
        <is>
          <t>You</t>
        </is>
      </c>
      <c r="O191" s="6" t="inlineStr">
        <is>
          <t>You decide (Q-U03)</t>
        </is>
      </c>
      <c r="P191" s="6" t="inlineStr">
        <is>
          <t>No</t>
        </is>
      </c>
      <c r="Q191" s="6" t="inlineStr">
        <is>
          <t>Decision</t>
        </is>
      </c>
      <c r="R191" s="6" t="inlineStr">
        <is>
          <t>Item</t>
        </is>
      </c>
      <c r="S191" s="6" t="inlineStr"/>
      <c r="T191" s="6" t="inlineStr">
        <is>
          <t>First-session reconciliation not executed; safeguards untested; evidence ledger partly spot-checked; ASR provenance.</t>
        </is>
      </c>
      <c r="U191" s="6" t="inlineStr">
        <is>
          <t>Reconciliation still out of scope until a separate authorization.</t>
        </is>
      </c>
      <c r="V191" s="6" t="inlineStr">
        <is>
          <t>Reconciliation run only with Project A records and an AUTH; safeguards tested or accepted.</t>
        </is>
      </c>
      <c r="W191" s="6" t="inlineStr"/>
      <c r="X191" s="6" t="inlineStr">
        <is>
          <t>C-D11</t>
        </is>
      </c>
      <c r="Y191" s="6" t="inlineStr">
        <is>
          <t>Q-U03</t>
        </is>
      </c>
      <c r="Z191" s="6" t="inlineStr">
        <is>
          <t>RECORDS-AT-HAND</t>
        </is>
      </c>
      <c r="AA191" s="6" t="inlineStr">
        <is>
          <t>K0 Earlier results</t>
        </is>
      </c>
      <c r="AB191" s="6" t="inlineStr">
        <is>
          <t>ACCESS+RECORD+DEC</t>
        </is>
      </c>
      <c r="AC191" s="6" t="inlineStr">
        <is>
          <t>BOUNDARY - OPEN</t>
        </is>
      </c>
      <c r="AD191" s="6" t="inlineStr">
        <is>
          <t>UNCHANGED</t>
        </is>
      </c>
      <c r="AE191" s="6" t="inlineStr">
        <is>
          <t>2026-10-19</t>
        </is>
      </c>
      <c r="AF191" s="6" t="inlineStr">
        <is>
          <t>CLAUDE.md; CAVEATS row 14</t>
        </is>
      </c>
      <c r="AG191" s="6" t="inlineStr"/>
      <c r="AH191" s="6" t="inlineStr">
        <is>
          <t>Yes (reconciliation)</t>
        </is>
      </c>
      <c r="AI191" s="6" t="inlineStr"/>
      <c r="AJ191" s="6" t="inlineStr">
        <is>
          <t>SRC-11 canonical</t>
        </is>
      </c>
      <c r="AK191" s="6" t="inlineStr">
        <is>
          <t>SRC-06 P11-P14</t>
        </is>
      </c>
      <c r="AL191" s="6" t="inlineStr">
        <is>
          <t>S25</t>
        </is>
      </c>
    </row>
    <row r="192" ht="28" customHeight="1">
      <c r="A192" s="5" t="inlineStr">
        <is>
          <t>C-P03/P13</t>
        </is>
      </c>
      <c r="B192" s="6" t="inlineStr">
        <is>
          <t>Evidence ledger only partly spot-checked</t>
        </is>
      </c>
      <c r="C192" s="6" t="inlineStr">
        <is>
          <t>PARTLY ANSWERED</t>
        </is>
      </c>
      <c r="D192" s="6">
        <f>IFERROR(INDEX(Lists!$B$2:$B$14,MATCH(C192,Lists!$A$2:$A$14,0)),"?")</f>
        <v/>
      </c>
      <c r="E192" s="6">
        <f>IF(COUNTIFS(Links!$B$2:$B$600,A192,Links!$E$2:$E$600,"Yes")&gt;0,"REVISE","")</f>
        <v/>
      </c>
      <c r="F192" s="6">
        <f>COUNTIFS(Links!$B$2:$B$600,A192,Links!$D$2:$D$600,"No",Links!$C$2:$C$600,"&lt;&gt;INFORMS")</f>
        <v/>
      </c>
      <c r="G192" s="8" t="inlineStr">
        <is>
          <t>RECORDS-AT-HAND</t>
        </is>
      </c>
      <c r="H192" s="6" t="inlineStr">
        <is>
          <t>K16 Limits &amp; provenance</t>
        </is>
      </c>
      <c r="I192" s="6" t="inlineStr">
        <is>
          <t>G5 Housekeeping / no block</t>
        </is>
      </c>
      <c r="J192" s="6" t="inlineStr">
        <is>
          <t>Low</t>
        </is>
      </c>
      <c r="K192" s="6" t="n">
        <v>256</v>
      </c>
      <c r="L192" s="6" t="inlineStr">
        <is>
          <t>W5 Claim-time</t>
        </is>
      </c>
      <c r="M192" s="6" t="inlineStr">
        <is>
          <t>S25</t>
        </is>
      </c>
      <c r="N192" s="6" t="inlineStr">
        <is>
          <t>You</t>
        </is>
      </c>
      <c r="O192" s="6" t="inlineStr">
        <is>
          <t>Lead drafts the fix; you approve</t>
        </is>
      </c>
      <c r="P192" s="6" t="inlineStr">
        <is>
          <t>Partly</t>
        </is>
      </c>
      <c r="Q192" s="6" t="inlineStr">
        <is>
          <t>Record fix</t>
        </is>
      </c>
      <c r="R192" s="6" t="inlineStr">
        <is>
          <t>Sub-item</t>
        </is>
      </c>
      <c r="S192" s="6" t="inlineStr">
        <is>
          <t>C-P03</t>
        </is>
      </c>
      <c r="T192" s="6" t="inlineStr">
        <is>
          <t>SRC-06 P13: the evidence ledger was partly spot-checked.</t>
        </is>
      </c>
      <c r="U192" s="6" t="inlineStr">
        <is>
          <t>Hash integrity is checked mechanically; content was not verified.</t>
        </is>
      </c>
      <c r="V192" s="6" t="inlineStr">
        <is>
          <t>Repaired or disclosed.</t>
        </is>
      </c>
      <c r="W192" s="6" t="inlineStr"/>
      <c r="X192" s="6" t="inlineStr"/>
      <c r="Y192" s="6" t="inlineStr"/>
      <c r="Z192" s="6" t="inlineStr"/>
      <c r="AA192" s="6" t="inlineStr"/>
      <c r="AB192" s="6" t="inlineStr">
        <is>
          <t>RECORD+DEC</t>
        </is>
      </c>
      <c r="AC192" s="6" t="inlineStr">
        <is>
          <t>n/a (sub-item)</t>
        </is>
      </c>
      <c r="AD192" s="6" t="inlineStr">
        <is>
          <t>NEW (SRC-11 sub-row)</t>
        </is>
      </c>
      <c r="AE192" s="6" t="inlineStr">
        <is>
          <t>2026-10-19</t>
        </is>
      </c>
      <c r="AF192" s="6" t="inlineStr">
        <is>
          <t>verify_workspace.py (hash integrity, pass 875)</t>
        </is>
      </c>
      <c r="AG192" s="6" t="inlineStr"/>
      <c r="AH192" s="6" t="inlineStr">
        <is>
          <t>Yes (reconciliation)</t>
        </is>
      </c>
      <c r="AI192" s="6" t="inlineStr"/>
      <c r="AJ192" s="6" t="inlineStr">
        <is>
          <t>SRC-11 section D5</t>
        </is>
      </c>
      <c r="AK192" s="6" t="inlineStr">
        <is>
          <t>SRC-06 P13</t>
        </is>
      </c>
      <c r="AL192" s="6" t="inlineStr">
        <is>
          <t>S25</t>
        </is>
      </c>
    </row>
    <row r="193" ht="15" customHeight="1">
      <c r="A193" s="5" t="n"/>
      <c r="B193" s="6" t="n"/>
      <c r="C193" s="6" t="n"/>
      <c r="D193" s="6" t="n"/>
      <c r="E193" s="6" t="n"/>
      <c r="F193" s="6" t="n"/>
      <c r="G193" s="8" t="n"/>
      <c r="H193" s="6" t="n"/>
      <c r="I193" s="6" t="n"/>
      <c r="J193" s="6" t="n"/>
      <c r="K193" s="6" t="n"/>
      <c r="L193" s="6" t="n"/>
      <c r="M193" s="6" t="n"/>
      <c r="N193" s="6" t="n"/>
      <c r="O193" s="6" t="n"/>
      <c r="P193" s="6" t="n"/>
      <c r="Q193" s="6" t="n"/>
      <c r="R193" s="6" t="n"/>
      <c r="S193" s="6" t="n"/>
      <c r="T193" s="6" t="n"/>
      <c r="U193" s="6" t="n"/>
      <c r="V193" s="6" t="n"/>
      <c r="W193" s="6" t="n"/>
      <c r="X193" s="6" t="n"/>
      <c r="Y193" s="6" t="n"/>
      <c r="Z193" s="6" t="n"/>
      <c r="AA193" s="6" t="n"/>
      <c r="AB193" s="6" t="n"/>
      <c r="AC193" s="6" t="n"/>
      <c r="AD193" s="6" t="n"/>
      <c r="AE193" s="6" t="n"/>
      <c r="AF193" s="6" t="n"/>
      <c r="AG193" s="6" t="n"/>
      <c r="AH193" s="6" t="n"/>
      <c r="AI193" s="6" t="n"/>
      <c r="AJ193" s="6" t="n"/>
      <c r="AK193" s="6" t="n"/>
      <c r="AL193" s="6" t="n"/>
    </row>
    <row r="194" ht="15" customHeight="1">
      <c r="A194" s="5" t="n"/>
      <c r="B194" s="6" t="n"/>
      <c r="C194" s="6" t="n"/>
      <c r="D194" s="6" t="n"/>
      <c r="E194" s="6" t="n"/>
      <c r="F194" s="6" t="n"/>
      <c r="G194" s="8" t="n"/>
      <c r="H194" s="6" t="n"/>
      <c r="I194" s="6" t="n"/>
      <c r="J194" s="6" t="n"/>
      <c r="K194" s="6" t="n"/>
      <c r="L194" s="6" t="n"/>
      <c r="M194" s="6" t="n"/>
      <c r="N194" s="6" t="n"/>
      <c r="O194" s="6" t="n"/>
      <c r="P194" s="6" t="n"/>
      <c r="Q194" s="6" t="n"/>
      <c r="R194" s="6" t="n"/>
      <c r="S194" s="6" t="n"/>
      <c r="T194" s="6" t="n"/>
      <c r="U194" s="6" t="n"/>
      <c r="V194" s="6" t="n"/>
      <c r="W194" s="6" t="n"/>
      <c r="X194" s="6" t="n"/>
      <c r="Y194" s="6" t="n"/>
      <c r="Z194" s="6" t="n"/>
      <c r="AA194" s="6" t="n"/>
      <c r="AB194" s="6" t="n"/>
      <c r="AC194" s="6" t="n"/>
      <c r="AD194" s="6" t="n"/>
      <c r="AE194" s="6" t="n"/>
      <c r="AF194" s="6" t="n"/>
      <c r="AG194" s="6" t="n"/>
      <c r="AH194" s="6" t="n"/>
      <c r="AI194" s="6" t="n"/>
      <c r="AJ194" s="6" t="n"/>
      <c r="AK194" s="6" t="n"/>
      <c r="AL194" s="6" t="n"/>
    </row>
    <row r="195" ht="15" customHeight="1">
      <c r="A195" s="5" t="n"/>
      <c r="B195" s="6" t="n"/>
      <c r="C195" s="6" t="n"/>
      <c r="D195" s="6" t="n"/>
      <c r="E195" s="6" t="n"/>
      <c r="F195" s="6" t="n"/>
      <c r="G195" s="8" t="n"/>
      <c r="H195" s="6" t="n"/>
      <c r="I195" s="6" t="n"/>
      <c r="J195" s="6" t="n"/>
      <c r="K195" s="6" t="n"/>
      <c r="L195" s="6" t="n"/>
      <c r="M195" s="6" t="n"/>
      <c r="N195" s="6" t="n"/>
      <c r="O195" s="6" t="n"/>
      <c r="P195" s="6" t="n"/>
      <c r="Q195" s="6" t="n"/>
      <c r="R195" s="6" t="n"/>
      <c r="S195" s="6" t="n"/>
      <c r="T195" s="6" t="n"/>
      <c r="U195" s="6" t="n"/>
      <c r="V195" s="6" t="n"/>
      <c r="W195" s="6" t="n"/>
      <c r="X195" s="6" t="n"/>
      <c r="Y195" s="6" t="n"/>
      <c r="Z195" s="6" t="n"/>
      <c r="AA195" s="6" t="n"/>
      <c r="AB195" s="6" t="n"/>
      <c r="AC195" s="6" t="n"/>
      <c r="AD195" s="6" t="n"/>
      <c r="AE195" s="6" t="n"/>
      <c r="AF195" s="6" t="n"/>
      <c r="AG195" s="6" t="n"/>
      <c r="AH195" s="6" t="n"/>
      <c r="AI195" s="6" t="n"/>
      <c r="AJ195" s="6" t="n"/>
      <c r="AK195" s="6" t="n"/>
      <c r="AL195" s="6" t="n"/>
    </row>
    <row r="196" ht="15" customHeight="1">
      <c r="A196" s="5" t="n"/>
      <c r="B196" s="6" t="n"/>
      <c r="C196" s="6" t="n"/>
      <c r="D196" s="6" t="n"/>
      <c r="E196" s="6" t="n"/>
      <c r="F196" s="6" t="n"/>
      <c r="G196" s="9" t="n"/>
      <c r="H196" s="6" t="n"/>
      <c r="I196" s="6" t="n"/>
      <c r="J196" s="6" t="n"/>
      <c r="K196" s="6" t="n"/>
      <c r="L196" s="6" t="n"/>
      <c r="M196" s="6" t="n"/>
      <c r="N196" s="6" t="n"/>
      <c r="O196" s="6" t="n"/>
      <c r="P196" s="6" t="n"/>
      <c r="Q196" s="6" t="n"/>
      <c r="R196" s="6" t="n"/>
      <c r="S196" s="6" t="n"/>
      <c r="T196" s="6" t="n"/>
      <c r="U196" s="6" t="n"/>
      <c r="V196" s="6" t="n"/>
      <c r="W196" s="6" t="n"/>
      <c r="X196" s="6" t="n"/>
      <c r="Y196" s="6" t="n"/>
      <c r="Z196" s="6" t="n"/>
      <c r="AA196" s="6" t="n"/>
      <c r="AB196" s="6" t="n"/>
      <c r="AC196" s="6" t="n"/>
      <c r="AD196" s="6" t="n"/>
      <c r="AE196" s="6" t="n"/>
      <c r="AF196" s="6" t="n"/>
      <c r="AG196" s="6" t="n"/>
      <c r="AH196" s="6" t="n"/>
      <c r="AI196" s="6" t="n"/>
      <c r="AJ196" s="6" t="n"/>
      <c r="AK196" s="6" t="n"/>
      <c r="AL196" s="6" t="n"/>
    </row>
    <row r="197" ht="15" customHeight="1">
      <c r="A197" s="5" t="n"/>
      <c r="B197" s="6" t="n"/>
      <c r="C197" s="6" t="n"/>
      <c r="D197" s="6" t="n"/>
      <c r="E197" s="6" t="n"/>
      <c r="F197" s="6" t="n"/>
      <c r="G197" s="8" t="n"/>
      <c r="H197" s="6" t="n"/>
      <c r="I197" s="6" t="n"/>
      <c r="J197" s="6" t="n"/>
      <c r="K197" s="6" t="n"/>
      <c r="L197" s="6" t="n"/>
      <c r="M197" s="6" t="n"/>
      <c r="N197" s="6" t="n"/>
      <c r="O197" s="6" t="n"/>
      <c r="P197" s="6" t="n"/>
      <c r="Q197" s="6" t="n"/>
      <c r="R197" s="6" t="n"/>
      <c r="S197" s="6" t="n"/>
      <c r="T197" s="6" t="n"/>
      <c r="U197" s="6" t="n"/>
      <c r="V197" s="6" t="n"/>
      <c r="W197" s="6" t="n"/>
      <c r="X197" s="6" t="n"/>
      <c r="Y197" s="6" t="n"/>
      <c r="Z197" s="6" t="n"/>
      <c r="AA197" s="6" t="n"/>
      <c r="AB197" s="6" t="n"/>
      <c r="AC197" s="6" t="n"/>
      <c r="AD197" s="6" t="n"/>
      <c r="AE197" s="6" t="n"/>
      <c r="AF197" s="6" t="n"/>
      <c r="AG197" s="6" t="n"/>
      <c r="AH197" s="6" t="n"/>
      <c r="AI197" s="6" t="n"/>
      <c r="AJ197" s="6" t="n"/>
      <c r="AK197" s="6" t="n"/>
      <c r="AL197" s="6" t="n"/>
    </row>
    <row r="198" ht="15" customHeight="1">
      <c r="A198" s="5" t="n"/>
      <c r="B198" s="6" t="n"/>
      <c r="C198" s="6" t="n"/>
      <c r="D198" s="6" t="n"/>
      <c r="E198" s="6" t="n"/>
      <c r="F198" s="6" t="n"/>
      <c r="G198" s="8" t="n"/>
      <c r="H198" s="6" t="n"/>
      <c r="I198" s="6" t="n"/>
      <c r="J198" s="6" t="n"/>
      <c r="K198" s="6" t="n"/>
      <c r="L198" s="6" t="n"/>
      <c r="M198" s="6" t="n"/>
      <c r="N198" s="6" t="n"/>
      <c r="O198" s="6" t="n"/>
      <c r="P198" s="6" t="n"/>
      <c r="Q198" s="6" t="n"/>
      <c r="R198" s="6" t="n"/>
      <c r="S198" s="6" t="n"/>
      <c r="T198" s="6" t="n"/>
      <c r="U198" s="6" t="n"/>
      <c r="V198" s="6" t="n"/>
      <c r="W198" s="6" t="n"/>
      <c r="X198" s="6" t="n"/>
      <c r="Y198" s="6" t="n"/>
      <c r="Z198" s="6" t="n"/>
      <c r="AA198" s="6" t="n"/>
      <c r="AB198" s="6" t="n"/>
      <c r="AC198" s="6" t="n"/>
      <c r="AD198" s="6" t="n"/>
      <c r="AE198" s="6" t="n"/>
      <c r="AF198" s="6" t="n"/>
      <c r="AG198" s="6" t="n"/>
      <c r="AH198" s="6" t="n"/>
      <c r="AI198" s="6" t="n"/>
      <c r="AJ198" s="6" t="n"/>
      <c r="AK198" s="6" t="n"/>
      <c r="AL198" s="6" t="n"/>
    </row>
    <row r="199" ht="15" customHeight="1">
      <c r="A199" s="5" t="n"/>
      <c r="B199" s="6" t="n"/>
      <c r="C199" s="6" t="n"/>
      <c r="D199" s="6" t="n"/>
      <c r="E199" s="6" t="n"/>
      <c r="F199" s="6" t="n"/>
      <c r="G199" s="9" t="n"/>
      <c r="H199" s="6" t="n"/>
      <c r="I199" s="6" t="n"/>
      <c r="J199" s="6" t="n"/>
      <c r="K199" s="6" t="n"/>
      <c r="L199" s="6" t="n"/>
      <c r="M199" s="6" t="n"/>
      <c r="N199" s="6" t="n"/>
      <c r="O199" s="6" t="n"/>
      <c r="P199" s="6" t="n"/>
      <c r="Q199" s="6" t="n"/>
      <c r="R199" s="6" t="n"/>
      <c r="S199" s="6" t="n"/>
      <c r="T199" s="6" t="n"/>
      <c r="U199" s="6" t="n"/>
      <c r="V199" s="6" t="n"/>
      <c r="W199" s="6" t="n"/>
      <c r="X199" s="6" t="n"/>
      <c r="Y199" s="6" t="n"/>
      <c r="Z199" s="6" t="n"/>
      <c r="AA199" s="6" t="n"/>
      <c r="AB199" s="6" t="n"/>
      <c r="AC199" s="6" t="n"/>
      <c r="AD199" s="6" t="n"/>
      <c r="AE199" s="6" t="n"/>
      <c r="AF199" s="6" t="n"/>
      <c r="AG199" s="6" t="n"/>
      <c r="AH199" s="6" t="n"/>
      <c r="AI199" s="6" t="n"/>
      <c r="AJ199" s="6" t="n"/>
      <c r="AK199" s="6" t="n"/>
      <c r="AL199" s="6" t="n"/>
    </row>
    <row r="200" ht="15" customHeight="1">
      <c r="A200" s="5" t="n"/>
      <c r="B200" s="6" t="n"/>
      <c r="C200" s="6" t="n"/>
      <c r="D200" s="6" t="n"/>
      <c r="E200" s="6" t="n"/>
      <c r="F200" s="6" t="n"/>
      <c r="G200" s="8" t="n"/>
      <c r="H200" s="6" t="n"/>
      <c r="I200" s="6" t="n"/>
      <c r="J200" s="6" t="n"/>
      <c r="K200" s="6" t="n"/>
      <c r="L200" s="6" t="n"/>
      <c r="M200" s="6" t="n"/>
      <c r="N200" s="6" t="n"/>
      <c r="O200" s="6" t="n"/>
      <c r="P200" s="6" t="n"/>
      <c r="Q200" s="6" t="n"/>
      <c r="R200" s="6" t="n"/>
      <c r="S200" s="6" t="n"/>
      <c r="T200" s="6" t="n"/>
      <c r="U200" s="6" t="n"/>
      <c r="V200" s="6" t="n"/>
      <c r="W200" s="6" t="n"/>
      <c r="X200" s="6" t="n"/>
      <c r="Y200" s="6" t="n"/>
      <c r="Z200" s="6" t="n"/>
      <c r="AA200" s="6" t="n"/>
      <c r="AB200" s="6" t="n"/>
      <c r="AC200" s="6" t="n"/>
      <c r="AD200" s="6" t="n"/>
      <c r="AE200" s="6" t="n"/>
      <c r="AF200" s="6" t="n"/>
      <c r="AG200" s="6" t="n"/>
      <c r="AH200" s="6" t="n"/>
      <c r="AI200" s="6" t="n"/>
      <c r="AJ200" s="6" t="n"/>
      <c r="AK200" s="6" t="n"/>
      <c r="AL200" s="6" t="n"/>
    </row>
    <row r="201" ht="15" customHeight="1">
      <c r="A201" s="5" t="n"/>
      <c r="B201" s="6" t="n"/>
      <c r="C201" s="6" t="n"/>
      <c r="D201" s="6" t="n"/>
      <c r="E201" s="6" t="n"/>
      <c r="F201" s="6" t="n"/>
      <c r="G201" s="8"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8"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9"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192"/>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6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78" customHeight="1">
      <c r="A2" s="5" t="inlineStr">
        <is>
          <t>N-20</t>
        </is>
      </c>
      <c r="B2" s="6" t="inlineStr">
        <is>
          <t>SRC-11's 'negative result can be a thesis' clause is not in the admitted excerpts</t>
        </is>
      </c>
      <c r="C2" s="6" t="inlineStr">
        <is>
          <t>CLOSED - BY EVIDENCE</t>
        </is>
      </c>
      <c r="D2" s="6" t="inlineStr">
        <is>
          <t>No</t>
        </is>
      </c>
      <c r="E2" s="6" t="inlineStr"/>
      <c r="F2" s="6" t="inlineStr"/>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Closed; moved to Archive</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 2026-10-21 (AUTH-018): the clause is located in the full 14 October transcript: 'even if the result is negative it's a thesis' (INT-T-003 L363, time-code 00:25:36), with 'The problem is can you write a paper and get it accepted' (L365).</t>
        </is>
      </c>
      <c r="V2" s="6" t="inlineStr">
        <is>
          <t>Closed 2026-10-21: lines located and quoted.</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2026-10-21</t>
        </is>
      </c>
      <c r="AF2" s="6" t="inlineStr">
        <is>
          <t>INT-T-003 (requirements/intake/2026-10-21-supervisor-meeting-2026-10-14-notes-and-transcript.md); mapping design/ledger/notes/MEETINGS-MAPPING-20261021.md checked line by line by FND-0035 and FND-0036; REGISTER section H</t>
        </is>
      </c>
      <c r="AG2" s="6" t="inlineStr"/>
      <c r="AH2" s="6" t="inlineStr">
        <is>
          <t>No</t>
        </is>
      </c>
      <c r="AI2" s="6" t="inlineStr">
        <is>
          <t>Closed 2026-10-21: the 'negative result can be a thesis' clause is located and quoted.</t>
        </is>
      </c>
      <c r="AJ2" s="6" t="inlineStr">
        <is>
          <t>review 19 Oct section 6.2</t>
        </is>
      </c>
      <c r="AK2" s="6" t="inlineStr">
        <is>
          <t>A-04</t>
        </is>
      </c>
      <c r="AL2" s="6" t="inlineStr">
        <is>
          <t>S01</t>
        </is>
      </c>
    </row>
    <row r="3" ht="165.5" customHeight="1">
      <c r="A3" s="5" t="inlineStr">
        <is>
          <t>C-D11</t>
        </is>
      </c>
      <c r="B3" s="6" t="inlineStr">
        <is>
          <t>Earlier Project A experiments (previous-thesis material) are withheld.</t>
        </is>
      </c>
      <c r="C3" s="6" t="inlineStr">
        <is>
          <t>CLOSED - BY DECISION</t>
        </is>
      </c>
      <c r="D3" s="6" t="inlineStr">
        <is>
          <t>No</t>
        </is>
      </c>
      <c r="E3" s="6" t="inlineStr"/>
      <c r="F3" s="6" t="inlineStr"/>
      <c r="G3" s="9" t="inlineStr">
        <is>
          <t>USER-DECISION</t>
        </is>
      </c>
      <c r="H3" s="6" t="inlineStr">
        <is>
          <t>K0 Earlier results</t>
        </is>
      </c>
      <c r="I3" s="6" t="inlineStr">
        <is>
          <t>G1 Before any implementation</t>
        </is>
      </c>
      <c r="J3" s="6" t="inlineStr">
        <is>
          <t>High</t>
        </is>
      </c>
      <c r="K3" s="6" t="n">
        <v>4</v>
      </c>
      <c r="L3" s="6" t="inlineStr">
        <is>
          <t>W0 Orient (no AUTH)</t>
        </is>
      </c>
      <c r="M3" s="6" t="inlineStr">
        <is>
          <t>S02</t>
        </is>
      </c>
      <c r="N3" s="6" t="inlineStr">
        <is>
          <t>You</t>
        </is>
      </c>
      <c r="O3" s="6" t="inlineStr">
        <is>
          <t>Closed; moved to Archive</t>
        </is>
      </c>
      <c r="P3" s="6" t="inlineStr">
        <is>
          <t>No</t>
        </is>
      </c>
      <c r="Q3" s="6" t="inlineStr">
        <is>
          <t>Decision</t>
        </is>
      </c>
      <c r="R3" s="6" t="inlineStr">
        <is>
          <t>Item</t>
        </is>
      </c>
      <c r="S3" s="6" t="inlineStr"/>
      <c r="T3" s="6" t="inlineStr">
        <is>
          <t>Earlier Project A experiments (previous-thesis material) are withheld. They may already answer or reframe several test items.</t>
        </is>
      </c>
      <c r="U3" s="6" t="inlineStr">
        <is>
          <t>Not in repo and barred by design; SRC-12's INT-01/02 are not here. 2026-10-21 (AUTH-018): the human decided on 21 October: 'also the 27 retreival methods keep it but take care where you use it because it might be interpreted differently tha main thing is that we branched a new branch and started from begininig and we are not yet sure will we ever need what we have worked on on retreival in the future or not, so never let it contaminate our work' (ops/AUTHORIZATIONS.md, AUTH-018 section); the supervisor had said on 2 October 'keep it as it is. Create a new branch' (INT-T-004 E689).</t>
        </is>
      </c>
      <c r="V3" s="6" t="inlineStr">
        <is>
          <t>Closed 2026-10-21: the human's decision recorded verbatim (no reconciliation).</t>
        </is>
      </c>
      <c r="W3" s="6" t="inlineStr"/>
      <c r="X3" s="6" t="inlineStr"/>
      <c r="Y3" s="6" t="inlineStr">
        <is>
          <t>Q-U02, Q-U03</t>
        </is>
      </c>
      <c r="Z3" s="6" t="inlineStr">
        <is>
          <t>RECORDS-AT-HAND</t>
        </is>
      </c>
      <c r="AA3" s="6" t="inlineStr"/>
      <c r="AB3" s="6" t="inlineStr">
        <is>
          <t>ACCESS+DEC</t>
        </is>
      </c>
      <c r="AC3" s="6" t="inlineStr">
        <is>
          <t>OPEN</t>
        </is>
      </c>
      <c r="AD3" s="6" t="inlineStr">
        <is>
          <t>NO EVIDENCE IN REPO</t>
        </is>
      </c>
      <c r="AE3" s="6" t="inlineStr">
        <is>
          <t>2026-10-21</t>
        </is>
      </c>
      <c r="AF3" s="6" t="inlineStr">
        <is>
          <t>ops/AUTHORIZATIONS.md (AUTH-018 section); INT-T-004 (requirements/intake/2026-10-21-supervisor-meeting-2026-10-02-excerpts.md); mapping design/ledger/notes/MEETINGS-MAPPING-20261021.md checked line by line by FND-0035 and FND-0036; REGISTER section H</t>
        </is>
      </c>
      <c r="AG3" s="6" t="inlineStr">
        <is>
          <t>The human decides to use the earlier retrieval work</t>
        </is>
      </c>
      <c r="AH3" s="6" t="inlineStr">
        <is>
          <t>Yes (reconciliation)</t>
        </is>
      </c>
      <c r="AI3" s="6" t="inlineStr">
        <is>
          <t>Closed 2026-10-21: the earlier Project A retrieval work stays outside this work and is not used, cited or reconciled here (human's decision).</t>
        </is>
      </c>
      <c r="AJ3" s="6" t="inlineStr">
        <is>
          <t>SRC-11 canonical</t>
        </is>
      </c>
      <c r="AK3" s="6" t="inlineStr">
        <is>
          <t>SRC-06 D14, SRC-06 P11, SRC-07 29, CAVEATS 14, STATE open item 4</t>
        </is>
      </c>
      <c r="AL3" s="6" t="inlineStr">
        <is>
          <t>S02</t>
        </is>
      </c>
    </row>
    <row r="4" ht="40.5" customHeight="1">
      <c r="A4" s="5" t="inlineStr">
        <is>
          <t>C-D13/BASHWRITE</t>
        </is>
      </c>
      <c r="B4" s="6" t="inlineStr">
        <is>
          <t>Bash writes bypass ownership and immutability; a Bash-capable subagent can write anywhere in the workspace</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9</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By construction; detected afterwards by git diff and the config pin.</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53" customHeight="1">
      <c r="A5" s="5" t="inlineStr">
        <is>
          <t>C-D13/HOOKOFF</t>
        </is>
      </c>
      <c r="B5" s="6" t="inlineStr">
        <is>
          <t>The hook layer can be switched off by configuration (C7); deny rules still hold</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10</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project-local settings.local.json with disableAllHooks defeated the path guard, ownership, immutability, SendMessage rules and the message cap; the deny rules and model pin still held (C8).</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C-D13/INTERACTIVE</t>
        </is>
      </c>
      <c r="B6" s="6" t="inlineStr">
        <is>
          <t>Interactive / VS Code trust-dialog behaviour only partly observed</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11</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All early live tests ran in -p mode in an untrusted folder; VS Code behaviour was observed in one session (WD-015); behaviour after the trust dialog is unverified.</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C-D13/INTERP</t>
        </is>
      </c>
      <c r="B7" s="6" t="inlineStr">
        <is>
          <t>Interpreter-built paths can read the origin</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12</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 python -c that builds the origin path from fragments read a harmless origin file (A1); the boundary holds against honest or careless sessions, not adversarial ones.</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C-D13/LEADREG</t>
        </is>
      </c>
      <c r="B8" s="6" t="inlineStr">
        <is>
          <t>The lead can edit the register and pinned files; only git and review catch lead errors</t>
        </is>
      </c>
      <c r="C8" s="6" t="inlineStr">
        <is>
          <t>ACCEPTED LIMITATION</t>
        </is>
      </c>
      <c r="D8" s="6" t="inlineStr">
        <is>
          <t>No</t>
        </is>
      </c>
      <c r="E8" s="6" t="inlineStr"/>
      <c r="F8" s="6" t="inlineStr"/>
      <c r="G8" s="9" t="inlineStr">
        <is>
          <t>USER-DECISION</t>
        </is>
      </c>
      <c r="H8" s="6" t="inlineStr">
        <is>
          <t>K16 Limits &amp; provenance</t>
        </is>
      </c>
      <c r="I8" s="6" t="inlineStr">
        <is>
          <t>G1 Before any implementation</t>
        </is>
      </c>
      <c r="J8" s="6" t="inlineStr">
        <is>
          <t>High</t>
        </is>
      </c>
      <c r="K8" s="6" t="n">
        <v>13</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Protection is the verbatim-quote rule, git history and commit approval; WD-023 records a pinned safeguard edited before human review.</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C-D13/PEERS</t>
        </is>
      </c>
      <c r="B9" s="6" t="inlineStr">
        <is>
          <t>Peer sessions and foreign agent ids: cross-session messaging untested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14</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Another session can message this one (not an authorization); whether a foreign agent id would resolve is untested (RV-0001 D7).</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40.5" customHeight="1">
      <c r="A10" s="5" t="inlineStr">
        <is>
          <t>C-D13/TEAMS</t>
        </is>
      </c>
      <c r="B10" s="6" t="inlineStr">
        <is>
          <t>Native agent teams unverified interactively</t>
        </is>
      </c>
      <c r="C10" s="6" t="inlineStr">
        <is>
          <t>ACCEPTED LIMITATION</t>
        </is>
      </c>
      <c r="D10" s="6" t="inlineStr">
        <is>
          <t>No</t>
        </is>
      </c>
      <c r="E10" s="6" t="inlineStr"/>
      <c r="F10" s="6" t="inlineStr"/>
      <c r="G10" s="9" t="inlineStr">
        <is>
          <t>USER-DECISION</t>
        </is>
      </c>
      <c r="H10" s="6" t="inlineStr">
        <is>
          <t>K16 Limits &amp; provenance</t>
        </is>
      </c>
      <c r="I10" s="6" t="inlineStr">
        <is>
          <t>G5 Housekeeping / no block</t>
        </is>
      </c>
      <c r="J10" s="6" t="inlineStr">
        <is>
          <t>Low</t>
        </is>
      </c>
      <c r="K10" s="6" t="n">
        <v>15</v>
      </c>
      <c r="L10" s="6" t="inlineStr">
        <is>
          <t>W0 Orient (no AUTH)</t>
        </is>
      </c>
      <c r="M10" s="6" t="inlineStr">
        <is>
          <t>S03</t>
        </is>
      </c>
      <c r="N10" s="6" t="inlineStr">
        <is>
          <t>You</t>
        </is>
      </c>
      <c r="O10" s="6" t="inlineStr">
        <is>
          <t>Closed; moved to Archive</t>
        </is>
      </c>
      <c r="P10" s="6" t="inlineStr">
        <is>
          <t>Answered (see basis)</t>
        </is>
      </c>
      <c r="Q10" s="6" t="inlineStr">
        <is>
          <t>Safeguard limit</t>
        </is>
      </c>
      <c r="R10" s="6" t="inlineStr">
        <is>
          <t>Sub-item</t>
        </is>
      </c>
      <c r="S10" s="6" t="inlineStr">
        <is>
          <t>C-D13</t>
        </is>
      </c>
      <c r="T10" s="6" t="inlineStr">
        <is>
          <t>Not enabled; the Agent tool gained a name parameter under the flag; the reply leg was not confirmed (C5b).</t>
        </is>
      </c>
      <c r="U10" s="6" t="inlineStr">
        <is>
          <t>Documented limit.</t>
        </is>
      </c>
      <c r="V10" s="6" t="inlineStr">
        <is>
          <t>Accepted 2026-10-20 (the human); a limitation is closed by being stated, not by a test.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2026-10-20</t>
        </is>
      </c>
      <c r="AF10" s="6" t="inlineStr">
        <is>
          <t>Questions Q-U11 (answer cell, verbatim); chat message of 2026-10-20</t>
        </is>
      </c>
      <c r="AG10" s="6" t="inlineStr"/>
      <c r="AH10" s="6" t="inlineStr">
        <is>
          <t>No</t>
        </is>
      </c>
      <c r="AI10" s="6" t="inlineStr">
        <is>
          <t>Accepted by the human on 2026-10-20, in the human's words: "I accept all 8 in A,"</t>
        </is>
      </c>
      <c r="AJ10" s="6" t="inlineStr">
        <is>
          <t>repo: ops/SAFEGUARDS.md 'Known bypasses'</t>
        </is>
      </c>
      <c r="AK10" s="6" t="inlineStr"/>
      <c r="AL10" s="6" t="inlineStr">
        <is>
          <t>S03</t>
        </is>
      </c>
    </row>
    <row r="11" ht="40.5" customHeight="1">
      <c r="A11" s="5" t="inlineStr">
        <is>
          <t>C-D13/UNTESTED</t>
        </is>
      </c>
      <c r="B11" s="6" t="inlineStr">
        <is>
          <t>Not tested: prompt injection via evidence text, two threads at once, bypassPermissions with hooks disabled, 8.3 short names, guard cwd field</t>
        </is>
      </c>
      <c r="C11" s="6" t="inlineStr">
        <is>
          <t>ACCEPTED LIMITATION</t>
        </is>
      </c>
      <c r="D11" s="6" t="inlineStr">
        <is>
          <t>No</t>
        </is>
      </c>
      <c r="E11" s="6" t="inlineStr"/>
      <c r="F11" s="6" t="inlineStr"/>
      <c r="G11" s="9" t="inlineStr">
        <is>
          <t>USER-DECISION</t>
        </is>
      </c>
      <c r="H11" s="6" t="inlineStr">
        <is>
          <t>K16 Limits &amp; provenance</t>
        </is>
      </c>
      <c r="I11" s="6" t="inlineStr">
        <is>
          <t>G1 Before any implementation</t>
        </is>
      </c>
      <c r="J11" s="6" t="inlineStr">
        <is>
          <t>High</t>
        </is>
      </c>
      <c r="K11" s="6" t="n">
        <v>16</v>
      </c>
      <c r="L11" s="6" t="inlineStr">
        <is>
          <t>W0 Orient (no AUTH)</t>
        </is>
      </c>
      <c r="M11" s="6" t="inlineStr">
        <is>
          <t>S03</t>
        </is>
      </c>
      <c r="N11" s="6" t="inlineStr">
        <is>
          <t>You</t>
        </is>
      </c>
      <c r="O11" s="6" t="inlineStr">
        <is>
          <t>Closed; moved to Archive</t>
        </is>
      </c>
      <c r="P11" s="6" t="inlineStr">
        <is>
          <t>Answered (see basis)</t>
        </is>
      </c>
      <c r="Q11" s="6" t="inlineStr">
        <is>
          <t>Safeguard limit</t>
        </is>
      </c>
      <c r="R11" s="6" t="inlineStr">
        <is>
          <t>Sub-item</t>
        </is>
      </c>
      <c r="S11" s="6" t="inlineStr">
        <is>
          <t>C-D13</t>
        </is>
      </c>
      <c r="T11" s="6" t="inlineStr">
        <is>
          <t>SAFEGUARDS lists these as untested.</t>
        </is>
      </c>
      <c r="U11" s="6" t="inlineStr">
        <is>
          <t>Documented limit.</t>
        </is>
      </c>
      <c r="V11" s="6" t="inlineStr">
        <is>
          <t>Accepted 2026-10-20 (the human); a limitation is closed by being stated, not by a test.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2026-10-20</t>
        </is>
      </c>
      <c r="AF11" s="6" t="inlineStr">
        <is>
          <t>Questions Q-U11 (answer cell, verbatim); chat message of 2026-10-20</t>
        </is>
      </c>
      <c r="AG11" s="6" t="inlineStr"/>
      <c r="AH11" s="6" t="inlineStr">
        <is>
          <t>No</t>
        </is>
      </c>
      <c r="AI11" s="6" t="inlineStr">
        <is>
          <t>Accepted by the human on 2026-10-20, in the human's words: "I accept all 8 in A,"</t>
        </is>
      </c>
      <c r="AJ11" s="6" t="inlineStr">
        <is>
          <t>repo: ops/SAFEGUARDS.md 'Known bypasses'</t>
        </is>
      </c>
      <c r="AK11" s="6" t="inlineStr"/>
      <c r="AL11" s="6" t="inlineStr">
        <is>
          <t>S03</t>
        </is>
      </c>
    </row>
    <row r="12" ht="103" customHeight="1">
      <c r="A12" s="5" t="inlineStr">
        <is>
          <t>N-10</t>
        </is>
      </c>
      <c r="B12" s="6" t="inlineStr">
        <is>
          <t>The v4 brief is tokens-only and lacks both pending scope questions, while STATE says it keeps them open.</t>
        </is>
      </c>
      <c r="C12" s="6" t="inlineStr">
        <is>
          <t>SUPERSEDED / MERGED</t>
        </is>
      </c>
      <c r="D12" s="6" t="inlineStr">
        <is>
          <t>No</t>
        </is>
      </c>
      <c r="E12" s="6" t="inlineStr"/>
      <c r="F12" s="6" t="inlineStr"/>
      <c r="G12" s="8" t="inlineStr">
        <is>
          <t>RECORDS-AT-HAND</t>
        </is>
      </c>
      <c r="H12" s="6" t="inlineStr">
        <is>
          <t>K2 Objective &amp; accounting</t>
        </is>
      </c>
      <c r="I12" s="6" t="inlineStr">
        <is>
          <t>G2 Before the affected pilot/arm</t>
        </is>
      </c>
      <c r="J12" s="6" t="inlineStr">
        <is>
          <t>High</t>
        </is>
      </c>
      <c r="K12" s="6" t="n">
        <v>20</v>
      </c>
      <c r="L12" s="6" t="inlineStr">
        <is>
          <t>W0 Orient (no AUTH)</t>
        </is>
      </c>
      <c r="M12" s="6" t="inlineStr">
        <is>
          <t>S04</t>
        </is>
      </c>
      <c r="N12" s="6" t="inlineStr">
        <is>
          <t>Lead drafts, you approve</t>
        </is>
      </c>
      <c r="O12" s="6" t="inlineStr">
        <is>
          <t>Closed; moved to Archive</t>
        </is>
      </c>
      <c r="P12" s="6" t="inlineStr">
        <is>
          <t>Answered (see basis)</t>
        </is>
      </c>
      <c r="Q12" s="6" t="inlineStr">
        <is>
          <t>Record fix</t>
        </is>
      </c>
      <c r="R12" s="6" t="inlineStr">
        <is>
          <t>Item</t>
        </is>
      </c>
      <c r="S12" s="6" t="inlineStr"/>
      <c r="T12" s="6" t="inlineStr">
        <is>
          <t>Joaa wrote 'You are missing two key points' (billing token types with caching; memory). The v4 brief is tokens-only and lacks both pending scope questions, while STATE says it keeps them open; the prepared revision (v4-04 section 8) has not been applied.</t>
        </is>
      </c>
      <c r="U12" s="6" t="inlineStr">
        <is>
          <t>Brief has zero mentions of memory; revision prepared in v4-04 section 8, not applied. 2026-10-21 (AUTH-018): the brief was the material for the 21 October meeting; in that meeting the two points it lacked were asked and answered: memory scope (N-2, closed) and what to minimise (C-D02, N-1: the supervisor speaks of money cost per turn, tokens and response time averaged over turns).</t>
        </is>
      </c>
      <c r="V12" s="6" t="inlineStr">
        <is>
          <t>Superseded by the 21 October meeting.</t>
        </is>
      </c>
      <c r="W12" s="6" t="inlineStr"/>
      <c r="X12" s="6" t="inlineStr">
        <is>
          <t>C-D02</t>
        </is>
      </c>
      <c r="Y12" s="6" t="inlineStr">
        <is>
          <t>Q-J03</t>
        </is>
      </c>
      <c r="Z12" s="6" t="inlineStr"/>
      <c r="AA12" s="6" t="inlineStr">
        <is>
          <t>K4 Memory &amp; sessions</t>
        </is>
      </c>
      <c r="AB12" s="6" t="inlineStr"/>
      <c r="AC12" s="6" t="inlineStr">
        <is>
          <t>n/a (new)</t>
        </is>
      </c>
      <c r="AD12" s="6" t="inlineStr">
        <is>
          <t>NEW</t>
        </is>
      </c>
      <c r="AE12" s="6" t="inlineStr">
        <is>
          <t>2026-10-21</t>
        </is>
      </c>
      <c r="AF12" s="6" t="inlineStr">
        <is>
          <t>INT-T-002 (requirements/intake/2026-10-21-supervisor-meeting-2026-10-21-notes-and-transcript.md); mapping design/ledger/notes/MEETINGS-MAPPING-20261021.md checked line by line by FND-0035 and FND-0036; REGISTER section H</t>
        </is>
      </c>
      <c r="AG12" s="6" t="inlineStr"/>
      <c r="AH12" s="6" t="inlineStr">
        <is>
          <t>No</t>
        </is>
      </c>
      <c r="AI12" s="6" t="inlineStr">
        <is>
          <t>Superseded 2026-10-21: the meeting took place; the questions the brief lacked were put and answered (see N-2, C-D02, N-1).</t>
        </is>
      </c>
      <c r="AJ12" s="6" t="inlineStr">
        <is>
          <t>Review 19 Oct (section 5)</t>
        </is>
      </c>
      <c r="AK12" s="6" t="inlineStr">
        <is>
          <t>Joaa 19 Oct 12:15 (two key points missing)</t>
        </is>
      </c>
      <c r="AL12" s="6" t="inlineStr">
        <is>
          <t>S04</t>
        </is>
      </c>
    </row>
    <row r="13" ht="78" customHeight="1">
      <c r="A13" s="5" t="inlineStr">
        <is>
          <t>C-D01/REFERENT</t>
        </is>
      </c>
      <c r="B13" s="6" t="inlineStr">
        <is>
          <t>Referent of 'What you have found and narrowed down is some methodologies'</t>
        </is>
      </c>
      <c r="C13" s="6" t="inlineStr">
        <is>
          <t>CLOSED - BY DECISION</t>
        </is>
      </c>
      <c r="D13" s="6" t="inlineStr">
        <is>
          <t>No</t>
        </is>
      </c>
      <c r="E13" s="6" t="inlineStr"/>
      <c r="F13" s="6" t="inlineStr"/>
      <c r="G13" s="10" t="inlineStr">
        <is>
          <t>JOAA-DECISION</t>
        </is>
      </c>
      <c r="H13" s="6" t="inlineStr">
        <is>
          <t>K1 Scope: what Project A is</t>
        </is>
      </c>
      <c r="I13" s="6" t="inlineStr">
        <is>
          <t>G1 Before any implementation</t>
        </is>
      </c>
      <c r="J13" s="6" t="inlineStr">
        <is>
          <t>High</t>
        </is>
      </c>
      <c r="K13" s="6" t="n">
        <v>21</v>
      </c>
      <c r="L13" s="6" t="inlineStr">
        <is>
          <t>W1 Decide</t>
        </is>
      </c>
      <c r="M13" s="6" t="inlineStr">
        <is>
          <t>S05</t>
        </is>
      </c>
      <c r="N13" s="6" t="inlineStr">
        <is>
          <t>Joaa</t>
        </is>
      </c>
      <c r="O13" s="6" t="inlineStr">
        <is>
          <t>Closed; moved to Archive</t>
        </is>
      </c>
      <c r="P13" s="6" t="inlineStr">
        <is>
          <t>No</t>
        </is>
      </c>
      <c r="Q13" s="6" t="inlineStr">
        <is>
          <t>Source check</t>
        </is>
      </c>
      <c r="R13" s="6" t="inlineStr">
        <is>
          <t>Sub-item</t>
        </is>
      </c>
      <c r="S13" s="6" t="inlineStr">
        <is>
          <t>C-D01</t>
        </is>
      </c>
      <c r="T13" s="6" t="inlineStr">
        <is>
          <t>REQ-O14-02: who 'you' is and which findings are meant are not stated; no inference about previous-thesis work is permitted.</t>
        </is>
      </c>
      <c r="U13" s="6" t="inlineStr">
        <is>
          <t>Open. 2026-10-21 (AUTH-018): the full sentence: 'What you have found and narrowed down is some methodologies.' followed by 'So, we have some mechanism families' (INT-T-003 L159-L161), after the student's PDF of mechanism families (L117-L146).</t>
        </is>
      </c>
      <c r="V13" s="6" t="inlineStr">
        <is>
          <t>Closed 2026-10-21: the supervisor's words clarify it.</t>
        </is>
      </c>
      <c r="W13" s="6" t="inlineStr"/>
      <c r="X13" s="6" t="inlineStr"/>
      <c r="Y13" s="6" t="inlineStr">
        <is>
          <t>Q-J23</t>
        </is>
      </c>
      <c r="Z13" s="6" t="inlineStr"/>
      <c r="AA13" s="6" t="inlineStr"/>
      <c r="AB13" s="6" t="inlineStr">
        <is>
          <t>DEC</t>
        </is>
      </c>
      <c r="AC13" s="6" t="inlineStr">
        <is>
          <t>n/a (sub-item)</t>
        </is>
      </c>
      <c r="AD13" s="6" t="inlineStr">
        <is>
          <t>NEW (repo sweep)</t>
        </is>
      </c>
      <c r="AE13" s="6" t="inlineStr">
        <is>
          <t>2026-10-21</t>
        </is>
      </c>
      <c r="AF13" s="6" t="inlineStr">
        <is>
          <t>INT-T-003 (requirements/intake/2026-10-21-supervisor-meeting-2026-10-14-notes-and-transcript.md); mapping design/ledger/notes/MEETINGS-MAPPING-20261021.md checked line by line by FND-0035 and FND-0036; REGISTER section H</t>
        </is>
      </c>
      <c r="AG13" s="6" t="inlineStr"/>
      <c r="AH13" s="6" t="inlineStr">
        <is>
          <t>No</t>
        </is>
      </c>
      <c r="AI13" s="6" t="inlineStr">
        <is>
          <t>Closed 2026-10-21: 'you' is the student and the findings are the mechanism families he had narrowed down.</t>
        </is>
      </c>
      <c r="AJ13" s="6" t="inlineStr">
        <is>
          <t>repo: REGISTER / COMPARISON</t>
        </is>
      </c>
      <c r="AK13" s="6" t="inlineStr">
        <is>
          <t>REQ-O14-02</t>
        </is>
      </c>
      <c r="AL13" s="6" t="inlineStr">
        <is>
          <t>S01</t>
        </is>
      </c>
    </row>
    <row r="14" ht="240.5" customHeight="1">
      <c r="A14" s="5" t="inlineStr">
        <is>
          <t>N-2</t>
        </is>
      </c>
      <c r="B14" s="6" t="inlineStr">
        <is>
          <t>Memory scope: tool-usage memory only (per user or role) vs also conversation storage/summarisation vs full ...</t>
        </is>
      </c>
      <c r="C14" s="6" t="inlineStr">
        <is>
          <t>CLOSED - BY DECISION</t>
        </is>
      </c>
      <c r="D14" s="6" t="inlineStr">
        <is>
          <t>No</t>
        </is>
      </c>
      <c r="E14" s="6" t="inlineStr"/>
      <c r="F14" s="6" t="inlineStr"/>
      <c r="G14" s="10" t="inlineStr">
        <is>
          <t>JOAA-DECISION</t>
        </is>
      </c>
      <c r="H14" s="6" t="inlineStr">
        <is>
          <t>K4 Memory &amp; sessions</t>
        </is>
      </c>
      <c r="I14" s="6" t="inlineStr">
        <is>
          <t>G2 Before the affected pilot/arm</t>
        </is>
      </c>
      <c r="J14" s="6" t="inlineStr">
        <is>
          <t>High</t>
        </is>
      </c>
      <c r="K14" s="6" t="n">
        <v>29</v>
      </c>
      <c r="L14" s="6" t="inlineStr">
        <is>
          <t>W1 Decide</t>
        </is>
      </c>
      <c r="M14" s="6" t="inlineStr">
        <is>
          <t>S06</t>
        </is>
      </c>
      <c r="N14" s="6" t="inlineStr">
        <is>
          <t>Joaa</t>
        </is>
      </c>
      <c r="O14" s="6" t="inlineStr">
        <is>
          <t>Closed; moved to Archive</t>
        </is>
      </c>
      <c r="P14" s="6" t="inlineStr">
        <is>
          <t>Partly</t>
        </is>
      </c>
      <c r="Q14" s="6" t="inlineStr">
        <is>
          <t>Decision</t>
        </is>
      </c>
      <c r="R14" s="6" t="inlineStr">
        <is>
          <t>Item</t>
        </is>
      </c>
      <c r="S14" s="6" t="inlineStr"/>
      <c r="T14"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14" s="6" t="inlineStr">
        <is>
          <t>Pending; literature check does not support 'tool memory only' over conversation memory (neither study compares them). 2026-10-21 (AUTH-018): the supervisor answered the memory-scope question on 21 October: 'that is a different question actually. So it depends on what you are building' (INT-T-002 L146); if the whole context management is the thesis, everything is needed, otherwise one may choose (L212-L214); then 'You cannot do everything but you can do only memory and tool calls. Forget about knowledge. Forget about everything else. And memory should help tool calls' (L223-L225) and 'just focus on two things that is tools and memory because they comes hand in hand' (L390). What memory holds, in his example: the questions and answers of tool calls (L245) and a three-to-four-line summary of earlier interaction, of which the relevant part is injected first and more given when asked (L375-L384).</t>
        </is>
      </c>
      <c r="V14" s="6" t="inlineStr">
        <is>
          <t>Closed 2026-10-21: criterion 'scope stated' met in the supervisor's words.</t>
        </is>
      </c>
      <c r="W14" s="6" t="inlineStr">
        <is>
          <t>N-9</t>
        </is>
      </c>
      <c r="X14" s="6" t="inlineStr">
        <is>
          <t>C-D07</t>
        </is>
      </c>
      <c r="Y14" s="6" t="inlineStr">
        <is>
          <t>Q-J05, Q-J06, Q-J25, Q-J27</t>
        </is>
      </c>
      <c r="Z14" s="6" t="inlineStr"/>
      <c r="AA14" s="6" t="inlineStr">
        <is>
          <t>K1 Scope: what Project A is</t>
        </is>
      </c>
      <c r="AB14" s="6" t="inlineStr"/>
      <c r="AC14" s="6" t="inlineStr">
        <is>
          <t>n/a (new)</t>
        </is>
      </c>
      <c r="AD14" s="6" t="inlineStr">
        <is>
          <t>NEW</t>
        </is>
      </c>
      <c r="AE14" s="6" t="inlineStr">
        <is>
          <t>2026-10-21</t>
        </is>
      </c>
      <c r="AF14" s="6" t="inlineStr">
        <is>
          <t>INT-T-002 (requirements/intake/2026-10-21-supervisor-meeting-2026-10-21-notes-and-transcript.md); mapping design/ledger/notes/MEETINGS-MAPPING-20261021.md checked line by line by FND-0035 and FND-0036; REGISTER section H</t>
        </is>
      </c>
      <c r="AG14" s="6" t="inlineStr"/>
      <c r="AH14" s="6" t="inlineStr">
        <is>
          <t>No</t>
        </is>
      </c>
      <c r="AI14" s="6" t="inlineStr">
        <is>
          <t>Closed 2026-10-21: scope = memory and tool calls, memory in service of tool calls; conversation memory enters as a short summary; knowledge and other context out (supervisor, 21 Oct).</t>
        </is>
      </c>
      <c r="AJ14" s="6" t="inlineStr">
        <is>
          <t>Review 19 Oct (section 5)</t>
        </is>
      </c>
      <c r="AK14" s="6" t="inlineStr">
        <is>
          <t>CH-0063, WhatsApp 19 Oct (memory), Joaa 19 Oct 12:15 (contextual memory)</t>
        </is>
      </c>
      <c r="AL14" s="6" t="inlineStr">
        <is>
          <t>S04</t>
        </is>
      </c>
    </row>
    <row r="15" ht="178" customHeight="1">
      <c r="A15" s="5" t="inlineStr">
        <is>
          <t>N-3</t>
        </is>
      </c>
      <c r="B15" s="6" t="inlineStr">
        <is>
          <t>Cost horizon: one run, several turns, or across sessions; session count and gap; is cache expiry between se...</t>
        </is>
      </c>
      <c r="C15" s="6" t="inlineStr">
        <is>
          <t>CLOSED - BY DECISION</t>
        </is>
      </c>
      <c r="D15" s="6" t="inlineStr">
        <is>
          <t>No</t>
        </is>
      </c>
      <c r="E15" s="6" t="inlineStr"/>
      <c r="F15" s="6" t="inlineStr"/>
      <c r="G15" s="10" t="inlineStr">
        <is>
          <t>JOAA-DECISION</t>
        </is>
      </c>
      <c r="H15" s="6" t="inlineStr">
        <is>
          <t>K2 Objective &amp; accounting</t>
        </is>
      </c>
      <c r="I15" s="6" t="inlineStr">
        <is>
          <t>G2 Before the affected pilot/arm</t>
        </is>
      </c>
      <c r="J15" s="6" t="inlineStr">
        <is>
          <t>High</t>
        </is>
      </c>
      <c r="K15" s="6" t="n">
        <v>30</v>
      </c>
      <c r="L15" s="6" t="inlineStr">
        <is>
          <t>W1 Decide</t>
        </is>
      </c>
      <c r="M15" s="6" t="inlineStr">
        <is>
          <t>S06</t>
        </is>
      </c>
      <c r="N15" s="6" t="inlineStr">
        <is>
          <t>Joaa</t>
        </is>
      </c>
      <c r="O15" s="6" t="inlineStr">
        <is>
          <t>Closed; moved to Archive</t>
        </is>
      </c>
      <c r="P15" s="6" t="inlineStr">
        <is>
          <t>Partly</t>
        </is>
      </c>
      <c r="Q15" s="6" t="inlineStr">
        <is>
          <t>Decision</t>
        </is>
      </c>
      <c r="R15" s="6" t="inlineStr">
        <is>
          <t>Item</t>
        </is>
      </c>
      <c r="S15" s="6" t="inlineStr"/>
      <c r="T15" s="6" t="inlineStr">
        <is>
          <t>Joaa mentioned a user who 'leave the chat and come back to it after several hours or days' (S-J-002). Cost horizon: one run, several turns, or across sessions; session count and gap; is cache expiry between sessions in scope?</t>
        </is>
      </c>
      <c r="U15" s="6" t="inlineStr">
        <is>
          <t>v4 lists trajectory length only; session count and gap are not regime variables yet. 2026-10-21 (AUTH-018): horizon in the supervisor's words: savings are judged on average over many turns, a few failing turns may cost more ('let's say there are 100 turns and let's say three of those turns are failing ... on average for the 97 times you are reducing token', INT-T-002 L306-L320); returning after a gap is in scope ('tomorrow I come back to the same agent ... the cost is double ... this can be summarized into a very small paragraph', L369-L384); and on 2 October 'You need to save token for a number of turns' (INT-T-004 E778-E790).</t>
        </is>
      </c>
      <c r="V15" s="6" t="inlineStr">
        <is>
          <t>Closed 2026-10-21: horizon stated; session variables in scope, to be written into the contract.</t>
        </is>
      </c>
      <c r="W15" s="6" t="inlineStr">
        <is>
          <t>C-D02</t>
        </is>
      </c>
      <c r="X15" s="6" t="inlineStr">
        <is>
          <t>N-2</t>
        </is>
      </c>
      <c r="Y15" s="6" t="inlineStr">
        <is>
          <t>Q-J04, Q-J05, Q-J25</t>
        </is>
      </c>
      <c r="Z15" s="6" t="inlineStr">
        <is>
          <t>USER-DECISION</t>
        </is>
      </c>
      <c r="AA15" s="6" t="inlineStr">
        <is>
          <t>K4 Memory &amp; sessions</t>
        </is>
      </c>
      <c r="AB15" s="6" t="inlineStr"/>
      <c r="AC15" s="6" t="inlineStr">
        <is>
          <t>n/a (new)</t>
        </is>
      </c>
      <c r="AD15" s="6" t="inlineStr">
        <is>
          <t>NEW</t>
        </is>
      </c>
      <c r="AE15" s="6" t="inlineStr">
        <is>
          <t>2026-10-21</t>
        </is>
      </c>
      <c r="AF15" s="6" t="inlineStr">
        <is>
          <t>INT-T-002 (requirements/intake/2026-10-21-supervisor-meeting-2026-10-21-notes-and-transcript.md); INT-T-004 (requirements/intake/2026-10-21-supervisor-meeting-2026-10-02-excerpts.md); mapping design/ledger/notes/MEETINGS-MAPPING-20261021.md checked line by line by FND-0035 and FND-0036; REGISTER section H</t>
        </is>
      </c>
      <c r="AG15" s="6" t="inlineStr"/>
      <c r="AH15" s="6" t="inlineStr">
        <is>
          <t>No</t>
        </is>
      </c>
      <c r="AI15" s="6" t="inlineStr">
        <is>
          <t>Closed 2026-10-21: horizon = many turns, averaged, including a return after a gap through a summarised memory; session variables (gap, number of returns) go into the evaluation contract (C-D08/EC1).</t>
        </is>
      </c>
      <c r="AJ15" s="6" t="inlineStr">
        <is>
          <t>Review 19 Oct (section 5)</t>
        </is>
      </c>
      <c r="AK15" s="6" t="inlineStr">
        <is>
          <t>WhatsApp 19 Oct (days later), Joaa 19 Oct 12:15 (hours or days)</t>
        </is>
      </c>
      <c r="AL15" s="6" t="inlineStr">
        <is>
          <t>S04</t>
        </is>
      </c>
    </row>
    <row r="16" ht="103" customHeight="1">
      <c r="A16" s="5" t="inlineStr">
        <is>
          <t>C-D03/STAGES</t>
        </is>
      </c>
      <c r="B16" s="6" t="inlineStr">
        <is>
          <t>What does 'which one applies at which stage' mean; what are 'stages' (policy or evaluation)?</t>
        </is>
      </c>
      <c r="C16" s="6" t="inlineStr">
        <is>
          <t>CLOSED - BY DECISION</t>
        </is>
      </c>
      <c r="D16" s="6" t="inlineStr">
        <is>
          <t>No</t>
        </is>
      </c>
      <c r="E16" s="6" t="inlineStr"/>
      <c r="F16" s="6" t="inlineStr"/>
      <c r="G16" s="10" t="inlineStr">
        <is>
          <t>JOAA-DECISION</t>
        </is>
      </c>
      <c r="H16" s="6" t="inlineStr">
        <is>
          <t>K3 Policy form</t>
        </is>
      </c>
      <c r="I16" s="6" t="inlineStr">
        <is>
          <t>G2 Before the affected pilot/arm</t>
        </is>
      </c>
      <c r="J16" s="6" t="inlineStr">
        <is>
          <t>High</t>
        </is>
      </c>
      <c r="K16" s="6" t="n">
        <v>38</v>
      </c>
      <c r="L16" s="6" t="inlineStr">
        <is>
          <t>W1 Decide</t>
        </is>
      </c>
      <c r="M16" s="6" t="inlineStr">
        <is>
          <t>S07</t>
        </is>
      </c>
      <c r="N16" s="6" t="inlineStr">
        <is>
          <t>Joaa</t>
        </is>
      </c>
      <c r="O16" s="6" t="inlineStr">
        <is>
          <t>Closed; moved to Archive</t>
        </is>
      </c>
      <c r="P16" s="6" t="inlineStr">
        <is>
          <t>No</t>
        </is>
      </c>
      <c r="Q16" s="6" t="inlineStr">
        <is>
          <t>Decision</t>
        </is>
      </c>
      <c r="R16" s="6" t="inlineStr">
        <is>
          <t>Sub-item</t>
        </is>
      </c>
      <c r="S16" s="6" t="inlineStr">
        <is>
          <t>C-D03</t>
        </is>
      </c>
      <c r="T16" s="6" t="inlineStr">
        <is>
          <t>REQ-O14-11 (class unclear): the antecedent of 'which one' and the meaning of 'stages' are not in the excerpt; 'time' in 'which one works at which time' is also undefined (REQ-O14-06).</t>
        </is>
      </c>
      <c r="U16" s="6" t="inlineStr">
        <is>
          <t>Open. 2026-10-21 (AUTH-018): 'you have to figure out which one applies at which stage. You will have different stages' (INT-T-003 L306-L308) and 'There are steps. At each step you have to ask yourself one question ... stage one, stage two, stage three, stage four. I don't know how many stage you have but you have to find find those questions and the stages' (L390).</t>
        </is>
      </c>
      <c r="V16" s="6" t="inlineStr">
        <is>
          <t>Closed 2026-10-21: answer recorded in his words.</t>
        </is>
      </c>
      <c r="W16" s="6" t="inlineStr"/>
      <c r="X16" s="6" t="inlineStr"/>
      <c r="Y16" s="6" t="inlineStr">
        <is>
          <t>Q-J10</t>
        </is>
      </c>
      <c r="Z16" s="6" t="inlineStr"/>
      <c r="AA16" s="6" t="inlineStr"/>
      <c r="AB16" s="6" t="inlineStr">
        <is>
          <t>DEC</t>
        </is>
      </c>
      <c r="AC16" s="6" t="inlineStr">
        <is>
          <t>n/a (sub-item)</t>
        </is>
      </c>
      <c r="AD16" s="6" t="inlineStr">
        <is>
          <t>NEW (repo sweep)</t>
        </is>
      </c>
      <c r="AE16" s="6" t="inlineStr">
        <is>
          <t>2026-10-21</t>
        </is>
      </c>
      <c r="AF16" s="6" t="inlineStr">
        <is>
          <t>INT-T-003 (requirements/intake/2026-10-21-supervisor-meeting-2026-10-14-notes-and-transcript.md); mapping design/ledger/notes/MEETINGS-MAPPING-20261021.md checked line by line by FND-0035 and FND-0036; REGISTER section H</t>
        </is>
      </c>
      <c r="AG16" s="6" t="inlineStr"/>
      <c r="AH16" s="6" t="inlineStr">
        <is>
          <t>No</t>
        </is>
      </c>
      <c r="AI16" s="6" t="inlineStr">
        <is>
          <t>Closed 2026-10-21: the stages are stages of the policy, each with one filtering question; their number is open.</t>
        </is>
      </c>
      <c r="AJ16" s="6" t="inlineStr">
        <is>
          <t>repo: REGISTER / COMPARISON</t>
        </is>
      </c>
      <c r="AK16" s="6" t="inlineStr">
        <is>
          <t>REQ-O14-11, REQ-O14-06</t>
        </is>
      </c>
      <c r="AL16" s="6" t="inlineStr">
        <is>
          <t>S05</t>
        </is>
      </c>
    </row>
    <row r="17" ht="128" customHeight="1">
      <c r="A17" s="5" t="inlineStr">
        <is>
          <t>C-D04</t>
        </is>
      </c>
      <c r="B17" s="6" t="inlineStr">
        <is>
          <t>Must each stage save tokens, or only the whole trajectory ('pays' per stage vs per trajectory), and does re...</t>
        </is>
      </c>
      <c r="C17" s="6" t="inlineStr">
        <is>
          <t>CLOSED - BY DECISION</t>
        </is>
      </c>
      <c r="D17" s="6" t="inlineStr">
        <is>
          <t>No</t>
        </is>
      </c>
      <c r="E17" s="6" t="inlineStr"/>
      <c r="F17" s="6" t="inlineStr"/>
      <c r="G17" s="10" t="inlineStr">
        <is>
          <t>JOAA-DECISION</t>
        </is>
      </c>
      <c r="H17" s="6" t="inlineStr">
        <is>
          <t>K3 Policy form</t>
        </is>
      </c>
      <c r="I17" s="6" t="inlineStr">
        <is>
          <t>G2 Before the affected pilot/arm</t>
        </is>
      </c>
      <c r="J17" s="6" t="inlineStr">
        <is>
          <t>High</t>
        </is>
      </c>
      <c r="K17" s="6" t="n">
        <v>41</v>
      </c>
      <c r="L17" s="6" t="inlineStr">
        <is>
          <t>W1 Decide</t>
        </is>
      </c>
      <c r="M17" s="6" t="inlineStr">
        <is>
          <t>S07</t>
        </is>
      </c>
      <c r="N17" s="6" t="inlineStr">
        <is>
          <t>Joaa</t>
        </is>
      </c>
      <c r="O17" s="6" t="inlineStr">
        <is>
          <t>Closed; moved to Archive</t>
        </is>
      </c>
      <c r="P17" s="6" t="inlineStr">
        <is>
          <t>Partly</t>
        </is>
      </c>
      <c r="Q17" s="6" t="inlineStr">
        <is>
          <t>Decision</t>
        </is>
      </c>
      <c r="R17" s="6" t="inlineStr">
        <is>
          <t>Item</t>
        </is>
      </c>
      <c r="S17" s="6" t="inlineStr"/>
      <c r="T17" s="6" t="inlineStr">
        <is>
          <t>Must each stage save tokens, or only the whole trajectory ('pays' per stage vs per trajectory), and does re-adding a tool change that?</t>
        </is>
      </c>
      <c r="U17" s="6" t="inlineStr">
        <is>
          <t>Turn horizon: 2 Oct 'save token for a number of turns' (second-hand); stage rule unchosen (S4D lists five readings). 2026-10-21 (AUTH-018): 'So each step is there to save some token' (INT-T-004 E774) and 'it's not like you have to save token for each turn. You need to save token for a number of turns' ... one turn rising from 2,000 to 4,000 tokens 'doesn't matter' (E778-E790); failure recovery may cost more on a few turns (INT-T-002 L302-L320).</t>
        </is>
      </c>
      <c r="V17" s="6" t="inlineStr">
        <is>
          <t>Closed 2026-10-21: one reading of 'pays' chosen in the supervisor's words.</t>
        </is>
      </c>
      <c r="W17" s="6" t="inlineStr">
        <is>
          <t>C-D02</t>
        </is>
      </c>
      <c r="X17" s="6" t="inlineStr">
        <is>
          <t>C-D03</t>
        </is>
      </c>
      <c r="Y17" s="6" t="inlineStr">
        <is>
          <t>Q-J07</t>
        </is>
      </c>
      <c r="Z17" s="6" t="inlineStr"/>
      <c r="AA17" s="6" t="inlineStr">
        <is>
          <t>K2 Objective &amp; accounting</t>
        </is>
      </c>
      <c r="AB17" s="6" t="inlineStr">
        <is>
          <t>DEC</t>
        </is>
      </c>
      <c r="AC17" s="6" t="inlineStr">
        <is>
          <t>PARTLY ANSWERED - OPEN</t>
        </is>
      </c>
      <c r="AD17" s="6" t="inlineStr">
        <is>
          <t>UNCHANGED</t>
        </is>
      </c>
      <c r="AE17" s="6" t="inlineStr">
        <is>
          <t>2026-10-21</t>
        </is>
      </c>
      <c r="AF17" s="6" t="inlineStr">
        <is>
          <t>INT-T-004 (requirements/intake/2026-10-21-supervisor-meeting-2026-10-02-excerpts.md); INT-T-002 (requirements/intake/2026-10-21-supervisor-meeting-2026-10-21-notes-and-transcript.md); mapping design/ledger/notes/MEETINGS-MAPPING-20261021.md checked line by line by FND-0035 and FND-0036; REGISTER section H</t>
        </is>
      </c>
      <c r="AG17" s="6" t="inlineStr"/>
      <c r="AH17" s="6" t="inlineStr">
        <is>
          <t>No</t>
        </is>
      </c>
      <c r="AI17" s="6" t="inlineStr">
        <is>
          <t>Closed 2026-10-21: each stage is meant to save tokens, and the saving is judged over a number of turns, not per turn (supervisor, 2 and 21 Oct).</t>
        </is>
      </c>
      <c r="AJ17" s="6" t="inlineStr">
        <is>
          <t>SRC-11 canonical</t>
        </is>
      </c>
      <c r="AK17" s="6" t="inlineStr">
        <is>
          <t>REGISTER G.3 Q4, COMPARISON C2, CAVEATS 5, SRC-06 D04</t>
        </is>
      </c>
      <c r="AL17" s="6" t="inlineStr">
        <is>
          <t>S05</t>
        </is>
      </c>
    </row>
    <row r="18" ht="153" customHeight="1">
      <c r="A18" s="5" t="inlineStr">
        <is>
          <t>C-D06</t>
        </is>
      </c>
      <c r="B18" s="6" t="inlineStr">
        <is>
          <t>Is a conditional or negative result enough as findings?</t>
        </is>
      </c>
      <c r="C18" s="6" t="inlineStr">
        <is>
          <t>CLOSED - BY DECISION</t>
        </is>
      </c>
      <c r="D18" s="6" t="inlineStr">
        <is>
          <t>No</t>
        </is>
      </c>
      <c r="E18" s="6" t="inlineStr"/>
      <c r="F18" s="6" t="inlineStr"/>
      <c r="G18" s="10" t="inlineStr">
        <is>
          <t>JOAA-DECISION</t>
        </is>
      </c>
      <c r="H18" s="6" t="inlineStr">
        <is>
          <t>K5 Evaluation contract</t>
        </is>
      </c>
      <c r="I18" s="6" t="inlineStr">
        <is>
          <t>G3 Before confirmatory study</t>
        </is>
      </c>
      <c r="J18" s="6" t="inlineStr">
        <is>
          <t>Normal</t>
        </is>
      </c>
      <c r="K18" s="6" t="n">
        <v>49</v>
      </c>
      <c r="L18" s="6" t="inlineStr">
        <is>
          <t>W1 Decide</t>
        </is>
      </c>
      <c r="M18" s="6" t="inlineStr">
        <is>
          <t>S08</t>
        </is>
      </c>
      <c r="N18" s="6" t="inlineStr">
        <is>
          <t>Joaa</t>
        </is>
      </c>
      <c r="O18" s="6" t="inlineStr">
        <is>
          <t>Closed; moved to Archive</t>
        </is>
      </c>
      <c r="P18" s="6" t="inlineStr">
        <is>
          <t>No</t>
        </is>
      </c>
      <c r="Q18" s="6" t="inlineStr">
        <is>
          <t>Decision</t>
        </is>
      </c>
      <c r="R18" s="6" t="inlineStr">
        <is>
          <t>Item</t>
        </is>
      </c>
      <c r="S18" s="6" t="inlineStr"/>
      <c r="T18" s="6" t="inlineStr">
        <is>
          <t>Is a conditional or negative result enough as findings? Is a specific contribution (regime map) sufficient?</t>
        </is>
      </c>
      <c r="U18" s="6" t="inlineStr">
        <is>
          <t>Brief Q5 asks it. SRC-11's 'negative result can be a thesis' is not in the admitted excerpts (E3 only says 'some kind of findings'). 2026-10-21 (AUTH-018): 'when you submit your thesis even if it's not that novel even if the result is negative it's a thesis ... The problem is can you write a paper and get it accepted. So for that have to do it systematically' (INT-T-003 L363-L365); regime-conditional findings are the kind he describes on 2 October ('retrieval works but for these cases retrieval doesn't work', INT-T-004 E222-E228).</t>
        </is>
      </c>
      <c r="V18" s="6" t="inlineStr">
        <is>
          <t>Closed 2026-10-21: answer to brief Q5 in his words.</t>
        </is>
      </c>
      <c r="W18" s="6" t="inlineStr">
        <is>
          <t>C-D01</t>
        </is>
      </c>
      <c r="X18" s="6" t="inlineStr"/>
      <c r="Y18" s="6" t="inlineStr">
        <is>
          <t>Q-J01, Q-J08, Q-J15, Q-U19</t>
        </is>
      </c>
      <c r="Z18" s="6" t="inlineStr"/>
      <c r="AA18" s="6" t="inlineStr"/>
      <c r="AB18" s="6" t="inlineStr">
        <is>
          <t>DEC+DATA</t>
        </is>
      </c>
      <c r="AC18" s="6" t="inlineStr">
        <is>
          <t>PARTLY ANSWERED - OPEN</t>
        </is>
      </c>
      <c r="AD18" s="6" t="inlineStr">
        <is>
          <t>UNCHANGED</t>
        </is>
      </c>
      <c r="AE18" s="6" t="inlineStr">
        <is>
          <t>2026-10-21</t>
        </is>
      </c>
      <c r="AF18" s="6" t="inlineStr">
        <is>
          <t>INT-T-003 (requirements/intake/2026-10-21-supervisor-meeting-2026-10-14-notes-and-transcript.md); INT-T-004 (requirements/intake/2026-10-21-supervisor-meeting-2026-10-02-excerpts.md); mapping design/ledger/notes/MEETINGS-MAPPING-20261021.md checked line by line by FND-0035 and FND-0036; REGISTER section H</t>
        </is>
      </c>
      <c r="AG18" s="6" t="inlineStr"/>
      <c r="AH18" s="6" t="inlineStr">
        <is>
          <t>No</t>
        </is>
      </c>
      <c r="AI18" s="6" t="inlineStr">
        <is>
          <t>Closed 2026-10-21: a negative or conditional result is enough for the thesis; a paper needs a systematic study.</t>
        </is>
      </c>
      <c r="AJ18" s="6" t="inlineStr">
        <is>
          <t>SRC-11 canonical</t>
        </is>
      </c>
      <c r="AK18" s="6" t="inlineStr">
        <is>
          <t>SRC-06 D07, SRC-07 07, REQ-O14-05</t>
        </is>
      </c>
      <c r="AL18" s="6" t="inlineStr">
        <is>
          <t>S08</t>
        </is>
      </c>
    </row>
    <row r="19" ht="278" customHeight="1">
      <c r="A19" s="5" t="inlineStr">
        <is>
          <t>N-5</t>
        </is>
      </c>
      <c r="B19" s="6" t="inlineStr">
        <is>
          <t>What does 'time-based cache charge' mean per provider?</t>
        </is>
      </c>
      <c r="C19" s="6" t="inlineStr">
        <is>
          <t>CLOSED - BY EVIDENCE</t>
        </is>
      </c>
      <c r="D19" s="6" t="inlineStr">
        <is>
          <t>No</t>
        </is>
      </c>
      <c r="E19" s="6" t="inlineStr"/>
      <c r="F19" s="6" t="inlineStr"/>
      <c r="G19" s="8" t="inlineStr">
        <is>
          <t>RECORDS-AT-HAND</t>
        </is>
      </c>
      <c r="H19" s="6" t="inlineStr">
        <is>
          <t>K15 Expiring provider facts</t>
        </is>
      </c>
      <c r="I19" s="6" t="inlineStr">
        <is>
          <t>G2 Before the affected pilot/arm</t>
        </is>
      </c>
      <c r="J19" s="6" t="inlineStr">
        <is>
          <t>High</t>
        </is>
      </c>
      <c r="K19" s="6" t="n">
        <v>73</v>
      </c>
      <c r="L19" s="6" t="inlineStr">
        <is>
          <t>W2 Desk work (no model runs)</t>
        </is>
      </c>
      <c r="M19" s="6" t="inlineStr">
        <is>
          <t>S10</t>
        </is>
      </c>
      <c r="N19" s="6" t="inlineStr">
        <is>
          <t>Lead</t>
        </is>
      </c>
      <c r="O19" s="6" t="inlineStr">
        <is>
          <t>Closed; moved to Archive</t>
        </is>
      </c>
      <c r="P19" s="6" t="inlineStr">
        <is>
          <t>Answered (see basis)</t>
        </is>
      </c>
      <c r="Q19" s="6" t="inlineStr">
        <is>
          <t>Record fix</t>
        </is>
      </c>
      <c r="R19" s="6" t="inlineStr">
        <is>
          <t>Item</t>
        </is>
      </c>
      <c r="S19" s="6" t="inlineStr"/>
      <c r="T19"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9"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9" s="6" t="inlineStr">
        <is>
          <t>Table checked against a live recheck (C-E05) and the unread caching pages; then closed as a dated fact.</t>
        </is>
      </c>
      <c r="W19" s="6" t="inlineStr"/>
      <c r="X19" s="6" t="inlineStr">
        <is>
          <t>C-D02</t>
        </is>
      </c>
      <c r="Y19" s="6" t="inlineStr">
        <is>
          <t>Q-J24, Q-J26, Q-U08, Q-U21</t>
        </is>
      </c>
      <c r="Z19" s="6" t="inlineStr">
        <is>
          <t>TIME-RECHECK</t>
        </is>
      </c>
      <c r="AA19" s="6" t="inlineStr">
        <is>
          <t>K2 Objective &amp; accounting</t>
        </is>
      </c>
      <c r="AB19" s="6" t="inlineStr"/>
      <c r="AC19" s="6" t="inlineStr">
        <is>
          <t>n/a (new)</t>
        </is>
      </c>
      <c r="AD19" s="6" t="inlineStr">
        <is>
          <t>NEW</t>
        </is>
      </c>
      <c r="AE19" s="6" t="inlineStr">
        <is>
          <t>2026-10-19</t>
        </is>
      </c>
      <c r="AF19" s="6" t="inlineStr">
        <is>
          <t>FND-0008 (findings/SUM-0010); FND-0012 (findings/SUM-0014); EXT-0085, EXT-0086, EXT-0089, EXT-0137, EXT-0142, EXT-0152, EXT-0158; Supervisor statements S-J-001</t>
        </is>
      </c>
      <c r="AG19" s="6" t="inlineStr"/>
      <c r="AH19" s="6" t="inlineStr">
        <is>
          <t>No</t>
        </is>
      </c>
      <c r="AI19" s="6" t="inlineStr">
        <is>
          <t>Closed 2026-10-19 as a dated fact (2026-10-11 pages). Prices and models change: the live recheck stays open as C-E05.</t>
        </is>
      </c>
      <c r="AJ19" s="6" t="inlineStr">
        <is>
          <t>Review 19 Oct (section 5)</t>
        </is>
      </c>
      <c r="AK19" s="6" t="inlineStr">
        <is>
          <t>Joaa 19 Oct 12:15 (1/10 for an hour)</t>
        </is>
      </c>
      <c r="AL19" s="6" t="inlineStr">
        <is>
          <t>S10</t>
        </is>
      </c>
    </row>
    <row r="20" ht="178" customHeight="1">
      <c r="A20" s="5" t="inlineStr">
        <is>
          <t>N-5/UNREAD</t>
        </is>
      </c>
      <c r="B20" s="6" t="inlineStr">
        <is>
          <t>MCP caching spec (2026-07-28), Bedrock caching page, Gemini caching page: stored but unread</t>
        </is>
      </c>
      <c r="C20" s="6" t="inlineStr">
        <is>
          <t>CLOSED - BY EVIDENCE</t>
        </is>
      </c>
      <c r="D20" s="6" t="inlineStr">
        <is>
          <t>No</t>
        </is>
      </c>
      <c r="E20" s="6" t="inlineStr"/>
      <c r="F20" s="6" t="inlineStr"/>
      <c r="G20" s="14" t="inlineStr">
        <is>
          <t>SOURCE-REREAD</t>
        </is>
      </c>
      <c r="H20" s="6" t="inlineStr">
        <is>
          <t>K15 Expiring provider facts</t>
        </is>
      </c>
      <c r="I20" s="6" t="inlineStr">
        <is>
          <t>G2 Before the affected pilot/arm</t>
        </is>
      </c>
      <c r="J20" s="6" t="inlineStr">
        <is>
          <t>High</t>
        </is>
      </c>
      <c r="K20" s="6" t="n">
        <v>74</v>
      </c>
      <c r="L20" s="6" t="inlineStr">
        <is>
          <t>W2 Desk work (no model runs)</t>
        </is>
      </c>
      <c r="M20" s="6" t="inlineStr">
        <is>
          <t>S10</t>
        </is>
      </c>
      <c r="N20" s="6" t="inlineStr">
        <is>
          <t>Lead</t>
        </is>
      </c>
      <c r="O20" s="6" t="inlineStr">
        <is>
          <t>Closed; moved to Archive</t>
        </is>
      </c>
      <c r="P20" s="6" t="inlineStr">
        <is>
          <t>Yes - stored text, unread</t>
        </is>
      </c>
      <c r="Q20" s="6" t="inlineStr">
        <is>
          <t>Source check</t>
        </is>
      </c>
      <c r="R20" s="6" t="inlineStr">
        <is>
          <t>Sub-item</t>
        </is>
      </c>
      <c r="S20" s="6" t="inlineStr">
        <is>
          <t>N-5</t>
        </is>
      </c>
      <c r="T20" s="6" t="inlineStr">
        <is>
          <t>v4-04 section 7 lists the MCP caching specification of 2026-07-28 and the Bedrock page as unread; sources.json stores r4-mcp-caching-2026-07-28 (177 lines), r4-bedrock-prompt-caching (37 KB) and r4-gemini-caching (6 KB).</t>
        </is>
      </c>
      <c r="U20"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20" s="6" t="inlineStr">
        <is>
          <t>Passages on caching read and added to the dated provider table.</t>
        </is>
      </c>
      <c r="W20" s="6" t="inlineStr"/>
      <c r="X20" s="6" t="inlineStr"/>
      <c r="Y20" s="6" t="inlineStr"/>
      <c r="Z20" s="6" t="inlineStr"/>
      <c r="AA20" s="6" t="inlineStr"/>
      <c r="AB20" s="6" t="inlineStr">
        <is>
          <t>SOURCE</t>
        </is>
      </c>
      <c r="AC20" s="6" t="inlineStr">
        <is>
          <t>n/a (sub-item)</t>
        </is>
      </c>
      <c r="AD20" s="6" t="inlineStr">
        <is>
          <t>NEW (repo sweep)</t>
        </is>
      </c>
      <c r="AE20" s="6" t="inlineStr">
        <is>
          <t>2026-10-19</t>
        </is>
      </c>
      <c r="AF20" s="6" t="inlineStr">
        <is>
          <t>FND-0008 (findings/SUM-0010); EXT-0137, EXT-0141, EXT-0143</t>
        </is>
      </c>
      <c r="AG20" s="6" t="inlineStr"/>
      <c r="AH20" s="6" t="inlineStr">
        <is>
          <t>No</t>
        </is>
      </c>
      <c r="AI20" s="6" t="inlineStr">
        <is>
          <t>Closed 2026-10-19: the caching passages were read and entered in the dated provider table (N-5, C-S03 rows).</t>
        </is>
      </c>
      <c r="AJ20" s="6" t="inlineStr">
        <is>
          <t>repo: v4-04 section 7; sources.json</t>
        </is>
      </c>
      <c r="AK20" s="6" t="inlineStr"/>
      <c r="AL20" s="6" t="inlineStr">
        <is>
          <t>S10</t>
        </is>
      </c>
    </row>
    <row r="21" ht="300" customHeight="1">
      <c r="A21" s="5" t="inlineStr">
        <is>
          <t>C-E01/E01</t>
        </is>
      </c>
      <c r="B21" s="6" t="inlineStr">
        <is>
          <t>fcrobust BFCL range disputed; table not rendered</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78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C-E01</t>
        </is>
      </c>
      <c r="T21" s="6" t="inlineStr">
        <is>
          <t>SRC-06 E01: the fcrobust (arXiv 2504.00914) BFCL range is disputed and the original table was not rendered.</t>
        </is>
      </c>
      <c r="U21"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21" s="6" t="inlineStr">
        <is>
          <t>Table located in the stored text and the range/condition corrected.</t>
        </is>
      </c>
      <c r="W21" s="6" t="inlineStr"/>
      <c r="X21" s="6" t="inlineStr"/>
      <c r="Y21" s="6" t="inlineStr"/>
      <c r="Z21" s="6" t="inlineStr"/>
      <c r="AA21" s="6" t="inlineStr"/>
      <c r="AB21" s="6" t="inlineStr">
        <is>
          <t>SOURCE</t>
        </is>
      </c>
      <c r="AC21" s="6" t="inlineStr">
        <is>
          <t>n/a (sub-item)</t>
        </is>
      </c>
      <c r="AD21" s="6" t="inlineStr">
        <is>
          <t>NEW (SRC-11 sub-row)</t>
        </is>
      </c>
      <c r="AE21" s="6" t="inlineStr">
        <is>
          <t>2026-10-19</t>
        </is>
      </c>
      <c r="AF21" s="6" t="inlineStr">
        <is>
          <t>FND-0009 (findings/SUM-0011); evidence/literature-20261019/pages/INDEX.md; rendered page 5; independent reading by steward 3a (thread T-20261019-101, final answer; matches the lead's reading)</t>
        </is>
      </c>
      <c r="AG21" s="6" t="inlineStr"/>
      <c r="AH21" s="6" t="inlineStr">
        <is>
          <t>No (AUTH-016 covers web fetches for this item)</t>
        </is>
      </c>
      <c r="AI21" s="6" t="inlineStr">
        <is>
          <t>Closed 2026-10-19: numbers and model-to-row mapping confirmed on the rendered page by two readers. One row is internally inconsistent (C-E01/E01-ROW6).</t>
        </is>
      </c>
      <c r="AJ21" s="6" t="inlineStr">
        <is>
          <t>SRC-11 section D1</t>
        </is>
      </c>
      <c r="AK21" s="6" t="inlineStr">
        <is>
          <t>SRC-06 E01</t>
        </is>
      </c>
      <c r="AL21" s="6" t="inlineStr">
        <is>
          <t>S11</t>
        </is>
      </c>
    </row>
    <row r="22" ht="165.5" customHeight="1">
      <c r="A22" s="5" t="inlineStr">
        <is>
          <t>C-E01/E01-ROW6</t>
        </is>
      </c>
      <c r="B22" s="6" t="inlineStr">
        <is>
          <t>fcrobust Table 2 row 6 prints -11% / -2% but its own values recompute to -17.3% / -5.9%</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79</v>
      </c>
      <c r="L22" s="6" t="inlineStr">
        <is>
          <t>W2 Desk work (no model runs)</t>
        </is>
      </c>
      <c r="M22" s="6" t="inlineStr">
        <is>
          <t>S11</t>
        </is>
      </c>
      <c r="N22" s="6" t="inlineStr">
        <is>
          <t>Lead + steward (authors if the PDF does not resolve it)</t>
        </is>
      </c>
      <c r="O22" s="6" t="inlineStr">
        <is>
          <t>Closed; moved to Archive</t>
        </is>
      </c>
      <c r="P22" s="6" t="inlineStr">
        <is>
          <t>Partly</t>
        </is>
      </c>
      <c r="Q22" s="6" t="inlineStr">
        <is>
          <t>Source check</t>
        </is>
      </c>
      <c r="R22" s="6" t="inlineStr">
        <is>
          <t>Sub-item</t>
        </is>
      </c>
      <c r="S22" s="6" t="inlineStr">
        <is>
          <t>C-E01/E01</t>
        </is>
      </c>
      <c r="T22"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22"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22" s="6" t="inlineStr">
        <is>
          <t>PDF page rendered or authors answer; the printed percentage or values corrected in any quote.</t>
        </is>
      </c>
      <c r="W22" s="6" t="inlineStr"/>
      <c r="X22" s="6" t="inlineStr"/>
      <c r="Y22" s="6" t="inlineStr"/>
      <c r="Z22" s="6" t="inlineStr">
        <is>
          <t>AUTHOR-OR-VENDOR</t>
        </is>
      </c>
      <c r="AA22" s="6" t="inlineStr"/>
      <c r="AB22" s="6" t="inlineStr">
        <is>
          <t>SOURCE+AUTHOR</t>
        </is>
      </c>
      <c r="AC22" s="6" t="inlineStr">
        <is>
          <t>n/a (sub-item)</t>
        </is>
      </c>
      <c r="AD22" s="6" t="inlineStr">
        <is>
          <t>NEW (repo sweep)</t>
        </is>
      </c>
      <c r="AE22" s="6" t="inlineStr">
        <is>
          <t>2026-10-19</t>
        </is>
      </c>
      <c r="AF22" s="6" t="inlineStr">
        <is>
          <t>FND-0009 (findings/SUM-0011); evidence/literature-20261019/pages/INDEX.md; rendered page 5; independent reading by steward 3a (thread T-20261019-101, final answer; matches the lead's reading)</t>
        </is>
      </c>
      <c r="AG22" s="6" t="inlineStr"/>
      <c r="AH22" s="6" t="inlineStr">
        <is>
          <t>No (AUTH-016 covers web fetches for this item)</t>
        </is>
      </c>
      <c r="AI22" s="6" t="inlineStr">
        <is>
          <t>Closed 2026-10-19: inconsistency confirmed as the paper's own; the authors can be asked later if the Haiku row is ever quoted (not needed now).</t>
        </is>
      </c>
      <c r="AJ22" s="6" t="inlineStr">
        <is>
          <t>Batch 1b steward finding (FND-0009), verified by the lead</t>
        </is>
      </c>
      <c r="AK22" s="6" t="inlineStr"/>
      <c r="AL22" s="6" t="inlineStr">
        <is>
          <t>S11</t>
        </is>
      </c>
    </row>
    <row r="23" ht="300" customHeight="1">
      <c r="A23" s="5" t="inlineStr">
        <is>
          <t>C-E01/E03</t>
        </is>
      </c>
      <c r="B23" s="6" t="inlineStr">
        <is>
          <t>DynamicMCPBench ~292K flat-catalogue figure unverified</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81</v>
      </c>
      <c r="L23" s="6" t="inlineStr">
        <is>
          <t>W2 Desk work (no model runs)</t>
        </is>
      </c>
      <c r="M23" s="6" t="inlineStr">
        <is>
          <t>S11</t>
        </is>
      </c>
      <c r="N23" s="6" t="inlineStr">
        <is>
          <t>Lead + steward</t>
        </is>
      </c>
      <c r="O23" s="6" t="inlineStr">
        <is>
          <t>Closed; moved to Archive</t>
        </is>
      </c>
      <c r="P23" s="6" t="inlineStr">
        <is>
          <t>Yes - stored text, unread</t>
        </is>
      </c>
      <c r="Q23" s="6" t="inlineStr">
        <is>
          <t>Source check</t>
        </is>
      </c>
      <c r="R23" s="6" t="inlineStr">
        <is>
          <t>Sub-item</t>
        </is>
      </c>
      <c r="S23" s="6" t="inlineStr">
        <is>
          <t>C-E01</t>
        </is>
      </c>
      <c r="T23" s="6" t="inlineStr">
        <is>
          <t>SRC-06 E03: the ~292K-token flat-catalogue figure is not verified (counted surface, tokenizer).</t>
        </is>
      </c>
      <c r="U23"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23" s="6" t="inlineStr">
        <is>
          <t>Closed 2026-10-19: counted surface and tokenizer inspected in the stored code and documents (none found), and the figure is labelled second-hand in the live documents.</t>
        </is>
      </c>
      <c r="W23" s="6" t="inlineStr"/>
      <c r="X23" s="6" t="inlineStr"/>
      <c r="Y23" s="6" t="inlineStr"/>
      <c r="Z23" s="6" t="inlineStr"/>
      <c r="AA23" s="6" t="inlineStr"/>
      <c r="AB23" s="6" t="inlineStr">
        <is>
          <t>SOURCE</t>
        </is>
      </c>
      <c r="AC23" s="6" t="inlineStr">
        <is>
          <t>n/a (sub-item)</t>
        </is>
      </c>
      <c r="AD23" s="6" t="inlineStr">
        <is>
          <t>NARROWED</t>
        </is>
      </c>
      <c r="AE23" s="6" t="inlineStr">
        <is>
          <t>2026-10-19</t>
        </is>
      </c>
      <c r="AF23" s="6" t="inlineStr">
        <is>
          <t>FND-0027 (findings/SUM-0029); EXT-0209, EXT-0210, EXT-0212, EXT-0213, EXT-0214; FND-0020 (findings/SUM-0022)</t>
        </is>
      </c>
      <c r="AG23" s="6" t="inlineStr"/>
      <c r="AH23" s="6" t="inlineStr">
        <is>
          <t>No (AUTH-016 covers web fetches for this item)</t>
        </is>
      </c>
      <c r="AI23" s="6" t="inlineStr">
        <is>
          <t>Closed 2026-10-19 under the criterion's second branch: the figure is kept labelled second-hand (checked at v4 01 line 8 and 02 line 124); the stored code and documents give no counting procedure for it.</t>
        </is>
      </c>
      <c r="AJ23" s="6" t="inlineStr">
        <is>
          <t>SRC-11 section D1</t>
        </is>
      </c>
      <c r="AK23" s="6" t="inlineStr">
        <is>
          <t>SRC-06 E03, v4-03 section 2 item 1, EXT-0084</t>
        </is>
      </c>
      <c r="AL23" s="6" t="inlineStr">
        <is>
          <t>S11</t>
        </is>
      </c>
    </row>
    <row r="24" ht="190.5" customHeight="1">
      <c r="A24" s="5" t="inlineStr">
        <is>
          <t>C-E01/E04</t>
        </is>
      </c>
      <c r="B24" s="6" t="inlineStr">
        <is>
          <t>Anthropic '85%' baseline and component arithmetic ambiguous</t>
        </is>
      </c>
      <c r="C24" s="6" t="inlineStr">
        <is>
          <t>CLOSED - BY EVIDENCE</t>
        </is>
      </c>
      <c r="D24" s="6" t="inlineStr">
        <is>
          <t>No</t>
        </is>
      </c>
      <c r="E24" s="6" t="inlineStr"/>
      <c r="F24" s="6" t="inlineStr"/>
      <c r="G24" s="16" t="inlineStr">
        <is>
          <t>AUTHOR-OR-VENDOR</t>
        </is>
      </c>
      <c r="H24" s="6" t="inlineStr">
        <is>
          <t>K14 Source &amp; vendor verification</t>
        </is>
      </c>
      <c r="I24" s="6" t="inlineStr">
        <is>
          <t>G4 Before claims</t>
        </is>
      </c>
      <c r="J24" s="6" t="inlineStr">
        <is>
          <t>Normal</t>
        </is>
      </c>
      <c r="K24" s="6" t="n">
        <v>82</v>
      </c>
      <c r="L24" s="6" t="inlineStr">
        <is>
          <t>W2 Desk work (no model runs)</t>
        </is>
      </c>
      <c r="M24" s="6" t="inlineStr">
        <is>
          <t>S11</t>
        </is>
      </c>
      <c r="N24" s="6" t="inlineStr">
        <is>
          <t>Vendor / lead</t>
        </is>
      </c>
      <c r="O24" s="6" t="inlineStr">
        <is>
          <t>Closed; moved to Archive</t>
        </is>
      </c>
      <c r="P24" s="6" t="inlineStr">
        <is>
          <t>Yes - stored text, unread</t>
        </is>
      </c>
      <c r="Q24" s="6" t="inlineStr">
        <is>
          <t>Source check</t>
        </is>
      </c>
      <c r="R24" s="6" t="inlineStr">
        <is>
          <t>Sub-item</t>
        </is>
      </c>
      <c r="S24" s="6" t="inlineStr">
        <is>
          <t>C-E01</t>
        </is>
      </c>
      <c r="T24" s="6" t="inlineStr">
        <is>
          <t>SRC-06 E04: the denominator and component arithmetic behind the Anthropic '85%' reduction are ambiguous.</t>
        </is>
      </c>
      <c r="U24"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24" s="6" t="inlineStr">
        <is>
          <t>Denominator identified in the page, else quoted as an ambiguous vendor claim.</t>
        </is>
      </c>
      <c r="W24" s="6" t="inlineStr"/>
      <c r="X24" s="6" t="inlineStr"/>
      <c r="Y24" s="6" t="inlineStr"/>
      <c r="Z24" s="6" t="inlineStr"/>
      <c r="AA24" s="6" t="inlineStr"/>
      <c r="AB24" s="6" t="inlineStr">
        <is>
          <t>SOURCE+AUTHOR</t>
        </is>
      </c>
      <c r="AC24" s="6" t="inlineStr">
        <is>
          <t>n/a (sub-item)</t>
        </is>
      </c>
      <c r="AD24" s="6" t="inlineStr">
        <is>
          <t>NEW (SRC-11 sub-row)</t>
        </is>
      </c>
      <c r="AE24" s="6" t="inlineStr">
        <is>
          <t>2026-10-19</t>
        </is>
      </c>
      <c r="AF24" s="6" t="inlineStr">
        <is>
          <t>FND-0012 (findings/SUM-0014); EXT-0161 (lead re-checked the arithmetic)</t>
        </is>
      </c>
      <c r="AG24" s="6" t="inlineStr"/>
      <c r="AH24" s="6" t="inlineStr">
        <is>
          <t>No (AUTH-016 covers web fetches for this item)</t>
        </is>
      </c>
      <c r="AI24" s="6" t="inlineStr">
        <is>
          <t>Closed 2026-10-19 under the row's own closure rule ('else quote as an ambiguous vendor claim'): denominators from the page, 85% not reproducible from them.</t>
        </is>
      </c>
      <c r="AJ24" s="6" t="inlineStr">
        <is>
          <t>SRC-11 section D1</t>
        </is>
      </c>
      <c r="AK24" s="6" t="inlineStr">
        <is>
          <t>SRC-06 E04</t>
        </is>
      </c>
      <c r="AL24" s="6" t="inlineStr">
        <is>
          <t>S11</t>
        </is>
      </c>
    </row>
    <row r="25" ht="65.5" customHeight="1">
      <c r="A25" s="5" t="inlineStr">
        <is>
          <t>C-E01/E06</t>
        </is>
      </c>
      <c r="B25" s="6" t="inlineStr">
        <is>
          <t>TheMCPCompany 'Missed Tools 3 of 24' absent from readable v1; v2 unreadable</t>
        </is>
      </c>
      <c r="C25" s="6" t="inlineStr">
        <is>
          <t>CLOSED - BY EVIDENCE</t>
        </is>
      </c>
      <c r="D25" s="6" t="inlineStr">
        <is>
          <t>No</t>
        </is>
      </c>
      <c r="E25" s="6" t="inlineStr"/>
      <c r="F25" s="6" t="inlineStr"/>
      <c r="G25" s="14" t="inlineStr">
        <is>
          <t>SOURCE-REREAD</t>
        </is>
      </c>
      <c r="H25" s="6" t="inlineStr">
        <is>
          <t>K14 Source &amp; vendor verification</t>
        </is>
      </c>
      <c r="I25" s="6" t="inlineStr">
        <is>
          <t>G4 Before claims</t>
        </is>
      </c>
      <c r="J25" s="6" t="inlineStr">
        <is>
          <t>Normal</t>
        </is>
      </c>
      <c r="K25" s="6" t="n">
        <v>84</v>
      </c>
      <c r="L25" s="6" t="inlineStr">
        <is>
          <t>W2 Desk work (no model runs)</t>
        </is>
      </c>
      <c r="M25" s="6" t="inlineStr">
        <is>
          <t>S11</t>
        </is>
      </c>
      <c r="N25" s="6" t="inlineStr">
        <is>
          <t>n/a</t>
        </is>
      </c>
      <c r="O25" s="6" t="inlineStr">
        <is>
          <t>Read the decisive passage; fetch only if not stored</t>
        </is>
      </c>
      <c r="P25" s="6" t="inlineStr">
        <is>
          <t>Answered (see basis)</t>
        </is>
      </c>
      <c r="Q25" s="6" t="inlineStr">
        <is>
          <t>Source check</t>
        </is>
      </c>
      <c r="R25" s="6" t="inlineStr">
        <is>
          <t>Sub-item</t>
        </is>
      </c>
      <c r="S25" s="6" t="inlineStr">
        <is>
          <t>C-E01</t>
        </is>
      </c>
      <c r="T25" s="6" t="inlineStr">
        <is>
          <t>SRC-06 E06: the 'Missed Tools 3 of 24' figure was absent from the readable v1 and v2 was unreadable.</t>
        </is>
      </c>
      <c r="U25" s="6" t="inlineStr">
        <is>
          <t>The figure is present in the stored text and in the v2 text read by the steward; the table prints a percentage, so '3 of 24' is derived.</t>
        </is>
      </c>
      <c r="V25" s="6" t="inlineStr">
        <is>
          <t>Closed: figure located (percentage printed; count derived).</t>
        </is>
      </c>
      <c r="W25" s="6" t="inlineStr"/>
      <c r="X25" s="6" t="inlineStr"/>
      <c r="Y25" s="6" t="inlineStr"/>
      <c r="Z25" s="6" t="inlineStr"/>
      <c r="AA25" s="6" t="inlineStr"/>
      <c r="AB25" s="6" t="inlineStr">
        <is>
          <t>SOURCE+AUTHOR</t>
        </is>
      </c>
      <c r="AC25" s="6" t="inlineStr">
        <is>
          <t>n/a (sub-item)</t>
        </is>
      </c>
      <c r="AD25" s="6" t="inlineStr">
        <is>
          <t>CLOSED (baseline)</t>
        </is>
      </c>
      <c r="AE25" s="6" t="inlineStr">
        <is>
          <t>2026-10-19</t>
        </is>
      </c>
      <c r="AF25" s="6" t="inlineStr">
        <is>
          <t>Stored s4-themcpcompany-2510-19286-20261013 lines 1139-1156 and lit file arxiv-2510.19286.txt: GPT-4.1 failure analysis, 24 tasks in total, 'Missed Tools 12.5' (12.5% of 24 = 3 tasks, my arithmetic)</t>
        </is>
      </c>
      <c r="AG25" s="6" t="inlineStr"/>
      <c r="AH25" s="6" t="inlineStr">
        <is>
          <t>Web use needs scope</t>
        </is>
      </c>
      <c r="AI25" s="6" t="inlineStr">
        <is>
          <t>Closed 2026-10-19 on repo evidence; count is derived from 12.5% x 24.</t>
        </is>
      </c>
      <c r="AJ25" s="6" t="inlineStr">
        <is>
          <t>SRC-11 section D1</t>
        </is>
      </c>
      <c r="AK25" s="6" t="inlineStr">
        <is>
          <t>SRC-06 E06, SUM-0005</t>
        </is>
      </c>
      <c r="AL25" s="6" t="inlineStr">
        <is>
          <t>S11</t>
        </is>
      </c>
    </row>
    <row r="26" ht="290.5" customHeight="1">
      <c r="A26" s="5" t="inlineStr">
        <is>
          <t>C-E01/E07</t>
        </is>
      </c>
      <c r="B26" s="6" t="inlineStr">
        <is>
          <t>Scaffolding paper body unavailable; token/schema figures unverified</t>
        </is>
      </c>
      <c r="C26" s="6" t="inlineStr">
        <is>
          <t>CLOSED - BY EVIDENCE</t>
        </is>
      </c>
      <c r="D26" s="6" t="inlineStr">
        <is>
          <t>No</t>
        </is>
      </c>
      <c r="E26" s="6" t="inlineStr"/>
      <c r="F26" s="6" t="inlineStr"/>
      <c r="G26" s="14" t="inlineStr">
        <is>
          <t>SOURCE-REREAD</t>
        </is>
      </c>
      <c r="H26" s="6" t="inlineStr">
        <is>
          <t>K14 Source &amp; vendor verification</t>
        </is>
      </c>
      <c r="I26" s="6" t="inlineStr">
        <is>
          <t>G4 Before claims</t>
        </is>
      </c>
      <c r="J26" s="6" t="inlineStr">
        <is>
          <t>Normal</t>
        </is>
      </c>
      <c r="K26" s="6" t="n">
        <v>85</v>
      </c>
      <c r="L26" s="6" t="inlineStr">
        <is>
          <t>W2 Desk work (no model runs)</t>
        </is>
      </c>
      <c r="M26" s="6" t="inlineStr">
        <is>
          <t>S11</t>
        </is>
      </c>
      <c r="N26" s="6" t="inlineStr">
        <is>
          <t>Lead + steward</t>
        </is>
      </c>
      <c r="O26" s="6" t="inlineStr">
        <is>
          <t>Closed; moved to Archive</t>
        </is>
      </c>
      <c r="P26" s="6" t="inlineStr">
        <is>
          <t>Yes - stored text, unread</t>
        </is>
      </c>
      <c r="Q26" s="6" t="inlineStr">
        <is>
          <t>Source check</t>
        </is>
      </c>
      <c r="R26" s="6" t="inlineStr">
        <is>
          <t>Sub-item</t>
        </is>
      </c>
      <c r="S26" s="6" t="inlineStr">
        <is>
          <t>C-E01</t>
        </is>
      </c>
      <c r="T26" s="6" t="inlineStr">
        <is>
          <t>SRC-06 E07: the scaffolding paper body was unavailable to the prior audit; cited token and schema figures are unverified.</t>
        </is>
      </c>
      <c r="U26"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26" s="6" t="inlineStr">
        <is>
          <t>Figures located in the stored text, or marked unverifiable.</t>
        </is>
      </c>
      <c r="W26" s="6" t="inlineStr"/>
      <c r="X26" s="6" t="inlineStr"/>
      <c r="Y26" s="6" t="inlineStr"/>
      <c r="Z26" s="6" t="inlineStr"/>
      <c r="AA26" s="6" t="inlineStr"/>
      <c r="AB26" s="6" t="inlineStr">
        <is>
          <t>SOURCE</t>
        </is>
      </c>
      <c r="AC26" s="6" t="inlineStr">
        <is>
          <t>n/a (sub-item)</t>
        </is>
      </c>
      <c r="AD26" s="6" t="inlineStr">
        <is>
          <t>NEW (SRC-11 sub-row)</t>
        </is>
      </c>
      <c r="AE26" s="6" t="inlineStr">
        <is>
          <t>2026-10-19</t>
        </is>
      </c>
      <c r="AF26" s="6" t="inlineStr">
        <is>
          <t>FND-0014 (findings/SUM-0016); FND-0011 (findings/SUM-0013); EXT-0114, EXT-0122, EXT-0126, EXT-0129, EXT-0149, EXT-0154, EXT-0164</t>
        </is>
      </c>
      <c r="AG26" s="6" t="inlineStr"/>
      <c r="AH26" s="6" t="inlineStr">
        <is>
          <t>No (AUTH-016 covers web fetches for this item)</t>
        </is>
      </c>
      <c r="AI26" s="6" t="inlineStr">
        <is>
          <t>Closed 2026-10-19 under the row's closure rule (figures located in the stored text with conditions). The prose/table mismatch is carried as its own row.</t>
        </is>
      </c>
      <c r="AJ26" s="6" t="inlineStr">
        <is>
          <t>SRC-11 section D1</t>
        </is>
      </c>
      <c r="AK26" s="6" t="inlineStr">
        <is>
          <t>SRC-06 E07</t>
        </is>
      </c>
      <c r="AL26" s="6" t="inlineStr">
        <is>
          <t>S11</t>
        </is>
      </c>
    </row>
    <row r="27" ht="300" customHeight="1">
      <c r="A27" s="5" t="inlineStr">
        <is>
          <t>C-E01/E07-TAB4</t>
        </is>
      </c>
      <c r="B27" s="6" t="inlineStr">
        <is>
          <t>Scaffolding paper Table 4: the prose ('twice the tokens', 'half as much again') does not match the printed table</t>
        </is>
      </c>
      <c r="C27" s="6" t="inlineStr">
        <is>
          <t>CLOSED - BY EVIDENCE</t>
        </is>
      </c>
      <c r="D27" s="6" t="inlineStr">
        <is>
          <t>No</t>
        </is>
      </c>
      <c r="E27" s="6" t="inlineStr"/>
      <c r="F27" s="6" t="inlineStr"/>
      <c r="G27" s="14" t="inlineStr">
        <is>
          <t>SOURCE-REREAD</t>
        </is>
      </c>
      <c r="H27" s="6" t="inlineStr">
        <is>
          <t>K14 Source &amp; vendor verification</t>
        </is>
      </c>
      <c r="I27" s="6" t="inlineStr">
        <is>
          <t>G4 Before claims</t>
        </is>
      </c>
      <c r="J27" s="6" t="inlineStr">
        <is>
          <t>Normal</t>
        </is>
      </c>
      <c r="K27" s="6" t="n">
        <v>86</v>
      </c>
      <c r="L27" s="6" t="inlineStr">
        <is>
          <t>W2 Desk work (no model runs)</t>
        </is>
      </c>
      <c r="M27" s="6" t="inlineStr">
        <is>
          <t>S11</t>
        </is>
      </c>
      <c r="N27" s="6" t="inlineStr">
        <is>
          <t>Lead + steward (authors if the PDF does not resolve it)</t>
        </is>
      </c>
      <c r="O27" s="6" t="inlineStr">
        <is>
          <t>Closed; moved to Archive</t>
        </is>
      </c>
      <c r="P27" s="6" t="inlineStr">
        <is>
          <t>Partly</t>
        </is>
      </c>
      <c r="Q27" s="6" t="inlineStr">
        <is>
          <t>Source check</t>
        </is>
      </c>
      <c r="R27" s="6" t="inlineStr">
        <is>
          <t>Sub-item</t>
        </is>
      </c>
      <c r="S27" s="6" t="inlineStr">
        <is>
          <t>C-E01/E07</t>
        </is>
      </c>
      <c r="T27"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27"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27" s="6" t="inlineStr">
        <is>
          <t>PDF page rendered or authors answer; the printed numbers or the prose corrected in any quote.</t>
        </is>
      </c>
      <c r="W27" s="6" t="inlineStr"/>
      <c r="X27" s="6" t="inlineStr"/>
      <c r="Y27" s="6" t="inlineStr"/>
      <c r="Z27" s="6" t="inlineStr">
        <is>
          <t>AUTHOR-OR-VENDOR</t>
        </is>
      </c>
      <c r="AA27" s="6" t="inlineStr"/>
      <c r="AB27" s="6" t="inlineStr">
        <is>
          <t>SOURCE+AUTHOR</t>
        </is>
      </c>
      <c r="AC27" s="6" t="inlineStr">
        <is>
          <t>n/a (sub-item)</t>
        </is>
      </c>
      <c r="AD27" s="6" t="inlineStr">
        <is>
          <t>NEW (repo sweep)</t>
        </is>
      </c>
      <c r="AE27" s="6" t="inlineStr">
        <is>
          <t>2026-10-19</t>
        </is>
      </c>
      <c r="AF27" s="6" t="inlineStr">
        <is>
          <t>FND-0014 (findings/SUM-0016); evidence/literature-20261019/pages/INDEX.md; rendered page 14; independent reading by steward 3a (thread T-20261019-101, final answer; matches the lead's reading)</t>
        </is>
      </c>
      <c r="AG27" s="6" t="inlineStr"/>
      <c r="AH27" s="6" t="inlineStr">
        <is>
          <t>No (AUTH-016 covers web fetches for this item)</t>
        </is>
      </c>
      <c r="AI27" s="6" t="inlineStr">
        <is>
          <t>Closed 2026-10-19: the mismatch is in the paper (prose vs printed table), confirmed on the page by two readers; authors' own caveat recorded.</t>
        </is>
      </c>
      <c r="AJ27" s="6" t="inlineStr">
        <is>
          <t>Batch 2c steward finding (FND-0014), verified by the lead</t>
        </is>
      </c>
      <c r="AK27" s="6" t="inlineStr"/>
      <c r="AL27" s="6" t="inlineStr">
        <is>
          <t>S11</t>
        </is>
      </c>
    </row>
    <row r="28" ht="253" customHeight="1">
      <c r="A28" s="5" t="inlineStr">
        <is>
          <t>C-E02/CACHEPAPERS</t>
        </is>
      </c>
      <c r="B28" s="6" t="inlineStr">
        <is>
          <t>Cache-aware compression and routing papers stored but unread</t>
        </is>
      </c>
      <c r="C28" s="6" t="inlineStr">
        <is>
          <t>CLOSED - BY EVIDENCE</t>
        </is>
      </c>
      <c r="D28" s="6" t="inlineStr">
        <is>
          <t>No</t>
        </is>
      </c>
      <c r="E28" s="6" t="inlineStr"/>
      <c r="F28" s="6" t="inlineStr"/>
      <c r="G28" s="14" t="inlineStr">
        <is>
          <t>SOURCE-REREAD</t>
        </is>
      </c>
      <c r="H28" s="6" t="inlineStr">
        <is>
          <t>K14 Source &amp; vendor verification</t>
        </is>
      </c>
      <c r="I28" s="6" t="inlineStr">
        <is>
          <t>G4 Before claims</t>
        </is>
      </c>
      <c r="J28" s="6" t="inlineStr">
        <is>
          <t>Normal</t>
        </is>
      </c>
      <c r="K28" s="6" t="n">
        <v>91</v>
      </c>
      <c r="L28" s="6" t="inlineStr">
        <is>
          <t>W2 Desk work (no model runs)</t>
        </is>
      </c>
      <c r="M28" s="6" t="inlineStr">
        <is>
          <t>S11</t>
        </is>
      </c>
      <c r="N28" s="6" t="inlineStr">
        <is>
          <t>Lead + fresh reviewer</t>
        </is>
      </c>
      <c r="O28" s="6" t="inlineStr">
        <is>
          <t>Closed; moved to Archive</t>
        </is>
      </c>
      <c r="P28" s="6" t="inlineStr">
        <is>
          <t>Yes - stored text, unread</t>
        </is>
      </c>
      <c r="Q28" s="6" t="inlineStr">
        <is>
          <t>Record fix</t>
        </is>
      </c>
      <c r="R28" s="6" t="inlineStr">
        <is>
          <t>Sub-item</t>
        </is>
      </c>
      <c r="S28" s="6" t="inlineStr">
        <is>
          <t>C-E02</t>
        </is>
      </c>
      <c r="T28" s="6" t="inlineStr">
        <is>
          <t>v4-04 section 7: the cache-aware compression and routing papers (stored s4-cacheaware-compress-2607-15516, s4-cacherouter-2608-22708) are unread (CacheRouter's numbers were taken from SUM-0007).</t>
        </is>
      </c>
      <c r="U28"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28" s="6" t="inlineStr">
        <is>
          <t>Read for what they say about tool-definition caching.</t>
        </is>
      </c>
      <c r="W28" s="6" t="inlineStr"/>
      <c r="X28" s="6" t="inlineStr"/>
      <c r="Y28" s="6" t="inlineStr"/>
      <c r="Z28" s="6" t="inlineStr"/>
      <c r="AA28" s="6" t="inlineStr"/>
      <c r="AB28" s="6" t="inlineStr">
        <is>
          <t>RECORD+SOURCE</t>
        </is>
      </c>
      <c r="AC28" s="6" t="inlineStr">
        <is>
          <t>n/a (sub-item)</t>
        </is>
      </c>
      <c r="AD28" s="6" t="inlineStr">
        <is>
          <t>NEW (repo sweep)</t>
        </is>
      </c>
      <c r="AE28" s="6" t="inlineStr">
        <is>
          <t>2026-10-19</t>
        </is>
      </c>
      <c r="AF28" s="6" t="inlineStr">
        <is>
          <t>FND-0015 (findings/SUM-0017); EXT-0169, EXT-0171, EXT-0174, EXT-0176</t>
        </is>
      </c>
      <c r="AG28" s="6" t="inlineStr"/>
      <c r="AH28" s="6" t="inlineStr">
        <is>
          <t>No (AUTH-016 covers web fetches for this item)</t>
        </is>
      </c>
      <c r="AI28" s="6" t="inlineStr">
        <is>
          <t>Closed 2026-10-19 (read for what they say about tool-definition caching). Related evidence added to C-S02 and C-S03; neither paper is an independent billed measurement of appended definitions.</t>
        </is>
      </c>
      <c r="AJ28" s="6" t="inlineStr">
        <is>
          <t>repo: v4-03 section 6 / RV-0005 / RV-0007</t>
        </is>
      </c>
      <c r="AK28" s="6" t="inlineStr"/>
      <c r="AL28" s="6" t="inlineStr">
        <is>
          <t>S11</t>
        </is>
      </c>
    </row>
    <row r="29" ht="115.5" customHeight="1">
      <c r="A29" s="5" t="inlineStr">
        <is>
          <t>C-E02/E20</t>
        </is>
      </c>
      <c r="B29" s="6" t="inlineStr">
        <is>
          <t>BFCL ICML 2025 paper read only as a snippet</t>
        </is>
      </c>
      <c r="C29" s="6" t="inlineStr">
        <is>
          <t>CLOSED - BY EVIDENCE</t>
        </is>
      </c>
      <c r="D29" s="6" t="inlineStr">
        <is>
          <t>No</t>
        </is>
      </c>
      <c r="E29" s="6" t="inlineStr"/>
      <c r="F29" s="6" t="inlineStr"/>
      <c r="G29" s="14" t="inlineStr">
        <is>
          <t>SOURCE-REREAD</t>
        </is>
      </c>
      <c r="H29" s="6" t="inlineStr">
        <is>
          <t>K14 Source &amp; vendor verification</t>
        </is>
      </c>
      <c r="I29" s="6" t="inlineStr">
        <is>
          <t>G4 Before claims</t>
        </is>
      </c>
      <c r="J29" s="6" t="inlineStr">
        <is>
          <t>Normal</t>
        </is>
      </c>
      <c r="K29" s="6" t="n">
        <v>92</v>
      </c>
      <c r="L29" s="6" t="inlineStr">
        <is>
          <t>W2 Desk work (no model runs)</t>
        </is>
      </c>
      <c r="M29" s="6" t="inlineStr">
        <is>
          <t>S11</t>
        </is>
      </c>
      <c r="N29" s="6" t="inlineStr">
        <is>
          <t>Lead + steward</t>
        </is>
      </c>
      <c r="O29" s="6" t="inlineStr">
        <is>
          <t>Closed; moved to Archive</t>
        </is>
      </c>
      <c r="P29" s="6" t="inlineStr">
        <is>
          <t>Yes - stored text, unread</t>
        </is>
      </c>
      <c r="Q29" s="6" t="inlineStr">
        <is>
          <t>Source check</t>
        </is>
      </c>
      <c r="R29" s="6" t="inlineStr">
        <is>
          <t>Sub-item</t>
        </is>
      </c>
      <c r="S29" s="6" t="inlineStr">
        <is>
          <t>C-E02</t>
        </is>
      </c>
      <c r="T29" s="6" t="inlineStr">
        <is>
          <t>SRC-06 E20: the BFCL ICML 2025 paper was seen only as a search snippet.</t>
        </is>
      </c>
      <c r="U29"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9" s="6" t="inlineStr">
        <is>
          <t>Original read; claims it affects revised or marked unverified.</t>
        </is>
      </c>
      <c r="W29" s="6" t="inlineStr"/>
      <c r="X29" s="6" t="inlineStr"/>
      <c r="Y29" s="6" t="inlineStr"/>
      <c r="Z29" s="6" t="inlineStr"/>
      <c r="AA29" s="6" t="inlineStr"/>
      <c r="AB29" s="6" t="inlineStr">
        <is>
          <t>SOURCE+ACCESS</t>
        </is>
      </c>
      <c r="AC29" s="6" t="inlineStr">
        <is>
          <t>n/a (sub-item)</t>
        </is>
      </c>
      <c r="AD29" s="6" t="inlineStr">
        <is>
          <t>NEW (SRC-11 sub-row)</t>
        </is>
      </c>
      <c r="AE29" s="6" t="inlineStr">
        <is>
          <t>2026-10-19</t>
        </is>
      </c>
      <c r="AF29" s="6" t="inlineStr">
        <is>
          <t>FND-0009 (findings/SUM-0011); EXT-0116, EXT-0146, EXT-0147; evidence/sources.json r3-bfcl</t>
        </is>
      </c>
      <c r="AG29" s="6" t="inlineStr"/>
      <c r="AH29" s="6" t="inlineStr">
        <is>
          <t>No (AUTH-016 covers web fetches for this item)</t>
        </is>
      </c>
      <c r="AI29" s="6" t="inlineStr">
        <is>
          <t>Closed 2026-10-19: the access gap (paper seen only as a snippet) is closed by the stored text; claims that rely on specific passages are checked as they are used.</t>
        </is>
      </c>
      <c r="AJ29" s="6" t="inlineStr">
        <is>
          <t>SRC-11 section D2</t>
        </is>
      </c>
      <c r="AK29" s="6" t="inlineStr">
        <is>
          <t>SRC-06 E20</t>
        </is>
      </c>
      <c r="AL29" s="6" t="inlineStr">
        <is>
          <t>S11</t>
        </is>
      </c>
    </row>
    <row r="30" ht="300" customHeight="1">
      <c r="A30" s="5" t="inlineStr">
        <is>
          <t>C-E02/E27</t>
        </is>
      </c>
      <c r="B30" s="6" t="inlineStr">
        <is>
          <t>TheMCPCompany v2, scaffolding paper, ACL paper PDFs unreadable in prior tools</t>
        </is>
      </c>
      <c r="C30" s="6" t="inlineStr">
        <is>
          <t>CLOSED - BY EVIDENCE</t>
        </is>
      </c>
      <c r="D30" s="6" t="inlineStr">
        <is>
          <t>No</t>
        </is>
      </c>
      <c r="E30" s="6" t="inlineStr"/>
      <c r="F30" s="6" t="inlineStr"/>
      <c r="G30" s="14" t="inlineStr">
        <is>
          <t>SOURCE-REREAD</t>
        </is>
      </c>
      <c r="H30" s="6" t="inlineStr">
        <is>
          <t>K14 Source &amp; vendor verification</t>
        </is>
      </c>
      <c r="I30" s="6" t="inlineStr">
        <is>
          <t>G4 Before claims</t>
        </is>
      </c>
      <c r="J30" s="6" t="inlineStr">
        <is>
          <t>Normal</t>
        </is>
      </c>
      <c r="K30" s="6" t="n">
        <v>99</v>
      </c>
      <c r="L30" s="6" t="inlineStr">
        <is>
          <t>W2 Desk work (no model runs)</t>
        </is>
      </c>
      <c r="M30" s="6" t="inlineStr">
        <is>
          <t>S11</t>
        </is>
      </c>
      <c r="N30" s="6" t="inlineStr">
        <is>
          <t>Lead + steward</t>
        </is>
      </c>
      <c r="O30" s="6" t="inlineStr">
        <is>
          <t>Closed; moved to Archive</t>
        </is>
      </c>
      <c r="P30" s="6" t="inlineStr">
        <is>
          <t>Yes - stored text, unread</t>
        </is>
      </c>
      <c r="Q30" s="6" t="inlineStr">
        <is>
          <t>Source check</t>
        </is>
      </c>
      <c r="R30" s="6" t="inlineStr">
        <is>
          <t>Sub-item</t>
        </is>
      </c>
      <c r="S30" s="6" t="inlineStr">
        <is>
          <t>C-E02</t>
        </is>
      </c>
      <c r="T30" s="6" t="inlineStr">
        <is>
          <t>SRC-06 E27: TheMCPCompany v2, the scaffolding paper and the ACL paper PDFs were unreadable in prior tools.</t>
        </is>
      </c>
      <c r="U30"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30" s="6" t="inlineStr">
        <is>
          <t>Closed 2026-10-19: criterion 'original read; claims it affects revised or marked unverified' met; no live document quotes the unread appendix.</t>
        </is>
      </c>
      <c r="W30" s="6" t="inlineStr"/>
      <c r="X30" s="6" t="inlineStr"/>
      <c r="Y30" s="6" t="inlineStr"/>
      <c r="Z30" s="6" t="inlineStr"/>
      <c r="AA30" s="6" t="inlineStr"/>
      <c r="AB30" s="6" t="inlineStr">
        <is>
          <t>SOURCE+ACCESS</t>
        </is>
      </c>
      <c r="AC30" s="6" t="inlineStr">
        <is>
          <t>n/a (sub-item)</t>
        </is>
      </c>
      <c r="AD30" s="6" t="inlineStr">
        <is>
          <t>NEW (SRC-11 sub-row)</t>
        </is>
      </c>
      <c r="AE30" s="6" t="inlineStr">
        <is>
          <t>2026-10-19</t>
        </is>
      </c>
      <c r="AF30" s="6" t="inlineStr">
        <is>
          <t>FND-0025 (findings/SUM-0027); EXT-0205, EXT-0206, EXT-0207, EXT-0208; FND-0014 (findings/SUM-0016)</t>
        </is>
      </c>
      <c r="AG30" s="6" t="inlineStr"/>
      <c r="AH30" s="6" t="inlineStr">
        <is>
          <t>No (AUTH-016 covers web fetches for this item)</t>
        </is>
      </c>
      <c r="AI30" s="6" t="inlineStr">
        <is>
          <t>Closed 2026-10-19: the scaffolding paper's delivery sections are read; its on-demand result is a confounded gateway comparison, not a search result.</t>
        </is>
      </c>
      <c r="AJ30" s="6" t="inlineStr">
        <is>
          <t>SRC-11 section D2</t>
        </is>
      </c>
      <c r="AK30" s="6" t="inlineStr">
        <is>
          <t>SRC-06 E27</t>
        </is>
      </c>
      <c r="AL30" s="6" t="inlineStr">
        <is>
          <t>S11</t>
        </is>
      </c>
    </row>
    <row r="31" ht="300" customHeight="1">
      <c r="A31" s="5" t="inlineStr">
        <is>
          <t>C-E02/E28</t>
        </is>
      </c>
      <c r="B31" s="6" t="inlineStr">
        <is>
          <t>Earlier MCP-Zero versions, MSR 16-tool assertion, tool_removal primitive not verified</t>
        </is>
      </c>
      <c r="C31" s="6" t="inlineStr">
        <is>
          <t>CLOSED - BY EVIDENCE</t>
        </is>
      </c>
      <c r="D31" s="6" t="inlineStr">
        <is>
          <t>No</t>
        </is>
      </c>
      <c r="E31" s="6" t="inlineStr"/>
      <c r="F31" s="6" t="inlineStr"/>
      <c r="G31" s="14" t="inlineStr">
        <is>
          <t>SOURCE-REREAD</t>
        </is>
      </c>
      <c r="H31" s="6" t="inlineStr">
        <is>
          <t>K14 Source &amp; vendor verification</t>
        </is>
      </c>
      <c r="I31" s="6" t="inlineStr">
        <is>
          <t>G4 Before claims</t>
        </is>
      </c>
      <c r="J31" s="6" t="inlineStr">
        <is>
          <t>Normal</t>
        </is>
      </c>
      <c r="K31" s="6" t="n">
        <v>100</v>
      </c>
      <c r="L31" s="6" t="inlineStr">
        <is>
          <t>W2 Desk work (no model runs)</t>
        </is>
      </c>
      <c r="M31" s="6" t="inlineStr">
        <is>
          <t>S11</t>
        </is>
      </c>
      <c r="N31" s="6" t="inlineStr">
        <is>
          <t>Lead + steward</t>
        </is>
      </c>
      <c r="O31" s="6" t="inlineStr">
        <is>
          <t>Closed; moved to Archive</t>
        </is>
      </c>
      <c r="P31" s="6" t="inlineStr">
        <is>
          <t>Partly</t>
        </is>
      </c>
      <c r="Q31" s="6" t="inlineStr">
        <is>
          <t>Source check</t>
        </is>
      </c>
      <c r="R31" s="6" t="inlineStr">
        <is>
          <t>Sub-item</t>
        </is>
      </c>
      <c r="S31" s="6" t="inlineStr">
        <is>
          <t>C-E02</t>
        </is>
      </c>
      <c r="T31" s="6" t="inlineStr">
        <is>
          <t>SRC-06 E28: earlier MCP-Zero versions, the MSR 16-tool/window assertion and the tool_removal primitive were not verified.</t>
        </is>
      </c>
      <c r="U31"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31" s="6" t="inlineStr">
        <is>
          <t>Closed 2026-10-19: criterion 'original read; claims it affects revised or marked unverified' met: v4 05 quotes only the APIBank numbers, which hold in every version.</t>
        </is>
      </c>
      <c r="W31" s="6" t="inlineStr"/>
      <c r="X31" s="6" t="inlineStr"/>
      <c r="Y31" s="6" t="inlineStr"/>
      <c r="Z31" s="6" t="inlineStr"/>
      <c r="AA31" s="6" t="inlineStr"/>
      <c r="AB31" s="6" t="inlineStr">
        <is>
          <t>SOURCE+ACCESS</t>
        </is>
      </c>
      <c r="AC31" s="6" t="inlineStr">
        <is>
          <t>n/a (sub-item)</t>
        </is>
      </c>
      <c r="AD31" s="6" t="inlineStr">
        <is>
          <t>NEW (SRC-11 sub-row)</t>
        </is>
      </c>
      <c r="AE31" s="6" t="inlineStr">
        <is>
          <t>2026-10-19</t>
        </is>
      </c>
      <c r="AF31" s="6" t="inlineStr">
        <is>
          <t>FND-0024 (findings/SUM-0026); EXT-0211; evidence/literature-20261019/pages/INDEX.md (page images with SHA-256; raw PDF hashes match the manifest); evidence/literature-20261019/pdf-mcpzero-2506.01056v1.txt; pdf-mcpzero-2506.01056-latest.txt</t>
        </is>
      </c>
      <c r="AG31" s="6" t="inlineStr"/>
      <c r="AH31" s="6" t="inlineStr">
        <is>
          <t>No (AUTH-016 covers web fetches for this item)</t>
        </is>
      </c>
      <c r="AI31" s="6" t="inlineStr">
        <is>
          <t>Closed 2026-10-19: earlier version read and compared (numbers identical); the MSR / tool_removal assertions are not found in v1 or latest and no live document uses them.</t>
        </is>
      </c>
      <c r="AJ31" s="6" t="inlineStr">
        <is>
          <t>SRC-11 section D2</t>
        </is>
      </c>
      <c r="AK31" s="6" t="inlineStr">
        <is>
          <t>SRC-06 E28</t>
        </is>
      </c>
      <c r="AL31" s="6" t="inlineStr">
        <is>
          <t>S11</t>
        </is>
      </c>
    </row>
    <row r="32" ht="300" customHeight="1">
      <c r="A32" s="5" t="inlineStr">
        <is>
          <t>C-E02/E29</t>
        </is>
      </c>
      <c r="B32" s="6" t="inlineStr">
        <is>
          <t>Tables/figures garbled for ToolRet, Re-Invoke, ComplexMCP, Shi, ToolTweak, MCP-SafetyBench, LiveMCPBench, Token Reduction</t>
        </is>
      </c>
      <c r="C32" s="6" t="inlineStr">
        <is>
          <t>CLOSED - BY EVIDENCE</t>
        </is>
      </c>
      <c r="D32" s="6" t="inlineStr">
        <is>
          <t>No</t>
        </is>
      </c>
      <c r="E32" s="6" t="inlineStr"/>
      <c r="F32" s="6" t="inlineStr"/>
      <c r="G32" s="14" t="inlineStr">
        <is>
          <t>SOURCE-REREAD</t>
        </is>
      </c>
      <c r="H32" s="6" t="inlineStr">
        <is>
          <t>K14 Source &amp; vendor verification</t>
        </is>
      </c>
      <c r="I32" s="6" t="inlineStr">
        <is>
          <t>G4 Before claims</t>
        </is>
      </c>
      <c r="J32" s="6" t="inlineStr">
        <is>
          <t>Normal</t>
        </is>
      </c>
      <c r="K32" s="6" t="n">
        <v>101</v>
      </c>
      <c r="L32" s="6" t="inlineStr">
        <is>
          <t>W2 Desk work (no model runs)</t>
        </is>
      </c>
      <c r="M32" s="6" t="inlineStr">
        <is>
          <t>S11</t>
        </is>
      </c>
      <c r="N32" s="6" t="inlineStr">
        <is>
          <t>Lead + steward</t>
        </is>
      </c>
      <c r="O32" s="6" t="inlineStr">
        <is>
          <t>Closed; moved to Archive</t>
        </is>
      </c>
      <c r="P32" s="6" t="inlineStr">
        <is>
          <t>Partly</t>
        </is>
      </c>
      <c r="Q32" s="6" t="inlineStr">
        <is>
          <t>Source check</t>
        </is>
      </c>
      <c r="R32" s="6" t="inlineStr">
        <is>
          <t>Sub-item</t>
        </is>
      </c>
      <c r="S32" s="6" t="inlineStr">
        <is>
          <t>C-E02</t>
        </is>
      </c>
      <c r="T32" s="6" t="inlineStr">
        <is>
          <t>SRC-06 E29: tables/figures of ToolRet, Re-Invoke, ComplexMCP, Shi, ToolTweak, MCP-SafetyBench, LiveMCPBench and Token Reduction were garbled; only MCPVerse was rendered visually.</t>
        </is>
      </c>
      <c r="U32"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32" s="6" t="inlineStr">
        <is>
          <t>Closed 2026-10-19: the papers whose tables v4 quotes were read on rendered pages; the remaining papers in the original list are cited in no live document and are carried by C-E02/E29-OTHERS (DEFERRED).</t>
        </is>
      </c>
      <c r="W32" s="6" t="inlineStr"/>
      <c r="X32" s="6" t="inlineStr"/>
      <c r="Y32" s="6" t="inlineStr">
        <is>
          <t>Q-U22</t>
        </is>
      </c>
      <c r="Z32" s="6" t="inlineStr"/>
      <c r="AA32" s="6" t="inlineStr"/>
      <c r="AB32" s="6" t="inlineStr">
        <is>
          <t>SOURCE+ACCESS</t>
        </is>
      </c>
      <c r="AC32" s="6" t="inlineStr">
        <is>
          <t>n/a (sub-item)</t>
        </is>
      </c>
      <c r="AD32" s="6" t="inlineStr">
        <is>
          <t>NEW (SRC-11 sub-row)</t>
        </is>
      </c>
      <c r="AE32" s="6" t="inlineStr">
        <is>
          <t>2026-10-19</t>
        </is>
      </c>
      <c r="AF32" s="6" t="inlineStr">
        <is>
          <t>FND-0024 (findings/SUM-0026); EXT-0211; evidence/literature-20261019/pages/INDEX.md (page images with SHA-256; raw PDF hashes match the manifest)</t>
        </is>
      </c>
      <c r="AG32" s="6" t="inlineStr"/>
      <c r="AH32" s="6" t="inlineStr">
        <is>
          <t>No (AUTH-016 covers web fetches for this item)</t>
        </is>
      </c>
      <c r="AI32" s="6" t="inlineStr">
        <is>
          <t>Closed 2026-10-19: the garbled tables behind the brief's ComplexMCP, LiveMCPBench and token-reduction figures were read on page images and the numbers hold; wording corrections (pooled 50.00%; 'full context' implied) are in N-17/WORDING.</t>
        </is>
      </c>
      <c r="AJ32" s="6" t="inlineStr">
        <is>
          <t>SRC-11 section D2</t>
        </is>
      </c>
      <c r="AK32" s="6" t="inlineStr">
        <is>
          <t>SRC-06 E29</t>
        </is>
      </c>
      <c r="AL32" s="6" t="inlineStr">
        <is>
          <t>S11</t>
        </is>
      </c>
    </row>
    <row r="33" ht="178" customHeight="1">
      <c r="A33" s="5" t="inlineStr">
        <is>
          <t>C-S08/BFCLDEF</t>
        </is>
      </c>
      <c r="B33" s="6" t="inlineStr">
        <is>
          <t>BFCL irrelevance/relevance definitions rest on background knowledge</t>
        </is>
      </c>
      <c r="C33" s="6" t="inlineStr">
        <is>
          <t>CLOSED - BY EVIDENCE</t>
        </is>
      </c>
      <c r="D33" s="6" t="inlineStr">
        <is>
          <t>No</t>
        </is>
      </c>
      <c r="E33" s="6" t="inlineStr"/>
      <c r="F33" s="6" t="inlineStr"/>
      <c r="G33" s="14" t="inlineStr">
        <is>
          <t>SOURCE-REREAD</t>
        </is>
      </c>
      <c r="H33" s="6" t="inlineStr">
        <is>
          <t>K8 Search initiation &amp; recovery</t>
        </is>
      </c>
      <c r="I33" s="6" t="inlineStr">
        <is>
          <t>G3 Before confirmatory study</t>
        </is>
      </c>
      <c r="J33" s="6" t="inlineStr">
        <is>
          <t>Normal</t>
        </is>
      </c>
      <c r="K33" s="6" t="n">
        <v>109</v>
      </c>
      <c r="L33" s="6" t="inlineStr">
        <is>
          <t>W2 Desk work (no model runs)</t>
        </is>
      </c>
      <c r="M33" s="6" t="inlineStr">
        <is>
          <t>S11</t>
        </is>
      </c>
      <c r="N33" s="6" t="inlineStr">
        <is>
          <t>Team</t>
        </is>
      </c>
      <c r="O33" s="6" t="inlineStr">
        <is>
          <t>Closed; moved to Archive</t>
        </is>
      </c>
      <c r="P33" s="6" t="inlineStr">
        <is>
          <t>Yes - stored text, unread</t>
        </is>
      </c>
      <c r="Q33" s="6" t="inlineStr">
        <is>
          <t>Source check</t>
        </is>
      </c>
      <c r="R33" s="6" t="inlineStr">
        <is>
          <t>Sub-item</t>
        </is>
      </c>
      <c r="S33" s="6" t="inlineStr">
        <is>
          <t>C-S08</t>
        </is>
      </c>
      <c r="T33" s="6" t="inlineStr">
        <is>
          <t>v4-05 Round 5b states the definitions of irrelevance and relevance detection from the lead's background knowledge [S], not evidence; the leaderboard CSV has no column definitions.</t>
        </is>
      </c>
      <c r="U33"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33" s="6" t="inlineStr">
        <is>
          <t>Definitions quoted from the BFCL paper.</t>
        </is>
      </c>
      <c r="W33" s="6" t="inlineStr"/>
      <c r="X33" s="6" t="inlineStr"/>
      <c r="Y33" s="6" t="inlineStr"/>
      <c r="Z33" s="6" t="inlineStr"/>
      <c r="AA33" s="6" t="inlineStr"/>
      <c r="AB33" s="6" t="inlineStr">
        <is>
          <t>SOURCE</t>
        </is>
      </c>
      <c r="AC33" s="6" t="inlineStr">
        <is>
          <t>n/a (sub-item)</t>
        </is>
      </c>
      <c r="AD33" s="6" t="inlineStr">
        <is>
          <t>NEW (SRC-11 sub-row)</t>
        </is>
      </c>
      <c r="AE33" s="6" t="inlineStr">
        <is>
          <t>2026-10-19</t>
        </is>
      </c>
      <c r="AF33" s="6" t="inlineStr">
        <is>
          <t>FND-0009 (findings/SUM-0011); EXT-0117, EXT-0119, EXT-0121 (lead re-read EXT-0119 and EXT-0121)</t>
        </is>
      </c>
      <c r="AG33" s="6" t="inlineStr"/>
      <c r="AH33" s="6" t="inlineStr">
        <is>
          <t>Yes</t>
        </is>
      </c>
      <c r="AI33" s="6" t="inlineStr">
        <is>
          <t>Closed 2026-10-19 on the paper's own definitions. Correction to v4-05 recorded here; v4-05 text is unchanged (AUTH-016 rule).</t>
        </is>
      </c>
      <c r="AJ33" s="6" t="inlineStr">
        <is>
          <t>repo: v4-05 sections 1B, 3, 4; reviews RV-0006/0007</t>
        </is>
      </c>
      <c r="AK33" s="6" t="inlineStr"/>
      <c r="AL33" s="6" t="inlineStr">
        <is>
          <t>S11</t>
        </is>
      </c>
    </row>
    <row r="34" ht="140.5" customHeight="1">
      <c r="A34" s="5" t="inlineStr">
        <is>
          <t>N-24</t>
        </is>
      </c>
      <c r="B34" s="6" t="inlineStr">
        <is>
          <t>Stored sources with no usable text: r2-llmlingua, r4-vscode-chat-tools, s4b-wc-jshook-searcharch</t>
        </is>
      </c>
      <c r="C34" s="6" t="inlineStr">
        <is>
          <t>CLOSED - BY EVIDENCE</t>
        </is>
      </c>
      <c r="D34" s="6" t="inlineStr">
        <is>
          <t>No</t>
        </is>
      </c>
      <c r="E34" s="6" t="inlineStr"/>
      <c r="F34" s="6" t="inlineStr"/>
      <c r="G34" s="14" t="inlineStr">
        <is>
          <t>SOURCE-REREAD</t>
        </is>
      </c>
      <c r="H34" s="6" t="inlineStr">
        <is>
          <t>K14 Source &amp; vendor verification</t>
        </is>
      </c>
      <c r="I34" s="6" t="inlineStr">
        <is>
          <t>G5 Housekeeping / no block</t>
        </is>
      </c>
      <c r="J34" s="6" t="inlineStr">
        <is>
          <t>Low</t>
        </is>
      </c>
      <c r="K34" s="6" t="n">
        <v>111</v>
      </c>
      <c r="L34" s="6" t="inlineStr">
        <is>
          <t>W2 Desk work (no model runs)</t>
        </is>
      </c>
      <c r="M34" s="6" t="inlineStr">
        <is>
          <t>S11</t>
        </is>
      </c>
      <c r="N34" s="6" t="inlineStr">
        <is>
          <t>Lead</t>
        </is>
      </c>
      <c r="O34" s="6" t="inlineStr">
        <is>
          <t>Closed; moved to Archive</t>
        </is>
      </c>
      <c r="P34" s="6" t="inlineStr">
        <is>
          <t>Answered (see basis)</t>
        </is>
      </c>
      <c r="Q34" s="6" t="inlineStr">
        <is>
          <t>Record fix</t>
        </is>
      </c>
      <c r="R34" s="6" t="inlineStr">
        <is>
          <t>Item</t>
        </is>
      </c>
      <c r="S34" s="6" t="inlineStr"/>
      <c r="T34" s="6" t="inlineStr">
        <is>
          <t>evidence/sources.json: 6 manifests lack stored text; three have retry duplicates (r2-toolgen, r4-speakeasy-dynamic-toolsets, r4-speakeasy...2), test-blocked-eht-blog is a test artefact; r2-llmlingua, r4-vscode-chat-tools and s4b-wc-jshook-searcharch have no stored text.</t>
        </is>
      </c>
      <c r="U34"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34" s="6" t="inlineStr">
        <is>
          <t>Refetched, or recorded as not stored and not relied on.</t>
        </is>
      </c>
      <c r="W34" s="6" t="inlineStr"/>
      <c r="X34" s="6" t="inlineStr"/>
      <c r="Y34" s="6" t="inlineStr"/>
      <c r="Z34" s="6" t="inlineStr"/>
      <c r="AA34" s="6" t="inlineStr"/>
      <c r="AB34" s="6" t="inlineStr">
        <is>
          <t>SOURCE+ACCESS</t>
        </is>
      </c>
      <c r="AC34" s="6" t="inlineStr">
        <is>
          <t>n/a (new)</t>
        </is>
      </c>
      <c r="AD34" s="6" t="inlineStr">
        <is>
          <t>NEW (repo sweep)</t>
        </is>
      </c>
      <c r="AE34" s="6" t="inlineStr">
        <is>
          <t>2026-10-19</t>
        </is>
      </c>
      <c r="AF34" s="6" t="inlineStr">
        <is>
          <t>evidence/sources.json has_text flags (lead check 2026-10-19); repo-wide grep</t>
        </is>
      </c>
      <c r="AG34" s="6" t="inlineStr">
        <is>
          <t>If a design record starts to cite one of the six</t>
        </is>
      </c>
      <c r="AH34" s="6" t="inlineStr">
        <is>
          <t>No (AUTH-016 covers web fetches for this item)</t>
        </is>
      </c>
      <c r="AI34" s="6" t="inlineStr">
        <is>
          <t>Closed 2026-10-19: none is relied on; nothing to refetch.</t>
        </is>
      </c>
      <c r="AJ34" s="6" t="inlineStr">
        <is>
          <t>repo sweep (sources.json)</t>
        </is>
      </c>
      <c r="AK34" s="6" t="inlineStr"/>
      <c r="AL34" s="6" t="inlineStr">
        <is>
          <t>S11</t>
        </is>
      </c>
    </row>
    <row r="35" ht="300" customHeight="1">
      <c r="A35" s="5" t="inlineStr">
        <is>
          <t>C-S19/S45</t>
        </is>
      </c>
      <c r="B35" s="6" t="inlineStr">
        <is>
          <t>Other contradictions (two vs three models, appendix references); 140k/147k not v2-specific</t>
        </is>
      </c>
      <c r="C35" s="6" t="inlineStr">
        <is>
          <t>CLOSED - BY EVIDENCE</t>
        </is>
      </c>
      <c r="D35" s="6" t="inlineStr">
        <is>
          <t>No</t>
        </is>
      </c>
      <c r="E35" s="6" t="inlineStr"/>
      <c r="F35" s="6" t="inlineStr"/>
      <c r="G35" s="16" t="inlineStr">
        <is>
          <t>AUTHOR-OR-VENDOR</t>
        </is>
      </c>
      <c r="H35" s="6" t="inlineStr">
        <is>
          <t>K14 Source &amp; vendor verification</t>
        </is>
      </c>
      <c r="I35" s="6" t="inlineStr">
        <is>
          <t>G5 Housekeeping / no block</t>
        </is>
      </c>
      <c r="J35" s="6" t="inlineStr">
        <is>
          <t>Low</t>
        </is>
      </c>
      <c r="K35" s="6" t="n">
        <v>119</v>
      </c>
      <c r="L35" s="6" t="inlineStr">
        <is>
          <t>W2 Desk work (no model runs)</t>
        </is>
      </c>
      <c r="M35" s="6" t="inlineStr">
        <is>
          <t>S12</t>
        </is>
      </c>
      <c r="N35" s="6" t="inlineStr">
        <is>
          <t>Authors / team</t>
        </is>
      </c>
      <c r="O35" s="6" t="inlineStr">
        <is>
          <t>Closed; moved to Archive</t>
        </is>
      </c>
      <c r="P35" s="6" t="inlineStr">
        <is>
          <t>Partly</t>
        </is>
      </c>
      <c r="Q35" s="6" t="inlineStr">
        <is>
          <t>Source check</t>
        </is>
      </c>
      <c r="R35" s="6" t="inlineStr">
        <is>
          <t>Sub-item</t>
        </is>
      </c>
      <c r="S35" s="6" t="inlineStr">
        <is>
          <t>C-S19</t>
        </is>
      </c>
      <c r="T35" s="6" t="inlineStr">
        <is>
          <t>SRC-06 S45: the 140k/147k discrepancy is not v2-specific and one Claude row is internally consistent; other contradictions remain.</t>
        </is>
      </c>
      <c r="U35"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35" s="6" t="inlineStr">
        <is>
          <t>Closed 2026-10-19: the discrepancies were listed and checked on page images; the cause of each stays an author question.</t>
        </is>
      </c>
      <c r="W35" s="6" t="inlineStr"/>
      <c r="X35" s="6" t="inlineStr"/>
      <c r="Y35" s="6" t="inlineStr"/>
      <c r="Z35" s="6" t="inlineStr"/>
      <c r="AA35" s="6" t="inlineStr"/>
      <c r="AB35" s="6" t="inlineStr">
        <is>
          <t>SOURCE+AUTHOR</t>
        </is>
      </c>
      <c r="AC35" s="6" t="inlineStr">
        <is>
          <t>n/a (sub-item)</t>
        </is>
      </c>
      <c r="AD35" s="6" t="inlineStr">
        <is>
          <t>NEW (SRC-11 sub-row)</t>
        </is>
      </c>
      <c r="AE35" s="6" t="inlineStr">
        <is>
          <t>2026-10-19</t>
        </is>
      </c>
      <c r="AF35" s="6" t="inlineStr">
        <is>
          <t>FND-0026 (findings/SUM-0028); EXT-0203, EXT-0204; evidence/literature-20261019/pages/INDEX.md (MCPVerse v2 pages 5, 7, 9)</t>
        </is>
      </c>
      <c r="AG35" s="6" t="inlineStr"/>
      <c r="AH35" s="6" t="inlineStr">
        <is>
          <t>No</t>
        </is>
      </c>
      <c r="AI35" s="6" t="inlineStr">
        <is>
          <t>Closed 2026-10-19: the contradictions are enumerated with lines; any quotation of MCPVerse v2 must cite them. The causes are for the authors (C-S19/S40, S41).</t>
        </is>
      </c>
      <c r="AJ35" s="6" t="inlineStr">
        <is>
          <t>SRC-11 section D3</t>
        </is>
      </c>
      <c r="AK35" s="6" t="inlineStr">
        <is>
          <t>SRC-06 S45</t>
        </is>
      </c>
      <c r="AL35" s="6" t="inlineStr">
        <is>
          <t>S12</t>
        </is>
      </c>
    </row>
    <row r="36" ht="300" customHeight="1">
      <c r="A36" s="5" t="inlineStr">
        <is>
          <t>AS-01</t>
        </is>
      </c>
      <c r="B36" s="6" t="inlineStr">
        <is>
          <t>Supervisor assertion A1: Semantic search with a strong encoder always beats keyword search</t>
        </is>
      </c>
      <c r="C36" s="6" t="inlineStr">
        <is>
          <t>CLOSED - BY EVIDENCE</t>
        </is>
      </c>
      <c r="D36" s="6" t="inlineStr">
        <is>
          <t>No</t>
        </is>
      </c>
      <c r="E36" s="6" t="inlineStr"/>
      <c r="F36" s="6" t="inlineStr"/>
      <c r="G36" s="11" t="inlineStr">
        <is>
          <t>LITERATURE-DIRECTED</t>
        </is>
      </c>
      <c r="H36" s="6" t="inlineStr">
        <is>
          <t>K14 Source &amp; vendor verification</t>
        </is>
      </c>
      <c r="I36" s="6" t="inlineStr">
        <is>
          <t>G4 Before claims</t>
        </is>
      </c>
      <c r="J36" s="6" t="inlineStr">
        <is>
          <t>Normal</t>
        </is>
      </c>
      <c r="K36" s="6" t="n">
        <v>121</v>
      </c>
      <c r="L36" s="6" t="inlineStr">
        <is>
          <t>W2 Desk work (no model runs)</t>
        </is>
      </c>
      <c r="M36" s="6" t="inlineStr">
        <is>
          <t>S13</t>
        </is>
      </c>
      <c r="N36" s="6" t="inlineStr">
        <is>
          <t>Lead / team</t>
        </is>
      </c>
      <c r="O36" s="6" t="inlineStr">
        <is>
          <t>Closed; moved to Archive</t>
        </is>
      </c>
      <c r="P36" s="6" t="inlineStr">
        <is>
          <t>No</t>
        </is>
      </c>
      <c r="Q36" s="6" t="inlineStr">
        <is>
          <t>Claim to test</t>
        </is>
      </c>
      <c r="R36" s="6" t="inlineStr">
        <is>
          <t>Item</t>
        </is>
      </c>
      <c r="S36" s="6" t="inlineStr"/>
      <c r="T36" s="6" t="inlineStr">
        <is>
          <t>REQ-A1 A1: Semantic search with a strong encoder always beats keyword search. Lexical vs dense vs hybrid is task- and data-dependent; testable in the literature.</t>
        </is>
      </c>
      <c r="U36"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36" s="6" t="inlineStr">
        <is>
          <t>Closed 2026-10-20: criterion 'lexical vs dense vs hybrid is task- and data-dependent; testable in the literature' met.</t>
        </is>
      </c>
      <c r="W36" s="6" t="inlineStr"/>
      <c r="X36" s="6" t="inlineStr"/>
      <c r="Y36" s="6" t="inlineStr"/>
      <c r="Z36" s="6" t="inlineStr"/>
      <c r="AA36" s="6" t="inlineStr"/>
      <c r="AB36" s="6" t="inlineStr">
        <is>
          <t>SOURCE</t>
        </is>
      </c>
      <c r="AC36" s="6" t="inlineStr">
        <is>
          <t>n/a (REGISTER E)</t>
        </is>
      </c>
      <c r="AD36" s="6" t="inlineStr">
        <is>
          <t>NEW (repo sweep)</t>
        </is>
      </c>
      <c r="AE36" s="6" t="inlineStr">
        <is>
          <t>2026-10-20</t>
        </is>
      </c>
      <c r="AF36" s="6" t="inlineStr">
        <is>
          <t>FND-0027 (findings/SUM-0029); FND-0018 (findings/SUM-0020); EXT-0181, EXT-0210; evidence/literature-20261019/pages/INDEX.md (ToolRet p7)</t>
        </is>
      </c>
      <c r="AG36" s="6" t="inlineStr"/>
      <c r="AH36" s="6" t="inlineStr">
        <is>
          <t>No</t>
        </is>
      </c>
      <c r="AI36" s="6" t="inlineStr">
        <is>
          <t>Closed 2026-10-20 as a literature check done: the sources are mixed by encoder class and metric; the supervisor's statement narrows to strong instruction-following encoders; nothing tested in our setting.</t>
        </is>
      </c>
      <c r="AJ36" s="6" t="inlineStr">
        <is>
          <t>repo: REGISTER section E / EXT-0004</t>
        </is>
      </c>
      <c r="AK36" s="6" t="inlineStr">
        <is>
          <t>REQ-A1 A1</t>
        </is>
      </c>
      <c r="AL36" s="6" t="inlineStr">
        <is>
          <t>S11</t>
        </is>
      </c>
    </row>
    <row r="37" ht="300" customHeight="1">
      <c r="A37" s="5" t="inlineStr">
        <is>
          <t>AS-03</t>
        </is>
      </c>
      <c r="B37" s="6" t="inlineStr">
        <is>
          <t>Supervisor assertion A3: Keyword and symbolic search 'will never work here'</t>
        </is>
      </c>
      <c r="C37" s="6" t="inlineStr">
        <is>
          <t>CLOSED - BY EVIDENCE</t>
        </is>
      </c>
      <c r="D37" s="6" t="inlineStr">
        <is>
          <t>No</t>
        </is>
      </c>
      <c r="E37" s="6" t="inlineStr"/>
      <c r="F37" s="6" t="inlineStr"/>
      <c r="G37" s="11" t="inlineStr">
        <is>
          <t>LITERATURE-DIRECTED</t>
        </is>
      </c>
      <c r="H37" s="6" t="inlineStr">
        <is>
          <t>K14 Source &amp; vendor verification</t>
        </is>
      </c>
      <c r="I37" s="6" t="inlineStr">
        <is>
          <t>G5 Housekeeping / no block</t>
        </is>
      </c>
      <c r="J37" s="6" t="inlineStr">
        <is>
          <t>Low</t>
        </is>
      </c>
      <c r="K37" s="6" t="n">
        <v>122</v>
      </c>
      <c r="L37" s="6" t="inlineStr">
        <is>
          <t>W2 Desk work (no model runs)</t>
        </is>
      </c>
      <c r="M37" s="6" t="inlineStr">
        <is>
          <t>S13</t>
        </is>
      </c>
      <c r="N37" s="6" t="inlineStr">
        <is>
          <t>Lead / team</t>
        </is>
      </c>
      <c r="O37" s="6" t="inlineStr">
        <is>
          <t>Closed; moved to Archive</t>
        </is>
      </c>
      <c r="P37" s="6" t="inlineStr">
        <is>
          <t>No</t>
        </is>
      </c>
      <c r="Q37" s="6" t="inlineStr">
        <is>
          <t>Claim to test</t>
        </is>
      </c>
      <c r="R37" s="6" t="inlineStr">
        <is>
          <t>Item</t>
        </is>
      </c>
      <c r="S37" s="6" t="inlineStr"/>
      <c r="T37" s="6" t="inlineStr">
        <is>
          <t>REQ-A1 A3: Keyword and symbolic search 'will never work here'. Conflicts with A1's framing (T2).</t>
        </is>
      </c>
      <c r="U3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37" s="6" t="inlineStr">
        <is>
          <t>Closed 2026-10-20: criterion met (the conflict with A1's framing is recorded; both are task- and data-dependent in the sources).</t>
        </is>
      </c>
      <c r="W37" s="6" t="inlineStr"/>
      <c r="X37" s="6" t="inlineStr"/>
      <c r="Y37" s="6" t="inlineStr"/>
      <c r="Z37" s="6" t="inlineStr"/>
      <c r="AA37" s="6" t="inlineStr"/>
      <c r="AB37" s="6" t="inlineStr">
        <is>
          <t>SOURCE</t>
        </is>
      </c>
      <c r="AC37" s="6" t="inlineStr">
        <is>
          <t>n/a (REGISTER E)</t>
        </is>
      </c>
      <c r="AD37" s="6" t="inlineStr">
        <is>
          <t>NEW (repo sweep)</t>
        </is>
      </c>
      <c r="AE37" s="6" t="inlineStr">
        <is>
          <t>2026-10-20</t>
        </is>
      </c>
      <c r="AF37" s="6" t="inlineStr">
        <is>
          <t>FND-0027; FND-0018; FND-0031; EXT-0207, EXT-0210</t>
        </is>
      </c>
      <c r="AG37" s="6" t="inlineStr"/>
      <c r="AH37" s="6" t="inlineStr">
        <is>
          <t>No</t>
        </is>
      </c>
      <c r="AI37" s="6" t="inlineStr">
        <is>
          <t>Closed 2026-10-20 as a literature check done: keyword retrieval is neither useless nor competitive with the strongest encoders on the stored metrics; our setting untested.</t>
        </is>
      </c>
      <c r="AJ37" s="6" t="inlineStr">
        <is>
          <t>repo: REGISTER section E / EXT-0004</t>
        </is>
      </c>
      <c r="AK37" s="6" t="inlineStr">
        <is>
          <t>REQ-A1 A3</t>
        </is>
      </c>
      <c r="AL37" s="6" t="inlineStr">
        <is>
          <t>S11</t>
        </is>
      </c>
    </row>
    <row r="38" ht="300" customHeight="1">
      <c r="A38" s="5" t="inlineStr">
        <is>
          <t>AS-04</t>
        </is>
      </c>
      <c r="B38" s="6" t="inlineStr">
        <is>
          <t>Supervisor assertion A4: Tool use works because descriptions give the LLM an assumption about behaviour</t>
        </is>
      </c>
      <c r="C38" s="6" t="inlineStr">
        <is>
          <t>CLOSED - BY EVIDENCE</t>
        </is>
      </c>
      <c r="D38" s="6" t="inlineStr">
        <is>
          <t>No</t>
        </is>
      </c>
      <c r="E38" s="6" t="inlineStr"/>
      <c r="F38" s="6" t="inlineStr"/>
      <c r="G38" s="11" t="inlineStr">
        <is>
          <t>LITERATURE-DIRECTED</t>
        </is>
      </c>
      <c r="H38" s="6" t="inlineStr">
        <is>
          <t>K14 Source &amp; vendor verification</t>
        </is>
      </c>
      <c r="I38" s="6" t="inlineStr">
        <is>
          <t>G5 Housekeeping / no block</t>
        </is>
      </c>
      <c r="J38" s="6" t="inlineStr">
        <is>
          <t>Low</t>
        </is>
      </c>
      <c r="K38" s="6" t="n">
        <v>123</v>
      </c>
      <c r="L38" s="6" t="inlineStr">
        <is>
          <t>W2 Desk work (no model runs)</t>
        </is>
      </c>
      <c r="M38" s="6" t="inlineStr">
        <is>
          <t>S13</t>
        </is>
      </c>
      <c r="N38" s="6" t="inlineStr">
        <is>
          <t>Lead / team</t>
        </is>
      </c>
      <c r="O38" s="6" t="inlineStr">
        <is>
          <t>Closed; moved to Archive</t>
        </is>
      </c>
      <c r="P38" s="6" t="inlineStr">
        <is>
          <t>No</t>
        </is>
      </c>
      <c r="Q38" s="6" t="inlineStr">
        <is>
          <t>Claim to test</t>
        </is>
      </c>
      <c r="R38" s="6" t="inlineStr">
        <is>
          <t>Item</t>
        </is>
      </c>
      <c r="S38" s="6" t="inlineStr"/>
      <c r="T38" s="6" t="inlineStr">
        <is>
          <t>REQ-A1 A4: Tool use works because descriptions give the LLM an assumption about behaviour. Plausible; testable (misleading-description studies).</t>
        </is>
      </c>
      <c r="U38"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38" s="6" t="inlineStr">
        <is>
          <t>Closed 2026-10-19: the misleading-description study was found, read and quantified; its limits are recorded.</t>
        </is>
      </c>
      <c r="W38" s="6" t="inlineStr"/>
      <c r="X38" s="6" t="inlineStr"/>
      <c r="Y38" s="6" t="inlineStr"/>
      <c r="Z38" s="6" t="inlineStr"/>
      <c r="AA38" s="6" t="inlineStr"/>
      <c r="AB38" s="6" t="inlineStr">
        <is>
          <t>SOURCE</t>
        </is>
      </c>
      <c r="AC38" s="6" t="inlineStr">
        <is>
          <t>n/a (REGISTER E)</t>
        </is>
      </c>
      <c r="AD38" s="6" t="inlineStr">
        <is>
          <t>NEW (repo sweep)</t>
        </is>
      </c>
      <c r="AE38" s="6" t="inlineStr">
        <is>
          <t>2026-10-19</t>
        </is>
      </c>
      <c r="AF38" s="6" t="inlineStr">
        <is>
          <t>FND-0027 (findings/SUM-0029); EXT-0209, EXT-0210, EXT-0212, EXT-0213, EXT-0214</t>
        </is>
      </c>
      <c r="AG38" s="6" t="inlineStr"/>
      <c r="AH38" s="6" t="inlineStr">
        <is>
          <t>No</t>
        </is>
      </c>
      <c r="AI38"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38" s="6" t="inlineStr">
        <is>
          <t>repo: REGISTER section E / EXT-0004</t>
        </is>
      </c>
      <c r="AK38" s="6" t="inlineStr">
        <is>
          <t>REQ-A1 A4</t>
        </is>
      </c>
      <c r="AL38" s="6" t="inlineStr">
        <is>
          <t>S11</t>
        </is>
      </c>
    </row>
    <row r="39" ht="153" customHeight="1">
      <c r="A39" s="5" t="inlineStr">
        <is>
          <t>AS-05</t>
        </is>
      </c>
      <c r="B39" s="6" t="inlineStr">
        <is>
          <t>Supervisor assertion A5: Query expansion helps because it surfaces terms matching tool descriptions; already known, not novel</t>
        </is>
      </c>
      <c r="C39" s="6" t="inlineStr">
        <is>
          <t>CLOSED - BY EVIDENCE</t>
        </is>
      </c>
      <c r="D39" s="6" t="inlineStr">
        <is>
          <t>No</t>
        </is>
      </c>
      <c r="E39" s="6" t="inlineStr"/>
      <c r="F39" s="6" t="inlineStr"/>
      <c r="G39" s="11" t="inlineStr">
        <is>
          <t>LITERATURE-DIRECTED</t>
        </is>
      </c>
      <c r="H39" s="6" t="inlineStr">
        <is>
          <t>K14 Source &amp; vendor verification</t>
        </is>
      </c>
      <c r="I39" s="6" t="inlineStr">
        <is>
          <t>G5 Housekeeping / no block</t>
        </is>
      </c>
      <c r="J39" s="6" t="inlineStr">
        <is>
          <t>Low</t>
        </is>
      </c>
      <c r="K39" s="6" t="n">
        <v>124</v>
      </c>
      <c r="L39" s="6" t="inlineStr">
        <is>
          <t>W2 Desk work (no model runs)</t>
        </is>
      </c>
      <c r="M39" s="6" t="inlineStr">
        <is>
          <t>S13</t>
        </is>
      </c>
      <c r="N39" s="6" t="inlineStr">
        <is>
          <t>Lead / team</t>
        </is>
      </c>
      <c r="O39" s="6" t="inlineStr">
        <is>
          <t>Closed; moved to Archive</t>
        </is>
      </c>
      <c r="P39" s="6" t="inlineStr">
        <is>
          <t>No</t>
        </is>
      </c>
      <c r="Q39" s="6" t="inlineStr">
        <is>
          <t>Claim to test</t>
        </is>
      </c>
      <c r="R39" s="6" t="inlineStr">
        <is>
          <t>Item</t>
        </is>
      </c>
      <c r="S39" s="6" t="inlineStr"/>
      <c r="T39" s="6" t="inlineStr">
        <is>
          <t>REQ-A1 A5: Query expansion helps because it surfaces terms matching tool descriptions; already known, not novel. Prior-art claim to verify.</t>
        </is>
      </c>
      <c r="U39"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39" s="6" t="inlineStr">
        <is>
          <t>Closed 2026-10-19: criterion 'prior-art claim to verify' met for existence of published prior art.</t>
        </is>
      </c>
      <c r="W39" s="6" t="inlineStr"/>
      <c r="X39" s="6" t="inlineStr"/>
      <c r="Y39" s="6" t="inlineStr"/>
      <c r="Z39" s="6" t="inlineStr"/>
      <c r="AA39" s="6" t="inlineStr"/>
      <c r="AB39" s="6" t="inlineStr">
        <is>
          <t>SOURCE</t>
        </is>
      </c>
      <c r="AC39" s="6" t="inlineStr">
        <is>
          <t>n/a (REGISTER E)</t>
        </is>
      </c>
      <c r="AD39" s="6" t="inlineStr">
        <is>
          <t>NEW (repo sweep)</t>
        </is>
      </c>
      <c r="AE39" s="6" t="inlineStr">
        <is>
          <t>2026-10-19</t>
        </is>
      </c>
      <c r="AF39" s="6" t="inlineStr">
        <is>
          <t>FND-0018 (findings/SUM-0020); EXT-0181, EXT-0182; stored texts evidence/literature-20261019/lit-tooldreamer-2510.19791.txt, lit-stackone-bm25-hybrid.txt, lit-langchain-progressive-disclosure.txt, lit-embabel-unfolding-tool.txt</t>
        </is>
      </c>
      <c r="AG39" s="6" t="inlineStr">
        <is>
          <t>If the cited earlier works (Kachuee 2025 and others) are needed for a novelty statement</t>
        </is>
      </c>
      <c r="AH39" s="6" t="inlineStr">
        <is>
          <t>No</t>
        </is>
      </c>
      <c r="AI3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39" s="6" t="inlineStr">
        <is>
          <t>repo: REGISTER section E / EXT-0004</t>
        </is>
      </c>
      <c r="AK39" s="6" t="inlineStr">
        <is>
          <t>REQ-A1 A5</t>
        </is>
      </c>
      <c r="AL39" s="6" t="inlineStr">
        <is>
          <t>S11</t>
        </is>
      </c>
    </row>
    <row r="40" ht="300" customHeight="1">
      <c r="A40" s="5" t="inlineStr">
        <is>
          <t>C-S08/VOCAB</t>
        </is>
      </c>
      <c r="B40" s="6" t="inlineStr">
        <is>
          <t>Different-vocabulary literature pass not done (agentic retrieval, tool abstention, function hallucination, MCP gateway)</t>
        </is>
      </c>
      <c r="C40" s="6" t="inlineStr">
        <is>
          <t>CLOSED - BY EVIDENCE</t>
        </is>
      </c>
      <c r="D40" s="6" t="inlineStr">
        <is>
          <t>No</t>
        </is>
      </c>
      <c r="E40" s="6" t="inlineStr"/>
      <c r="F40" s="6" t="inlineStr"/>
      <c r="G40" s="11" t="inlineStr">
        <is>
          <t>LITERATURE-DIRECTED</t>
        </is>
      </c>
      <c r="H40" s="6" t="inlineStr">
        <is>
          <t>K8 Search initiation &amp; recovery</t>
        </is>
      </c>
      <c r="I40" s="6" t="inlineStr">
        <is>
          <t>G3 Before confirmatory study</t>
        </is>
      </c>
      <c r="J40" s="6" t="inlineStr">
        <is>
          <t>Normal</t>
        </is>
      </c>
      <c r="K40" s="6" t="n">
        <v>127</v>
      </c>
      <c r="L40" s="6" t="inlineStr">
        <is>
          <t>W2 Desk work (no model runs)</t>
        </is>
      </c>
      <c r="M40" s="6" t="inlineStr">
        <is>
          <t>S13</t>
        </is>
      </c>
      <c r="N40" s="6" t="inlineStr">
        <is>
          <t>Team</t>
        </is>
      </c>
      <c r="O40" s="6" t="inlineStr">
        <is>
          <t>Closed; moved to Archive</t>
        </is>
      </c>
      <c r="P40" s="6" t="inlineStr">
        <is>
          <t>No</t>
        </is>
      </c>
      <c r="Q40" s="6" t="inlineStr">
        <is>
          <t>Scientific unknown</t>
        </is>
      </c>
      <c r="R40" s="6" t="inlineStr">
        <is>
          <t>Sub-item</t>
        </is>
      </c>
      <c r="S40" s="6" t="inlineStr">
        <is>
          <t>C-S08</t>
        </is>
      </c>
      <c r="T40" s="6" t="inlineStr">
        <is>
          <t>The search sample is search-engine driven and recent-preprint heavy; a bounded different-vocabulary pass was proposed (CH-0067, CH-0073) and is listed as not done in v4-05 section 5.</t>
        </is>
      </c>
      <c r="U40"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40" s="6" t="inlineStr">
        <is>
          <t>Closed 2026-10-20: criterion 'a bounded pass run with logged queries, saturation stated' met.</t>
        </is>
      </c>
      <c r="W40" s="6" t="inlineStr"/>
      <c r="X40" s="6" t="inlineStr"/>
      <c r="Y40" s="6" t="inlineStr">
        <is>
          <t>Q-U21</t>
        </is>
      </c>
      <c r="Z40" s="6" t="inlineStr"/>
      <c r="AA40" s="6" t="inlineStr"/>
      <c r="AB40" s="6" t="inlineStr">
        <is>
          <t>SOURCE</t>
        </is>
      </c>
      <c r="AC40" s="6" t="inlineStr">
        <is>
          <t>n/a (sub-item)</t>
        </is>
      </c>
      <c r="AD40" s="6" t="inlineStr">
        <is>
          <t>NEW (SRC-11 sub-row)</t>
        </is>
      </c>
      <c r="AE40" s="6" t="inlineStr">
        <is>
          <t>2026-10-20</t>
        </is>
      </c>
      <c r="AF40" s="6" t="inlineStr">
        <is>
          <t>ops/threads/T-20261019-102/TASK.md (query log); literature README; FND-0016, FND-0018</t>
        </is>
      </c>
      <c r="AG40" s="6" t="inlineStr"/>
      <c r="AH40" s="6" t="inlineStr">
        <is>
          <t>No (AUTH-016 covers web fetches for this item)</t>
        </is>
      </c>
      <c r="AI40" s="6" t="inlineStr">
        <is>
          <t>Closed 2026-10-20: a bounded different-vocabulary pass was run with logged queries; saturation is stated as not claimed.</t>
        </is>
      </c>
      <c r="AJ40" s="6" t="inlineStr">
        <is>
          <t>repo: v4-05 sections 1B, 3, 4; reviews RV-0006/0007</t>
        </is>
      </c>
      <c r="AK40" s="6" t="inlineStr">
        <is>
          <t>CH-0067, CH-0073</t>
        </is>
      </c>
      <c r="AL40" s="6" t="inlineStr">
        <is>
          <t>S13</t>
        </is>
      </c>
    </row>
    <row r="41" ht="240.5" customHeight="1">
      <c r="A41" s="5" t="inlineStr">
        <is>
          <t>N-6/SKILLMEM</t>
        </is>
      </c>
      <c r="B41" s="6" t="inlineStr">
        <is>
          <t>Procedural/skill-memory literature surfaced by one search, not read</t>
        </is>
      </c>
      <c r="C41" s="6" t="inlineStr">
        <is>
          <t>CLOSED - BY EVIDENCE</t>
        </is>
      </c>
      <c r="D41" s="6" t="inlineStr">
        <is>
          <t>No</t>
        </is>
      </c>
      <c r="E41" s="6" t="inlineStr"/>
      <c r="F41" s="6" t="inlineStr"/>
      <c r="G41" s="11" t="inlineStr">
        <is>
          <t>LITERATURE-DIRECTED</t>
        </is>
      </c>
      <c r="H41" s="6" t="inlineStr">
        <is>
          <t>K4 Memory &amp; sessions</t>
        </is>
      </c>
      <c r="I41" s="6" t="inlineStr">
        <is>
          <t>G3 Before confirmatory study</t>
        </is>
      </c>
      <c r="J41" s="6" t="inlineStr">
        <is>
          <t>Normal</t>
        </is>
      </c>
      <c r="K41" s="6" t="n">
        <v>128</v>
      </c>
      <c r="L41" s="6" t="inlineStr">
        <is>
          <t>W2 Desk work (no model runs)</t>
        </is>
      </c>
      <c r="M41" s="6" t="inlineStr">
        <is>
          <t>S13</t>
        </is>
      </c>
      <c r="N41" s="6" t="inlineStr">
        <is>
          <t>Lead</t>
        </is>
      </c>
      <c r="O41" s="6" t="inlineStr">
        <is>
          <t>Closed; moved to Archive</t>
        </is>
      </c>
      <c r="P41" s="6" t="inlineStr">
        <is>
          <t>No</t>
        </is>
      </c>
      <c r="Q41" s="6" t="inlineStr">
        <is>
          <t>Source check</t>
        </is>
      </c>
      <c r="R41" s="6" t="inlineStr">
        <is>
          <t>Sub-item</t>
        </is>
      </c>
      <c r="S41" s="6" t="inlineStr">
        <is>
          <t>N-6</t>
        </is>
      </c>
      <c r="T41" s="6" t="inlineStr">
        <is>
          <t>RV-0006 and v4-05: procedural or skill-memory work (surfaced by one search) may bear on cross-session tool memory and was not read [U].</t>
        </is>
      </c>
      <c r="U41"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41" s="6" t="inlineStr">
        <is>
          <t>Closed 2026-10-19: criterion 'directed search done; related work read or ruled out' met for the five texts; unread parts listed in FND-0017.</t>
        </is>
      </c>
      <c r="W41" s="6" t="inlineStr"/>
      <c r="X41" s="6" t="inlineStr"/>
      <c r="Y41" s="6" t="inlineStr"/>
      <c r="Z41" s="6" t="inlineStr"/>
      <c r="AA41" s="6" t="inlineStr"/>
      <c r="AB41" s="6" t="inlineStr">
        <is>
          <t>SOURCE</t>
        </is>
      </c>
      <c r="AC41" s="6" t="inlineStr">
        <is>
          <t>n/a (sub-item)</t>
        </is>
      </c>
      <c r="AD41" s="6" t="inlineStr">
        <is>
          <t>NEW (repo sweep)</t>
        </is>
      </c>
      <c r="AE41" s="6" t="inlineStr">
        <is>
          <t>2026-10-19</t>
        </is>
      </c>
      <c r="AF41" s="6" t="inlineStr">
        <is>
          <t>FND-0017 (findings/SUM-0019); stored texts evidence/literature-20261019/lit-skilllens-2605.08386.txt, lit-procmem-2602.01869.txt (the paper is titled Skill-Pro), lit-codemem-2512.15813.txt, lit-efficientagents-2601.14192.txt, lit-memskill-2609.16669.txt</t>
        </is>
      </c>
      <c r="AG41" s="6" t="inlineStr">
        <is>
          <t>If Graph of Skills, SkillRouter or another cited work is judged to bear on tool-existence memory</t>
        </is>
      </c>
      <c r="AH41" s="6" t="inlineStr">
        <is>
          <t>No (AUTH-016 covers web fetches for this item)</t>
        </is>
      </c>
      <c r="AI41"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41" s="6" t="inlineStr">
        <is>
          <t>repo: RV-0006; v4-05 section 1C</t>
        </is>
      </c>
      <c r="AK41" s="6" t="inlineStr"/>
      <c r="AL41" s="6" t="inlineStr">
        <is>
          <t>S13</t>
        </is>
      </c>
    </row>
    <row r="42" ht="215.5" customHeight="1">
      <c r="A42" s="5" t="inlineStr">
        <is>
          <t>C-R01/C01</t>
        </is>
      </c>
      <c r="B42" s="6" t="inlineStr">
        <is>
          <t>D4: arm choice, multiplicity, test-split failure</t>
        </is>
      </c>
      <c r="C42" s="6" t="inlineStr">
        <is>
          <t>CLOSED - BY EVIDENCE</t>
        </is>
      </c>
      <c r="D42" s="6" t="inlineStr">
        <is>
          <t>No</t>
        </is>
      </c>
      <c r="E42" s="6" t="inlineStr"/>
      <c r="F42" s="6" t="inlineStr"/>
      <c r="G42" s="8" t="inlineStr">
        <is>
          <t>RECORDS-AT-HAND</t>
        </is>
      </c>
      <c r="H42" s="6" t="inlineStr">
        <is>
          <t>K17 Record repair &amp; procedure error</t>
        </is>
      </c>
      <c r="I42" s="6" t="inlineStr">
        <is>
          <t>G3 Before confirmatory study</t>
        </is>
      </c>
      <c r="J42" s="6" t="inlineStr">
        <is>
          <t>Normal</t>
        </is>
      </c>
      <c r="K42" s="6" t="n">
        <v>130</v>
      </c>
      <c r="L42" s="6" t="inlineStr">
        <is>
          <t>W2 Desk work (no model runs)</t>
        </is>
      </c>
      <c r="M42" s="6" t="inlineStr">
        <is>
          <t>S15</t>
        </is>
      </c>
      <c r="N42" s="6" t="inlineStr">
        <is>
          <t>Lead + fresh reviewer</t>
        </is>
      </c>
      <c r="O42" s="6" t="inlineStr">
        <is>
          <t>Closed; moved to Archive</t>
        </is>
      </c>
      <c r="P42" s="6" t="inlineStr">
        <is>
          <t>Partly</t>
        </is>
      </c>
      <c r="Q42" s="6" t="inlineStr">
        <is>
          <t>Scientific unknown</t>
        </is>
      </c>
      <c r="R42" s="6" t="inlineStr">
        <is>
          <t>Sub-item</t>
        </is>
      </c>
      <c r="S42" s="6" t="inlineStr">
        <is>
          <t>C-R01</t>
        </is>
      </c>
      <c r="T42" s="6" t="inlineStr">
        <is>
          <t>SRC-06 C01: D4's arm selection, multiplicity and test-split failure handling.</t>
        </is>
      </c>
      <c r="U42" s="6" t="inlineStr">
        <is>
          <t>Rule rewritten; multiplicity enumeration (CH-0040 a,b) still open; also belongs to C-S14. Batch 15 (2026-10-20): independent re-check by RV-0008 (CH-0040, CH-0049): v3 02 node D4 (a) states that the arm list is fixed before any split is run as an explicit finite table with alpha controlled over its count ('the table and its size are a human decision ... Nothing here fixes the table') and (b) that a chosen arm failing the test-split confirmation is not replaced by the runner-up on the same split but reported as OUT2 (design/package-v3/02-supervisor-decision-graph.md line 63; read by the lead). The table's content and size remain a human decision (C-D08/ARMS, C-S14/MULT); the failed-confirmation branch missing from v4 Figure 2 is drafted in design/package-v4/06-corrections-proposed.md section 1.</t>
        </is>
      </c>
      <c r="V42" s="6" t="inlineStr">
        <is>
          <t>Closed 2026-10-20: criterion 'independent re-check and a dated fix' met (RV-0008; the v3 D4 text read on this date).</t>
        </is>
      </c>
      <c r="W42" s="6" t="inlineStr"/>
      <c r="X42" s="6" t="inlineStr"/>
      <c r="Y42" s="6" t="inlineStr"/>
      <c r="Z42" s="6" t="inlineStr"/>
      <c r="AA42" s="6" t="inlineStr"/>
      <c r="AB42" s="6" t="inlineStr">
        <is>
          <t>RECORD+DATA</t>
        </is>
      </c>
      <c r="AC42" s="6" t="inlineStr">
        <is>
          <t>n/a (sub-item)</t>
        </is>
      </c>
      <c r="AD42" s="6" t="inlineStr">
        <is>
          <t>NEW (SRC-11 sub-row)</t>
        </is>
      </c>
      <c r="AE42" s="6" t="inlineStr">
        <is>
          <t>2026-10-20</t>
        </is>
      </c>
      <c r="AF42" s="6" t="inlineStr">
        <is>
          <t>reviews/RV-0008.md (fresh reviewer, same model family, read the current text); design/package-v3/02-supervisor-decision-graph.md:63; design/package-v4/06-corrections-proposed.md</t>
        </is>
      </c>
      <c r="AG42" s="6" t="inlineStr"/>
      <c r="AH42" s="6" t="inlineStr">
        <is>
          <t>No</t>
        </is>
      </c>
      <c r="AI42" s="6" t="inlineStr">
        <is>
          <t>Closed 2026-10-20: the arm-selection, multiplicity and failed-confirmation rules exist in the text and were independently re-read; the table's content is a decision carried by C-D08/ARMS and C-S14/MULT.</t>
        </is>
      </c>
      <c r="AJ42" s="6" t="inlineStr">
        <is>
          <t>SRC-11 section D4</t>
        </is>
      </c>
      <c r="AK42" s="6" t="inlineStr">
        <is>
          <t>SRC-06 C01, CH-0040</t>
        </is>
      </c>
      <c r="AL42" s="6" t="inlineStr">
        <is>
          <t>S09</t>
        </is>
      </c>
    </row>
    <row r="43" ht="115.5" customHeight="1">
      <c r="A43" s="5" t="inlineStr">
        <is>
          <t>C-R01/C02</t>
        </is>
      </c>
      <c r="B43" s="6" t="inlineStr">
        <is>
          <t>Annotations / substitute reference</t>
        </is>
      </c>
      <c r="C43" s="6" t="inlineStr">
        <is>
          <t>CLOSED - BY EVIDENCE</t>
        </is>
      </c>
      <c r="D43" s="6" t="inlineStr">
        <is>
          <t>No</t>
        </is>
      </c>
      <c r="E43" s="6" t="inlineStr"/>
      <c r="F43" s="6" t="inlineStr"/>
      <c r="G43" s="8" t="inlineStr">
        <is>
          <t>RECORDS-AT-HAND</t>
        </is>
      </c>
      <c r="H43" s="6" t="inlineStr">
        <is>
          <t>K17 Record repair &amp; procedure error</t>
        </is>
      </c>
      <c r="I43" s="6" t="inlineStr">
        <is>
          <t>G3 Before confirmatory study</t>
        </is>
      </c>
      <c r="J43" s="6" t="inlineStr">
        <is>
          <t>Normal</t>
        </is>
      </c>
      <c r="K43" s="6" t="n">
        <v>131</v>
      </c>
      <c r="L43" s="6" t="inlineStr">
        <is>
          <t>W2 Desk work (no model runs)</t>
        </is>
      </c>
      <c r="M43" s="6" t="inlineStr">
        <is>
          <t>S15</t>
        </is>
      </c>
      <c r="N43" s="6" t="inlineStr">
        <is>
          <t>Lead + fresh reviewer</t>
        </is>
      </c>
      <c r="O43" s="6" t="inlineStr">
        <is>
          <t>Closed; moved to Archive</t>
        </is>
      </c>
      <c r="P43" s="6" t="inlineStr">
        <is>
          <t>Partly</t>
        </is>
      </c>
      <c r="Q43" s="6" t="inlineStr">
        <is>
          <t>Scientific unknown</t>
        </is>
      </c>
      <c r="R43" s="6" t="inlineStr">
        <is>
          <t>Sub-item</t>
        </is>
      </c>
      <c r="S43" s="6" t="inlineStr">
        <is>
          <t>C-R01</t>
        </is>
      </c>
      <c r="T43" s="6" t="inlineStr">
        <is>
          <t>SRC-06 C02: source of annotations and the substitute reference.</t>
        </is>
      </c>
      <c r="U43" s="6" t="inlineStr">
        <is>
          <t>Substitute rule replaced by R-full / R-pool / frontier; R-pool direction unresolved. Batch 15 (2026-10-20): RV-0008 (CH-0038, SUPERSEDED): v4 02 section 4 replaced the v3 substitute-reference rule with a ladder (R-full, R-pool, frontier); the direction of the R-pool bar (harder or easier than expose-all) is carried by C-S13/POOLDIR and the source of strata annotations at large scale by C-D08/STRATA.</t>
        </is>
      </c>
      <c r="V43" s="6" t="inlineStr">
        <is>
          <t>Closed 2026-10-20: criterion met (RV-0008 re-check; v4 text).</t>
        </is>
      </c>
      <c r="W43" s="6" t="inlineStr"/>
      <c r="X43" s="6" t="inlineStr"/>
      <c r="Y43" s="6" t="inlineStr"/>
      <c r="Z43" s="6" t="inlineStr"/>
      <c r="AA43" s="6" t="inlineStr"/>
      <c r="AB43" s="6" t="inlineStr">
        <is>
          <t>RECORD+DATA</t>
        </is>
      </c>
      <c r="AC43" s="6" t="inlineStr">
        <is>
          <t>n/a (sub-item)</t>
        </is>
      </c>
      <c r="AD43" s="6" t="inlineStr">
        <is>
          <t>NEW (SRC-11 sub-row)</t>
        </is>
      </c>
      <c r="AE43" s="6" t="inlineStr">
        <is>
          <t>2026-10-20</t>
        </is>
      </c>
      <c r="AF43" s="6" t="inlineStr">
        <is>
          <t>reviews/RV-0008.md (fresh reviewer, same model family, read the current text); design/package-v4/02-policy-graph-and-protocol.md section 4</t>
        </is>
      </c>
      <c r="AG43" s="6" t="inlineStr"/>
      <c r="AH43" s="6" t="inlineStr">
        <is>
          <t>No</t>
        </is>
      </c>
      <c r="AI43" s="6" t="inlineStr">
        <is>
          <t>Closed 2026-10-20: the substitute-reference wording is replaced and independently re-read; the open points are carried by C-S13/POOLDIR and C-D08/STRATA.</t>
        </is>
      </c>
      <c r="AJ43" s="6" t="inlineStr">
        <is>
          <t>SRC-11 section D4</t>
        </is>
      </c>
      <c r="AK43" s="6" t="inlineStr">
        <is>
          <t>SRC-06 C02, CH-0038</t>
        </is>
      </c>
      <c r="AL43" s="6" t="inlineStr">
        <is>
          <t>S09</t>
        </is>
      </c>
    </row>
    <row r="44" ht="115.5" customHeight="1">
      <c r="A44" s="5" t="inlineStr">
        <is>
          <t>C-R01/C05</t>
        </is>
      </c>
      <c r="B44" s="6" t="inlineStr">
        <is>
          <t>Fair baseline / usage knowledge</t>
        </is>
      </c>
      <c r="C44" s="6" t="inlineStr">
        <is>
          <t>CLOSED - BY EVIDENCE</t>
        </is>
      </c>
      <c r="D44" s="6" t="inlineStr">
        <is>
          <t>No</t>
        </is>
      </c>
      <c r="E44" s="6" t="inlineStr"/>
      <c r="F44" s="6" t="inlineStr"/>
      <c r="G44" s="8" t="inlineStr">
        <is>
          <t>RECORDS-AT-HAND</t>
        </is>
      </c>
      <c r="H44" s="6" t="inlineStr">
        <is>
          <t>K17 Record repair &amp; procedure error</t>
        </is>
      </c>
      <c r="I44" s="6" t="inlineStr">
        <is>
          <t>G3 Before confirmatory study</t>
        </is>
      </c>
      <c r="J44" s="6" t="inlineStr">
        <is>
          <t>Normal</t>
        </is>
      </c>
      <c r="K44" s="6" t="n">
        <v>134</v>
      </c>
      <c r="L44" s="6" t="inlineStr">
        <is>
          <t>W2 Desk work (no model runs)</t>
        </is>
      </c>
      <c r="M44" s="6" t="inlineStr">
        <is>
          <t>S15</t>
        </is>
      </c>
      <c r="N44" s="6" t="inlineStr">
        <is>
          <t>Lead + fresh reviewer</t>
        </is>
      </c>
      <c r="O44" s="6" t="inlineStr">
        <is>
          <t>Closed; moved to Archive</t>
        </is>
      </c>
      <c r="P44" s="6" t="inlineStr">
        <is>
          <t>Partly</t>
        </is>
      </c>
      <c r="Q44" s="6" t="inlineStr">
        <is>
          <t>Scientific unknown</t>
        </is>
      </c>
      <c r="R44" s="6" t="inlineStr">
        <is>
          <t>Sub-item</t>
        </is>
      </c>
      <c r="S44" s="6" t="inlineStr">
        <is>
          <t>C-R01</t>
        </is>
      </c>
      <c r="T44" s="6" t="inlineStr">
        <is>
          <t>SRC-06 C05: fair baseline and the usage knowledge a hand-picked core needs.</t>
        </is>
      </c>
      <c r="U44" s="6" t="inlineStr">
        <is>
          <t>Text corrected ('needs usage knowledge'); comparison reframed. Batch 15 (2026-10-20): RV-0008 (CH-0043, APPLIED-VERIFIED): the hand-picked-core comparison now says it 'needs usage knowledge' (v3 03 line 35: 'naming the 3-5 most-used tools needs usage knowledge, the same estimator gap as errata correction 4'; v4 01 line 86: 'picking the core needs usage knowledge a large catalogue lacks').</t>
        </is>
      </c>
      <c r="V44" s="6" t="inlineStr">
        <is>
          <t>Closed 2026-10-20: criterion met (RV-0008 re-check; text quoted).</t>
        </is>
      </c>
      <c r="W44" s="6" t="inlineStr"/>
      <c r="X44" s="6" t="inlineStr"/>
      <c r="Y44" s="6" t="inlineStr"/>
      <c r="Z44" s="6" t="inlineStr"/>
      <c r="AA44" s="6" t="inlineStr"/>
      <c r="AB44" s="6" t="inlineStr">
        <is>
          <t>RECORD+DATA</t>
        </is>
      </c>
      <c r="AC44" s="6" t="inlineStr">
        <is>
          <t>n/a (sub-item)</t>
        </is>
      </c>
      <c r="AD44" s="6" t="inlineStr">
        <is>
          <t>NEW (SRC-11 sub-row)</t>
        </is>
      </c>
      <c r="AE44" s="6" t="inlineStr">
        <is>
          <t>2026-10-20</t>
        </is>
      </c>
      <c r="AF44" s="6" t="inlineStr">
        <is>
          <t>reviews/RV-0008.md (fresh reviewer, same model family, read the current text); design/package-v3/03-comparison.md:35; design/package-v4/01-supervisor-brief.md:86</t>
        </is>
      </c>
      <c r="AG44" s="6" t="inlineStr"/>
      <c r="AH44" s="6" t="inlineStr">
        <is>
          <t>No</t>
        </is>
      </c>
      <c r="AI44" s="6" t="inlineStr">
        <is>
          <t>Closed 2026-10-20: the unfair-baseline wording is corrected and independently re-read.</t>
        </is>
      </c>
      <c r="AJ44" s="6" t="inlineStr">
        <is>
          <t>SRC-11 section D4</t>
        </is>
      </c>
      <c r="AK44" s="6" t="inlineStr">
        <is>
          <t>SRC-06 C05, CH-0043</t>
        </is>
      </c>
      <c r="AL44" s="6" t="inlineStr">
        <is>
          <t>S09</t>
        </is>
      </c>
    </row>
    <row r="45" ht="203" customHeight="1">
      <c r="A45" s="5" t="inlineStr">
        <is>
          <t>C-R01/V4RES</t>
        </is>
      </c>
      <c r="B45" s="6" t="inlineStr">
        <is>
          <t>v4 round-2 residuals R1-R9: fixes applied but not re-verified</t>
        </is>
      </c>
      <c r="C45" s="6" t="inlineStr">
        <is>
          <t>CLOSED - BY EVIDENCE</t>
        </is>
      </c>
      <c r="D45" s="6" t="inlineStr">
        <is>
          <t>No</t>
        </is>
      </c>
      <c r="E45" s="6" t="inlineStr"/>
      <c r="F45" s="6" t="inlineStr"/>
      <c r="G45" s="8" t="inlineStr">
        <is>
          <t>RECORDS-AT-HAND</t>
        </is>
      </c>
      <c r="H45" s="6" t="inlineStr">
        <is>
          <t>K17 Record repair &amp; procedure error</t>
        </is>
      </c>
      <c r="I45" s="6" t="inlineStr">
        <is>
          <t>G4 Before claims</t>
        </is>
      </c>
      <c r="J45" s="6" t="inlineStr">
        <is>
          <t>Normal</t>
        </is>
      </c>
      <c r="K45" s="6" t="n">
        <v>142</v>
      </c>
      <c r="L45" s="6" t="inlineStr">
        <is>
          <t>W2 Desk work (no model runs)</t>
        </is>
      </c>
      <c r="M45" s="6" t="inlineStr">
        <is>
          <t>S15</t>
        </is>
      </c>
      <c r="N45" s="6" t="inlineStr">
        <is>
          <t>Lead + fresh reviewer</t>
        </is>
      </c>
      <c r="O45" s="6" t="inlineStr">
        <is>
          <t>Closed; moved to Archive</t>
        </is>
      </c>
      <c r="P45" s="6" t="inlineStr">
        <is>
          <t>Partly</t>
        </is>
      </c>
      <c r="Q45" s="6" t="inlineStr">
        <is>
          <t>Record fix</t>
        </is>
      </c>
      <c r="R45" s="6" t="inlineStr">
        <is>
          <t>Sub-item</t>
        </is>
      </c>
      <c r="S45" s="6" t="inlineStr">
        <is>
          <t>C-R01</t>
        </is>
      </c>
      <c r="T45"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45"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45" s="6" t="inlineStr">
        <is>
          <t>Closed 2026-10-19: criterion 'a fresh reviewer re-checks the last edits' met; residual defects moved to new rows.</t>
        </is>
      </c>
      <c r="W45" s="6" t="inlineStr"/>
      <c r="X45" s="6" t="inlineStr"/>
      <c r="Y45" s="6" t="inlineStr"/>
      <c r="Z45" s="6" t="inlineStr"/>
      <c r="AA45" s="6" t="inlineStr"/>
      <c r="AB45" s="6" t="inlineStr">
        <is>
          <t>RECORD+SOURCE</t>
        </is>
      </c>
      <c r="AC45" s="6" t="inlineStr">
        <is>
          <t>n/a (sub-item)</t>
        </is>
      </c>
      <c r="AD45" s="6" t="inlineStr">
        <is>
          <t>NEW (repo sweep)</t>
        </is>
      </c>
      <c r="AE45" s="6" t="inlineStr">
        <is>
          <t>2026-10-19</t>
        </is>
      </c>
      <c r="AF45" s="6" t="inlineStr">
        <is>
          <t>RV-0009 (reviews/RV-0009.md), thread T-20261019-104</t>
        </is>
      </c>
      <c r="AG45" s="6" t="inlineStr"/>
      <c r="AH45" s="6" t="inlineStr">
        <is>
          <t>No</t>
        </is>
      </c>
      <c r="AI45" s="6" t="inlineStr">
        <is>
          <t>Closed 2026-10-19: the fixes applied after RV-0005 round 2 were re-read by a fresh reviewer; verified except R1 (partly), tracked in new rows.</t>
        </is>
      </c>
      <c r="AJ45" s="6" t="inlineStr">
        <is>
          <t>repo: v4-03 section 6 / RV-0005 / RV-0007</t>
        </is>
      </c>
      <c r="AK45" s="6" t="inlineStr">
        <is>
          <t>CH-0049, CH-0055, RV-0005 R1-R9</t>
        </is>
      </c>
      <c r="AL45" s="6" t="inlineStr">
        <is>
          <t>S15</t>
        </is>
      </c>
    </row>
    <row r="46" ht="290.5" customHeight="1">
      <c r="A46" s="5" t="inlineStr">
        <is>
          <t>C-R03/C22</t>
        </is>
      </c>
      <c r="B46" s="6" t="inlineStr">
        <is>
          <t>Uniform concessions rely on an incomplete steward</t>
        </is>
      </c>
      <c r="C46" s="6" t="inlineStr">
        <is>
          <t>CLOSED - BY EVIDENCE</t>
        </is>
      </c>
      <c r="D46" s="6" t="inlineStr">
        <is>
          <t>No</t>
        </is>
      </c>
      <c r="E46" s="6" t="inlineStr"/>
      <c r="F46" s="6" t="inlineStr"/>
      <c r="G46" s="8" t="inlineStr">
        <is>
          <t>RECORDS-AT-HAND</t>
        </is>
      </c>
      <c r="H46" s="6" t="inlineStr">
        <is>
          <t>K17 Record repair &amp; procedure error</t>
        </is>
      </c>
      <c r="I46" s="6" t="inlineStr">
        <is>
          <t>G4 Before claims</t>
        </is>
      </c>
      <c r="J46" s="6" t="inlineStr">
        <is>
          <t>Normal</t>
        </is>
      </c>
      <c r="K46" s="6" t="n">
        <v>146</v>
      </c>
      <c r="L46" s="6" t="inlineStr">
        <is>
          <t>W2 Desk work (no model runs)</t>
        </is>
      </c>
      <c r="M46" s="6" t="inlineStr">
        <is>
          <t>S15</t>
        </is>
      </c>
      <c r="N46" s="6" t="inlineStr">
        <is>
          <t>Lead + fresh reviewer</t>
        </is>
      </c>
      <c r="O46" s="6" t="inlineStr">
        <is>
          <t>Closed; moved to Archive</t>
        </is>
      </c>
      <c r="P46" s="6" t="inlineStr">
        <is>
          <t>Partly</t>
        </is>
      </c>
      <c r="Q46" s="6" t="inlineStr">
        <is>
          <t>Record fix</t>
        </is>
      </c>
      <c r="R46" s="6" t="inlineStr">
        <is>
          <t>Sub-item</t>
        </is>
      </c>
      <c r="S46" s="6" t="inlineStr">
        <is>
          <t>C-R03</t>
        </is>
      </c>
      <c r="T46" s="6" t="inlineStr">
        <is>
          <t>SRC-06 C22: uniform concessions in the AUTH-004 thread relied on an incomplete steward.</t>
        </is>
      </c>
      <c r="U46" s="6" t="inlineStr">
        <is>
          <t>Recorded caveat; no re-verification. Batch 15b (2026-10-20): the 19 concessions of the AUTH-004 thread (CH-0001 to CH-0019) were re-checked against the cited evidence by three fresh reviewers, each reading the cited extract or governing passage and the current text of the target. Verdicts: 13 SUPPORTED (CH-0001, 0002, 0003, 0005, 0006, 0007, 0009, 0010, 0011, 0012, 0013, 0014, 0018), 6 PARTLY (CH-0004, 0008, 0015, 0016, 0017, 0019), 0 NOT SUPPORTED, 0 CANNOT DETERMINE as a whole-record verdict. No concession was judged unwarranted: what each challenge cites says what it claims; the gaps are edits that were not carried into the target text (tracked in C-R03/C22-RESID), not wrong concessions. Limits: several cited passages are second-hand even in the governing copies (TheMCPCompany, MCP-Atlas v3, compgateway, Skill Blocks via S4D; ER-R, ITR, MCP-Zero 'worker-reported'), so 'match' means the governing record says what the objection says; the first drafts of DPR-0001 and DPR-0002 are not stored, so the objections' quotes of old text could be checked only against the challenger's own log.</t>
        </is>
      </c>
      <c r="V46" s="6" t="inlineStr">
        <is>
          <t>Closed 2026-10-20: criterion 'concessions re-checked against sources' met.</t>
        </is>
      </c>
      <c r="W46" s="6" t="inlineStr"/>
      <c r="X46" s="6" t="inlineStr"/>
      <c r="Y46" s="6" t="inlineStr"/>
      <c r="Z46" s="6" t="inlineStr"/>
      <c r="AA46" s="6" t="inlineStr"/>
      <c r="AB46" s="6" t="inlineStr">
        <is>
          <t>RECORD+DATA</t>
        </is>
      </c>
      <c r="AC46" s="6" t="inlineStr">
        <is>
          <t>n/a (sub-item)</t>
        </is>
      </c>
      <c r="AD46" s="6" t="inlineStr">
        <is>
          <t>NEW (SRC-11 sub-row)</t>
        </is>
      </c>
      <c r="AE46" s="6" t="inlineStr">
        <is>
          <t>2026-10-20</t>
        </is>
      </c>
      <c r="AF46" s="6" t="inlineStr">
        <is>
          <t>reviews/RV-0017.md, RV-0018.md, RV-0019.md (fresh reviewers, same model family; RV-0018 ended at its turn limit after CH-0016 and CH-0017 to CH-0019 were done in RV-0019; no shell, so no origin extraction runs)</t>
        </is>
      </c>
      <c r="AG46" s="6" t="inlineStr"/>
      <c r="AH46" s="6" t="inlineStr">
        <is>
          <t>No</t>
        </is>
      </c>
      <c r="AI46" s="6" t="inlineStr">
        <is>
          <t>Closed 2026-10-20: the uniform concessions were re-checked against the sources; all warranted; residual edits tracked in C-R03/C22-RESID.</t>
        </is>
      </c>
      <c r="AJ46" s="6" t="inlineStr">
        <is>
          <t>SRC-11 section D4</t>
        </is>
      </c>
      <c r="AK46" s="6" t="inlineStr">
        <is>
          <t>SRC-06 C22</t>
        </is>
      </c>
      <c r="AL46" s="6" t="inlineStr">
        <is>
          <t>S15</t>
        </is>
      </c>
    </row>
    <row r="47" ht="300" customHeight="1">
      <c r="A47" s="5" t="inlineStr">
        <is>
          <t>C-R03/CMTF</t>
        </is>
      </c>
      <c r="B47" s="6" t="inlineStr">
        <is>
          <t>How CMTF obtains its causal path is unverified</t>
        </is>
      </c>
      <c r="C47" s="6" t="inlineStr">
        <is>
          <t>CLOSED - BY EVIDENCE</t>
        </is>
      </c>
      <c r="D47" s="6" t="inlineStr">
        <is>
          <t>No</t>
        </is>
      </c>
      <c r="E47" s="6" t="inlineStr"/>
      <c r="F47" s="6" t="inlineStr"/>
      <c r="G47" s="14" t="inlineStr">
        <is>
          <t>SOURCE-REREAD</t>
        </is>
      </c>
      <c r="H47" s="6" t="inlineStr">
        <is>
          <t>K17 Record repair &amp; procedure error</t>
        </is>
      </c>
      <c r="I47" s="6" t="inlineStr">
        <is>
          <t>G4 Before claims</t>
        </is>
      </c>
      <c r="J47" s="6" t="inlineStr">
        <is>
          <t>Normal</t>
        </is>
      </c>
      <c r="K47" s="6" t="n">
        <v>153</v>
      </c>
      <c r="L47" s="6" t="inlineStr">
        <is>
          <t>W2 Desk work (no model runs)</t>
        </is>
      </c>
      <c r="M47" s="6" t="inlineStr">
        <is>
          <t>S15</t>
        </is>
      </c>
      <c r="N47" s="6" t="inlineStr">
        <is>
          <t>Lead + fresh reviewer</t>
        </is>
      </c>
      <c r="O47" s="6" t="inlineStr">
        <is>
          <t>Closed; moved to Archive</t>
        </is>
      </c>
      <c r="P47" s="6" t="inlineStr">
        <is>
          <t>Yes - stored text, unread</t>
        </is>
      </c>
      <c r="Q47" s="6" t="inlineStr">
        <is>
          <t>Record fix</t>
        </is>
      </c>
      <c r="R47" s="6" t="inlineStr">
        <is>
          <t>Sub-item</t>
        </is>
      </c>
      <c r="S47" s="6" t="inlineStr">
        <is>
          <t>C-R03</t>
        </is>
      </c>
      <c r="T47" s="6" t="inlineStr">
        <is>
          <t>ToolMenuBench's best method (CMTF, 85.7% at 1,125 tokens) is described as using 'the next causally necessary action'; whether it uses information a deployed policy would not have is not verified.</t>
        </is>
      </c>
      <c r="U47"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47" s="6" t="inlineStr">
        <is>
          <t>Closed 2026-10-19: the stored texts say how the causal path is obtained; the brief's 'suggests it uses information a deployed policy would not have' is consistent with them.</t>
        </is>
      </c>
      <c r="W47" s="6" t="inlineStr"/>
      <c r="X47" s="6" t="inlineStr"/>
      <c r="Y47" s="6" t="inlineStr"/>
      <c r="Z47" s="6" t="inlineStr"/>
      <c r="AA47" s="6" t="inlineStr"/>
      <c r="AB47" s="6" t="inlineStr">
        <is>
          <t>RECORD+SOURCE</t>
        </is>
      </c>
      <c r="AC47" s="6" t="inlineStr">
        <is>
          <t>n/a (sub-item)</t>
        </is>
      </c>
      <c r="AD47" s="6" t="inlineStr">
        <is>
          <t>NEW (repo sweep)</t>
        </is>
      </c>
      <c r="AE47" s="6" t="inlineStr">
        <is>
          <t>2026-10-19</t>
        </is>
      </c>
      <c r="AF47" s="6" t="inlineStr">
        <is>
          <t>FND-0025 (findings/SUM-0027); EXT-0205, EXT-0206, EXT-0207, EXT-0208</t>
        </is>
      </c>
      <c r="AG47" s="6" t="inlineStr"/>
      <c r="AH47" s="6" t="inlineStr">
        <is>
          <t>No</t>
        </is>
      </c>
      <c r="AI47" s="6" t="inlineStr">
        <is>
          <t>Closed 2026-10-19: CMTF uses an annotated goal state in ToolMenuBench (given, not inferred); GIST-CMTF infers it among candidates; no deployment evidence.</t>
        </is>
      </c>
      <c r="AJ47" s="6" t="inlineStr">
        <is>
          <t>repo: v4-03 section 6 / RV-0005 / RV-0007</t>
        </is>
      </c>
      <c r="AK47" s="6" t="inlineStr">
        <is>
          <t>RV-0005 R3</t>
        </is>
      </c>
      <c r="AL47" s="6" t="inlineStr">
        <is>
          <t>S15</t>
        </is>
      </c>
    </row>
    <row r="48" ht="215.5" customHeight="1">
      <c r="A48" s="5" t="inlineStr">
        <is>
          <t>C-R03/DIGESTS</t>
        </is>
      </c>
      <c r="B48" s="6" t="inlineStr">
        <is>
          <t>S4F/S4G digest contexts not read by the lead (R8)</t>
        </is>
      </c>
      <c r="C48" s="6" t="inlineStr">
        <is>
          <t>CLOSED - BY EVIDENCE</t>
        </is>
      </c>
      <c r="D48" s="6" t="inlineStr">
        <is>
          <t>No</t>
        </is>
      </c>
      <c r="E48" s="6" t="inlineStr"/>
      <c r="F48" s="6" t="inlineStr"/>
      <c r="G48" s="14" t="inlineStr">
        <is>
          <t>SOURCE-REREAD</t>
        </is>
      </c>
      <c r="H48" s="6" t="inlineStr">
        <is>
          <t>K17 Record repair &amp; procedure error</t>
        </is>
      </c>
      <c r="I48" s="6" t="inlineStr">
        <is>
          <t>G4 Before claims</t>
        </is>
      </c>
      <c r="J48" s="6" t="inlineStr">
        <is>
          <t>Normal</t>
        </is>
      </c>
      <c r="K48" s="6" t="n">
        <v>154</v>
      </c>
      <c r="L48" s="6" t="inlineStr">
        <is>
          <t>W2 Desk work (no model runs)</t>
        </is>
      </c>
      <c r="M48" s="6" t="inlineStr">
        <is>
          <t>S15</t>
        </is>
      </c>
      <c r="N48" s="6" t="inlineStr">
        <is>
          <t>Lead + fresh reviewer</t>
        </is>
      </c>
      <c r="O48" s="6" t="inlineStr">
        <is>
          <t>Closed; moved to Archive</t>
        </is>
      </c>
      <c r="P48" s="6" t="inlineStr">
        <is>
          <t>Yes - stored text, unread</t>
        </is>
      </c>
      <c r="Q48" s="6" t="inlineStr">
        <is>
          <t>Record fix</t>
        </is>
      </c>
      <c r="R48" s="6" t="inlineStr">
        <is>
          <t>Sub-item</t>
        </is>
      </c>
      <c r="S48" s="6" t="inlineStr">
        <is>
          <t>C-R03</t>
        </is>
      </c>
      <c r="T48" s="6" t="inlineStr">
        <is>
          <t>'not clean' is attributed to S4G line 23 and S4F line 41 says '(U)'; the lead did not read the digests beyond the quoted lines.</t>
        </is>
      </c>
      <c r="U48"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48" s="6" t="inlineStr">
        <is>
          <t>Closed 2026-10-19: criterion 'digest lines read in context' met.</t>
        </is>
      </c>
      <c r="W48" s="6" t="inlineStr"/>
      <c r="X48" s="6" t="inlineStr"/>
      <c r="Y48" s="6" t="inlineStr"/>
      <c r="Z48" s="6" t="inlineStr"/>
      <c r="AA48" s="6" t="inlineStr"/>
      <c r="AB48" s="6" t="inlineStr">
        <is>
          <t>RECORD+SOURCE</t>
        </is>
      </c>
      <c r="AC48" s="6" t="inlineStr">
        <is>
          <t>n/a (sub-item)</t>
        </is>
      </c>
      <c r="AD48" s="6" t="inlineStr">
        <is>
          <t>NEW (repo sweep)</t>
        </is>
      </c>
      <c r="AE48" s="6" t="inlineStr">
        <is>
          <t>2026-10-19</t>
        </is>
      </c>
      <c r="AF48" s="6" t="inlineStr">
        <is>
          <t>evidence/governing/stage-reports/S4G-SELECTION-READY-BRIEF-20261015.md:23; evidence/governing/stage-reports/S4F-VEHICLE-FEASIBILITY-REPORT-20261015.md:41; FND-0020 (findings/SUM-0022)</t>
        </is>
      </c>
      <c r="AG48" s="6" t="inlineStr"/>
      <c r="AH48" s="6" t="inlineStr">
        <is>
          <t>No</t>
        </is>
      </c>
      <c r="AI48" s="6" t="inlineStr">
        <is>
          <t>Closed 2026-10-19: the 'not clean' wording in S4G is an interpretation of an S4F unknown (U); the historical records are not rewritten.</t>
        </is>
      </c>
      <c r="AJ48" s="6" t="inlineStr">
        <is>
          <t>repo: v4-03 section 6 / RV-0005 / RV-0007</t>
        </is>
      </c>
      <c r="AK48" s="6" t="inlineStr">
        <is>
          <t>RV-0005 R8</t>
        </is>
      </c>
      <c r="AL48" s="6" t="inlineStr">
        <is>
          <t>S15</t>
        </is>
      </c>
    </row>
    <row r="49" ht="300" customHeight="1">
      <c r="A49" s="5" t="inlineStr">
        <is>
          <t>C-R03/ROUND45</t>
        </is>
      </c>
      <c r="B49" s="6" t="inlineStr">
        <is>
          <t>Literature rounds 4-5 and the corrected text were not challenged</t>
        </is>
      </c>
      <c r="C49" s="6" t="inlineStr">
        <is>
          <t>CLOSED - BY EVIDENCE</t>
        </is>
      </c>
      <c r="D49" s="6" t="inlineStr">
        <is>
          <t>No</t>
        </is>
      </c>
      <c r="E49" s="6" t="inlineStr"/>
      <c r="F49" s="6" t="inlineStr"/>
      <c r="G49" s="14" t="inlineStr">
        <is>
          <t>SOURCE-REREAD</t>
        </is>
      </c>
      <c r="H49" s="6" t="inlineStr">
        <is>
          <t>K17 Record repair &amp; procedure error</t>
        </is>
      </c>
      <c r="I49" s="6" t="inlineStr">
        <is>
          <t>G4 Before claims</t>
        </is>
      </c>
      <c r="J49" s="6" t="inlineStr">
        <is>
          <t>Normal</t>
        </is>
      </c>
      <c r="K49" s="6" t="n">
        <v>155</v>
      </c>
      <c r="L49" s="6" t="inlineStr">
        <is>
          <t>W2 Desk work (no model runs)</t>
        </is>
      </c>
      <c r="M49" s="6" t="inlineStr">
        <is>
          <t>S15</t>
        </is>
      </c>
      <c r="N49" s="6" t="inlineStr">
        <is>
          <t>Lead + fresh reviewer</t>
        </is>
      </c>
      <c r="O49" s="6" t="inlineStr">
        <is>
          <t>Closed; moved to Archive</t>
        </is>
      </c>
      <c r="P49" s="6" t="inlineStr">
        <is>
          <t>Partly</t>
        </is>
      </c>
      <c r="Q49" s="6" t="inlineStr">
        <is>
          <t>Record fix</t>
        </is>
      </c>
      <c r="R49" s="6" t="inlineStr">
        <is>
          <t>Sub-item</t>
        </is>
      </c>
      <c r="S49" s="6" t="inlineStr">
        <is>
          <t>C-R03</t>
        </is>
      </c>
      <c r="T49" s="6" t="inlineStr">
        <is>
          <t>v4-05 header: rounds 4 and 5 and the corrected text have not been re-checked by the challenger; BFCL statistics are the lead's own computation (reproduced in the review).</t>
        </is>
      </c>
      <c r="U49"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49" s="6" t="inlineStr">
        <is>
          <t>Closed 2026-10-20: criterion 'a fresh reviewer checks rounds 4-5' met.</t>
        </is>
      </c>
      <c r="W49" s="6" t="inlineStr"/>
      <c r="X49" s="6" t="inlineStr"/>
      <c r="Y49" s="6" t="inlineStr"/>
      <c r="Z49" s="6" t="inlineStr"/>
      <c r="AA49" s="6" t="inlineStr"/>
      <c r="AB49" s="6" t="inlineStr">
        <is>
          <t>RECORD+SOURCE</t>
        </is>
      </c>
      <c r="AC49" s="6" t="inlineStr">
        <is>
          <t>n/a (sub-item)</t>
        </is>
      </c>
      <c r="AD49" s="6" t="inlineStr">
        <is>
          <t>NEW (repo sweep)</t>
        </is>
      </c>
      <c r="AE49" s="6" t="inlineStr">
        <is>
          <t>2026-10-20</t>
        </is>
      </c>
      <c r="AF49" s="6" t="inlineStr">
        <is>
          <t>reviews/RV-0014.md, RV-0015.md, RV-0016.md (fresh reviewers, same model family, each read the source texts; RV-0014 and RV-0016 ended at their turn limit, drafts); reviews/RV-0010.md; design/package-v4/06-corrections-proposed.md</t>
        </is>
      </c>
      <c r="AG49" s="6" t="inlineStr"/>
      <c r="AH49" s="6" t="inlineStr">
        <is>
          <t>No</t>
        </is>
      </c>
      <c r="AI49" s="6" t="inlineStr">
        <is>
          <t>Closed 2026-10-20: fresh reviewers checked rounds 4-5; defects are tracked in C-R03/ROUND45-W and drafted in the successor note.</t>
        </is>
      </c>
      <c r="AJ49" s="6" t="inlineStr">
        <is>
          <t>repo: v4-03 section 6 / RV-0005 / RV-0007</t>
        </is>
      </c>
      <c r="AK49" s="6" t="inlineStr"/>
      <c r="AL49" s="6" t="inlineStr">
        <is>
          <t>S15</t>
        </is>
      </c>
    </row>
    <row r="50" ht="300" customHeight="1">
      <c r="A50" s="5" t="inlineStr">
        <is>
          <t>C-R03/RV7UNCHK</t>
        </is>
      </c>
      <c r="B50" s="6" t="inlineStr">
        <is>
          <t>RV-0007 'Not checked' list</t>
        </is>
      </c>
      <c r="C50" s="6" t="inlineStr">
        <is>
          <t>CLOSED - BY EVIDENCE</t>
        </is>
      </c>
      <c r="D50" s="6" t="inlineStr">
        <is>
          <t>No</t>
        </is>
      </c>
      <c r="E50" s="6" t="inlineStr"/>
      <c r="F50" s="6" t="inlineStr"/>
      <c r="G50" s="14" t="inlineStr">
        <is>
          <t>SOURCE-REREAD</t>
        </is>
      </c>
      <c r="H50" s="6" t="inlineStr">
        <is>
          <t>K17 Record repair &amp; procedure error</t>
        </is>
      </c>
      <c r="I50" s="6" t="inlineStr">
        <is>
          <t>G4 Before claims</t>
        </is>
      </c>
      <c r="J50" s="6" t="inlineStr">
        <is>
          <t>Normal</t>
        </is>
      </c>
      <c r="K50" s="6" t="n">
        <v>157</v>
      </c>
      <c r="L50" s="6" t="inlineStr">
        <is>
          <t>W2 Desk work (no model runs)</t>
        </is>
      </c>
      <c r="M50" s="6" t="inlineStr">
        <is>
          <t>S15</t>
        </is>
      </c>
      <c r="N50" s="6" t="inlineStr">
        <is>
          <t>Lead + fresh reviewer</t>
        </is>
      </c>
      <c r="O50" s="6" t="inlineStr">
        <is>
          <t>Closed; moved to Archive</t>
        </is>
      </c>
      <c r="P50" s="6" t="inlineStr">
        <is>
          <t>Yes - stored text, unread</t>
        </is>
      </c>
      <c r="Q50" s="6" t="inlineStr">
        <is>
          <t>Record fix</t>
        </is>
      </c>
      <c r="R50" s="6" t="inlineStr">
        <is>
          <t>Sub-item</t>
        </is>
      </c>
      <c r="S50" s="6" t="inlineStr">
        <is>
          <t>C-R03</t>
        </is>
      </c>
      <c r="T50"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50"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50" s="6" t="inlineStr">
        <is>
          <t>Closed 2026-10-20: criterion 'each re-read in the stored literature texts or labelled unchecked' met.</t>
        </is>
      </c>
      <c r="W50" s="6" t="inlineStr"/>
      <c r="X50" s="6" t="inlineStr"/>
      <c r="Y50" s="6" t="inlineStr"/>
      <c r="Z50" s="6" t="inlineStr"/>
      <c r="AA50" s="6" t="inlineStr"/>
      <c r="AB50" s="6" t="inlineStr">
        <is>
          <t>RECORD+SOURCE</t>
        </is>
      </c>
      <c r="AC50" s="6" t="inlineStr">
        <is>
          <t>n/a (sub-item)</t>
        </is>
      </c>
      <c r="AD50" s="6" t="inlineStr">
        <is>
          <t>NEW (repo sweep)</t>
        </is>
      </c>
      <c r="AE50" s="6" t="inlineStr">
        <is>
          <t>2026-10-20</t>
        </is>
      </c>
      <c r="AF50" s="6" t="inlineStr">
        <is>
          <t>FND-0023; reviews/RV-0014.md, RV-0015.md, RV-0016.md (fresh reviewers, same model family, each read the source texts; RV-0014 and RV-0016 ended at their turn limit, drafts); design/package-v4/06-corrections-proposed.md</t>
        </is>
      </c>
      <c r="AG50" s="6" t="inlineStr"/>
      <c r="AH50" s="6" t="inlineStr">
        <is>
          <t>No</t>
        </is>
      </c>
      <c r="AI50" s="6" t="inlineStr">
        <is>
          <t>Closed 2026-10-20: each item re-read in the stored literature texts or labelled unchecked.</t>
        </is>
      </c>
      <c r="AJ50" s="6" t="inlineStr">
        <is>
          <t>repo: v4-03 section 6 / RV-0005 / RV-0007</t>
        </is>
      </c>
      <c r="AK50" s="6" t="inlineStr">
        <is>
          <t>RV-0007 Not checked, CH-0074</t>
        </is>
      </c>
      <c r="AL50" s="6" t="inlineStr">
        <is>
          <t>S15</t>
        </is>
      </c>
    </row>
    <row r="51" ht="300" customHeight="1">
      <c r="A51" s="5" t="inlineStr">
        <is>
          <t>N-17/CH0040</t>
        </is>
      </c>
      <c r="B51" s="6" t="inlineStr">
        <is>
          <t>CH-0040 (a)(b) multiplicity: v3 files say fixed, v4 02 and 03 say still open</t>
        </is>
      </c>
      <c r="C51" s="6" t="inlineStr">
        <is>
          <t>CLOSED - BY EVIDENCE</t>
        </is>
      </c>
      <c r="D51" s="6" t="inlineStr">
        <is>
          <t>No</t>
        </is>
      </c>
      <c r="E51" s="6" t="inlineStr"/>
      <c r="F51" s="6" t="inlineStr"/>
      <c r="G51" s="8" t="inlineStr">
        <is>
          <t>RECORDS-AT-HAND</t>
        </is>
      </c>
      <c r="H51" s="6" t="inlineStr">
        <is>
          <t>K17 Record repair &amp; procedure error</t>
        </is>
      </c>
      <c r="I51" s="6" t="inlineStr">
        <is>
          <t>G4 Before claims</t>
        </is>
      </c>
      <c r="J51" s="6" t="inlineStr">
        <is>
          <t>Normal</t>
        </is>
      </c>
      <c r="K51" s="6" t="n">
        <v>160</v>
      </c>
      <c r="L51" s="6" t="inlineStr">
        <is>
          <t>W2 Desk work (no model runs)</t>
        </is>
      </c>
      <c r="M51" s="6" t="inlineStr">
        <is>
          <t>S15</t>
        </is>
      </c>
      <c r="N51" s="6" t="inlineStr">
        <is>
          <t>Lead drafts, you approve</t>
        </is>
      </c>
      <c r="O51" s="6" t="inlineStr">
        <is>
          <t>Closed; moved to Archive</t>
        </is>
      </c>
      <c r="P51" s="6" t="inlineStr">
        <is>
          <t>Answered (see basis)</t>
        </is>
      </c>
      <c r="Q51" s="6" t="inlineStr">
        <is>
          <t>Record fix</t>
        </is>
      </c>
      <c r="R51" s="6" t="inlineStr">
        <is>
          <t>Sub-item</t>
        </is>
      </c>
      <c r="S51" s="6" t="inlineStr">
        <is>
          <t>N-17</t>
        </is>
      </c>
      <c r="T51"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51"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51" s="6" t="inlineStr">
        <is>
          <t>Closed 2026-10-19: criterion 'the operative text states once whether (a)(b) are fixed or open' is replaced by the question it served ('which is true?'), answered from the v3 and v4 text; the wording correction is drafted under C-R01/V4-03-STALE.</t>
        </is>
      </c>
      <c r="W51" s="6" t="inlineStr"/>
      <c r="X51" s="6" t="inlineStr"/>
      <c r="Y51" s="6" t="inlineStr"/>
      <c r="Z51" s="6" t="inlineStr"/>
      <c r="AA51" s="6" t="inlineStr"/>
      <c r="AB51" s="6" t="inlineStr">
        <is>
          <t>RECORD+DEC</t>
        </is>
      </c>
      <c r="AC51" s="6" t="inlineStr">
        <is>
          <t>n/a (sub-item)</t>
        </is>
      </c>
      <c r="AD51" s="6" t="inlineStr">
        <is>
          <t>NEW (repo sweep)</t>
        </is>
      </c>
      <c r="AE51" s="6" t="inlineStr">
        <is>
          <t>2026-10-19</t>
        </is>
      </c>
      <c r="AF51" s="6" t="inlineStr">
        <is>
          <t>design/package-v3/02-supervisor-decision-graph.md:63; design/package-v3/04-objections-and-experiments.md:13; design/package-v4/02-policy-graph-and-protocol.md:3, 66-70, 92; design/package-v4/03-review-adjudication.md:40; reviews/RV-0008.md (CH-0040)</t>
        </is>
      </c>
      <c r="AG51" s="6" t="inlineStr"/>
      <c r="AH51" s="6" t="inlineStr">
        <is>
          <t>No (editing needs the human's approval)</t>
        </is>
      </c>
      <c r="AI51" s="6" t="inlineStr">
        <is>
          <t>Closed 2026-10-19 by the text: no contradiction on the rule; the table and its size are open as a human decision (CH-0040 stays open for that); the v4 sentence at 02 line 92 and the missing Figure 2 failure branch are tracked in C-R01/V4-03-STALE and C-R01/FIG2.</t>
        </is>
      </c>
      <c r="AJ51" s="6" t="inlineStr">
        <is>
          <t>RV-0008 (Reviewer 6a)</t>
        </is>
      </c>
      <c r="AK51" s="6" t="inlineStr"/>
      <c r="AL51" s="6" t="inlineStr">
        <is>
          <t>S15</t>
        </is>
      </c>
    </row>
    <row r="52" ht="90.5" customHeight="1">
      <c r="A52" s="5" t="inlineStr">
        <is>
          <t>N-18</t>
        </is>
      </c>
      <c r="B52" s="6" t="inlineStr">
        <is>
          <t>v4-05 says the BFCL paper 'was not fetched' but sources.json stores it</t>
        </is>
      </c>
      <c r="C52" s="6" t="inlineStr">
        <is>
          <t>CLOSED - BY EVIDENCE</t>
        </is>
      </c>
      <c r="D52" s="6" t="inlineStr">
        <is>
          <t>No</t>
        </is>
      </c>
      <c r="E52" s="6" t="inlineStr"/>
      <c r="F52" s="6" t="inlineStr"/>
      <c r="G52" s="8" t="inlineStr">
        <is>
          <t>RECORDS-AT-HAND</t>
        </is>
      </c>
      <c r="H52" s="6" t="inlineStr">
        <is>
          <t>K17 Record repair &amp; procedure error</t>
        </is>
      </c>
      <c r="I52" s="6" t="inlineStr">
        <is>
          <t>G5 Housekeeping / no block</t>
        </is>
      </c>
      <c r="J52" s="6" t="inlineStr">
        <is>
          <t>Low</t>
        </is>
      </c>
      <c r="K52" s="6" t="n">
        <v>163</v>
      </c>
      <c r="L52" s="6" t="inlineStr">
        <is>
          <t>W2 Desk work (no model runs)</t>
        </is>
      </c>
      <c r="M52" s="6" t="inlineStr">
        <is>
          <t>S15</t>
        </is>
      </c>
      <c r="N52" s="6" t="inlineStr">
        <is>
          <t>Lead</t>
        </is>
      </c>
      <c r="O52" s="6" t="inlineStr">
        <is>
          <t>Closed; moved to Archive</t>
        </is>
      </c>
      <c r="P52" s="6" t="inlineStr">
        <is>
          <t>Answered (see basis)</t>
        </is>
      </c>
      <c r="Q52" s="6" t="inlineStr">
        <is>
          <t>Record fix</t>
        </is>
      </c>
      <c r="R52" s="6" t="inlineStr">
        <is>
          <t>Item</t>
        </is>
      </c>
      <c r="S52" s="6" t="inlineStr"/>
      <c r="T52" s="6" t="inlineStr">
        <is>
          <t>design/package-v4/05-literature-check-summary.md section 5 says the BFCL paper itself was not fetched; evidence/sources.json lists r3-bfcl (patil25a.pdf, 22 pp, 110 KB text).</t>
        </is>
      </c>
      <c r="U52"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52" s="6" t="inlineStr">
        <is>
          <t>v4-05 wording corrected (successor note).</t>
        </is>
      </c>
      <c r="W52" s="6" t="inlineStr"/>
      <c r="X52" s="6" t="inlineStr"/>
      <c r="Y52" s="6" t="inlineStr"/>
      <c r="Z52" s="6" t="inlineStr"/>
      <c r="AA52" s="6" t="inlineStr"/>
      <c r="AB52" s="6" t="inlineStr">
        <is>
          <t>RECORD</t>
        </is>
      </c>
      <c r="AC52" s="6" t="inlineStr">
        <is>
          <t>n/a (new)</t>
        </is>
      </c>
      <c r="AD52" s="6" t="inlineStr">
        <is>
          <t>NEW (repo sweep)</t>
        </is>
      </c>
      <c r="AE52" s="6" t="inlineStr">
        <is>
          <t>2026-10-19</t>
        </is>
      </c>
      <c r="AF52" s="6" t="inlineStr">
        <is>
          <t>FND-0009 (findings/SUM-0011); evidence/sources.json r3-bfcl; v4-05 section 5</t>
        </is>
      </c>
      <c r="AG52" s="6" t="inlineStr">
        <is>
          <t>If a design record starts to cite one of the six</t>
        </is>
      </c>
      <c r="AH52" s="6" t="inlineStr">
        <is>
          <t>No</t>
        </is>
      </c>
      <c r="AI52" s="6" t="inlineStr">
        <is>
          <t>Closed 2026-10-19; correction recorded in this ledger (C-E02/E20, N-18).</t>
        </is>
      </c>
      <c r="AJ52" s="6" t="inlineStr">
        <is>
          <t>review 19 Oct + repo sweep</t>
        </is>
      </c>
      <c r="AK52" s="6" t="inlineStr"/>
      <c r="AL52" s="6" t="inlineStr">
        <is>
          <t>S15</t>
        </is>
      </c>
    </row>
    <row r="53" ht="140.5" customHeight="1">
      <c r="A53" s="5" t="inlineStr">
        <is>
          <t>C-E03/O7-26</t>
        </is>
      </c>
      <c r="B53" s="6" t="inlineStr">
        <is>
          <t>Vendor figures unreplicated/inconsistent (GitHub 27.5 vs 25.5; Anthropic 85% vs ~89%)</t>
        </is>
      </c>
      <c r="C53" s="6" t="inlineStr">
        <is>
          <t>CLOSED - BY EVIDENCE</t>
        </is>
      </c>
      <c r="D53" s="6" t="inlineStr">
        <is>
          <t>No</t>
        </is>
      </c>
      <c r="E53" s="6" t="inlineStr"/>
      <c r="F53" s="6" t="inlineStr"/>
      <c r="G53" s="14" t="inlineStr">
        <is>
          <t>SOURCE-REREAD</t>
        </is>
      </c>
      <c r="H53" s="6" t="inlineStr">
        <is>
          <t>K14 Source &amp; vendor verification</t>
        </is>
      </c>
      <c r="I53" s="6" t="inlineStr">
        <is>
          <t>G4 Before claims</t>
        </is>
      </c>
      <c r="J53" s="6" t="inlineStr">
        <is>
          <t>Normal</t>
        </is>
      </c>
      <c r="K53" s="6" t="n">
        <v>225</v>
      </c>
      <c r="L53" s="6" t="inlineStr">
        <is>
          <t>W5 Claim-time</t>
        </is>
      </c>
      <c r="M53" s="6" t="inlineStr">
        <is>
          <t>S24</t>
        </is>
      </c>
      <c r="N53" s="6" t="inlineStr">
        <is>
          <t>Lead</t>
        </is>
      </c>
      <c r="O53" s="6" t="inlineStr">
        <is>
          <t>Closed; moved to Archive</t>
        </is>
      </c>
      <c r="P53" s="6" t="inlineStr">
        <is>
          <t>Partly</t>
        </is>
      </c>
      <c r="Q53" s="6" t="inlineStr">
        <is>
          <t>Source check</t>
        </is>
      </c>
      <c r="R53" s="6" t="inlineStr">
        <is>
          <t>Sub-item</t>
        </is>
      </c>
      <c r="S53" s="6" t="inlineStr">
        <is>
          <t>C-E03</t>
        </is>
      </c>
      <c r="T53" s="6" t="inlineStr">
        <is>
          <t>SRC-07 26: vendor figures are unreplicated or inconsistent (GitHub 27.5 vs 25.5; Anthropic 85% vs ~89%).</t>
        </is>
      </c>
      <c r="U53"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53" s="6" t="inlineStr">
        <is>
          <t>Denominators recomputed; vendor report separated from independent results.</t>
        </is>
      </c>
      <c r="W53" s="6" t="inlineStr"/>
      <c r="X53" s="6" t="inlineStr"/>
      <c r="Y53" s="6" t="inlineStr"/>
      <c r="Z53" s="6" t="inlineStr"/>
      <c r="AA53" s="6" t="inlineStr"/>
      <c r="AB53" s="6" t="inlineStr">
        <is>
          <t>SOURCE+DATA</t>
        </is>
      </c>
      <c r="AC53" s="6" t="inlineStr">
        <is>
          <t>n/a (sub-item)</t>
        </is>
      </c>
      <c r="AD53" s="6" t="inlineStr">
        <is>
          <t>NEW (SRC-11 sub-row)</t>
        </is>
      </c>
      <c r="AE53" s="6" t="inlineStr">
        <is>
          <t>2026-10-19</t>
        </is>
      </c>
      <c r="AF53" s="6" t="inlineStr">
        <is>
          <t>FND-0012 (findings/SUM-0014); EXT-0161, EXT-0163</t>
        </is>
      </c>
      <c r="AG53" s="6" t="inlineStr"/>
      <c r="AH53" s="6" t="inlineStr">
        <is>
          <t>No</t>
        </is>
      </c>
      <c r="AI53" s="6" t="inlineStr">
        <is>
          <t>Closed 2026-10-19: denominators recomputed from the pages; the vendor statements are separated from the derived numbers; the discrepancies stay recorded as vendor-page inconsistencies.</t>
        </is>
      </c>
      <c r="AJ53" s="6" t="inlineStr">
        <is>
          <t>SRC-11 section D1</t>
        </is>
      </c>
      <c r="AK53" s="6" t="inlineStr">
        <is>
          <t>SRC-07 26, CAVEATS 8</t>
        </is>
      </c>
      <c r="AL53" s="6" t="inlineStr">
        <is>
          <t>S11</t>
        </is>
      </c>
    </row>
    <row r="54" ht="28" customHeight="1">
      <c r="A54" s="5" t="inlineStr">
        <is>
          <t>A-01</t>
        </is>
      </c>
      <c r="B54" s="6" t="inlineStr">
        <is>
          <t>Oct formulation centres on reducing tool count while keeping accuracy high</t>
        </is>
      </c>
      <c r="C54" s="6" t="inlineStr">
        <is>
          <t>CLOSED - CLAUSE</t>
        </is>
      </c>
      <c r="D54" s="6" t="inlineStr">
        <is>
          <t>No</t>
        </is>
      </c>
      <c r="E54" s="6" t="inlineStr"/>
      <c r="F54" s="6" t="inlineStr"/>
      <c r="G54" s="18" t="inlineStr">
        <is>
          <t>CROSS-REFERENCE</t>
        </is>
      </c>
      <c r="H54" s="6" t="inlineStr">
        <is>
          <t>K2 Objective &amp; accounting</t>
        </is>
      </c>
      <c r="I54" s="6" t="inlineStr">
        <is>
          <t>G5 Housekeeping / no block</t>
        </is>
      </c>
      <c r="J54" s="6" t="inlineStr">
        <is>
          <t>Low</t>
        </is>
      </c>
      <c r="K54" s="6" t="n">
        <v>227</v>
      </c>
      <c r="L54" s="6" t="inlineStr">
        <is>
          <t>W5 Claim-time</t>
        </is>
      </c>
      <c r="M54" s="6" t="inlineStr">
        <is>
          <t>S25</t>
        </is>
      </c>
      <c r="N54" s="6" t="inlineStr">
        <is>
          <t>n/a</t>
        </is>
      </c>
      <c r="O54" s="6" t="inlineStr">
        <is>
          <t>None; closes when its parents close</t>
        </is>
      </c>
      <c r="P54" s="6" t="inlineStr">
        <is>
          <t>Partly</t>
        </is>
      </c>
      <c r="Q54" s="6" t="inlineStr">
        <is>
          <t>Answered clause</t>
        </is>
      </c>
      <c r="R54" s="6" t="inlineStr">
        <is>
          <t>Clause</t>
        </is>
      </c>
      <c r="S54" s="6" t="inlineStr">
        <is>
          <t>C-D02</t>
        </is>
      </c>
      <c r="T54" s="6" t="inlineStr">
        <is>
          <t>Joaa's October spoken formulation centres on reducing the number of tools while keeping accuracy high.</t>
        </is>
      </c>
      <c r="U54" s="6" t="inlineStr">
        <is>
          <t>Corroborated by repo excerpt E1; it does not amend every June clause.</t>
        </is>
      </c>
      <c r="V54" s="6" t="inlineStr">
        <is>
          <t>Closed within the cited record; the parent row keeps the rest.</t>
        </is>
      </c>
      <c r="W54" s="6" t="inlineStr"/>
      <c r="X54" s="6" t="inlineStr"/>
      <c r="Y54" s="6" t="inlineStr"/>
      <c r="Z54" s="6" t="inlineStr"/>
      <c r="AA54" s="6" t="inlineStr"/>
      <c r="AB54" s="6" t="inlineStr"/>
      <c r="AC54" s="6" t="inlineStr">
        <is>
          <t>Answered clause (SRC-11)</t>
        </is>
      </c>
      <c r="AD54" s="6" t="inlineStr">
        <is>
          <t>CLOSED (baseline)</t>
        </is>
      </c>
      <c r="AE54" s="6" t="inlineStr">
        <is>
          <t>2026-10-19</t>
        </is>
      </c>
      <c r="AF54" s="6" t="inlineStr">
        <is>
          <t>SRC-05 ~00:07 (via SRC-09); repo intake E1 (00:07:04) says this</t>
        </is>
      </c>
      <c r="AG54" s="6" t="inlineStr"/>
      <c r="AH54" s="6" t="inlineStr">
        <is>
          <t>No</t>
        </is>
      </c>
      <c r="AI54" s="6" t="inlineStr">
        <is>
          <t>Closed within the cited record at baseline.</t>
        </is>
      </c>
      <c r="AJ54" s="6" t="inlineStr">
        <is>
          <t>SRC-11 'What is answered narrowly already'</t>
        </is>
      </c>
      <c r="AK54" s="6" t="inlineStr"/>
      <c r="AL54" s="6" t="inlineStr">
        <is>
          <t>S01</t>
        </is>
      </c>
    </row>
    <row r="55" ht="40.5" customHeight="1">
      <c r="A55" s="5" t="inlineStr">
        <is>
          <t>A-02</t>
        </is>
      </c>
      <c r="B55" s="6" t="inlineStr">
        <is>
          <t>Context-dependent questions and stages requested; stage count unfixed; filtered tool may return</t>
        </is>
      </c>
      <c r="C55" s="6" t="inlineStr">
        <is>
          <t>CLOSED - CLAUSE</t>
        </is>
      </c>
      <c r="D55" s="6" t="inlineStr">
        <is>
          <t>No</t>
        </is>
      </c>
      <c r="E55" s="6" t="inlineStr"/>
      <c r="F55" s="6" t="inlineStr"/>
      <c r="G55" s="18" t="inlineStr">
        <is>
          <t>CROSS-REFERENCE</t>
        </is>
      </c>
      <c r="H55" s="6" t="inlineStr">
        <is>
          <t>K3 Policy form</t>
        </is>
      </c>
      <c r="I55" s="6" t="inlineStr">
        <is>
          <t>G5 Housekeeping / no block</t>
        </is>
      </c>
      <c r="J55" s="6" t="inlineStr">
        <is>
          <t>Low</t>
        </is>
      </c>
      <c r="K55" s="6" t="n">
        <v>228</v>
      </c>
      <c r="L55" s="6" t="inlineStr">
        <is>
          <t>W5 Claim-time</t>
        </is>
      </c>
      <c r="M55" s="6" t="inlineStr">
        <is>
          <t>S25</t>
        </is>
      </c>
      <c r="N55" s="6" t="inlineStr">
        <is>
          <t>n/a</t>
        </is>
      </c>
      <c r="O55" s="6" t="inlineStr">
        <is>
          <t>None; closes when its parents close</t>
        </is>
      </c>
      <c r="P55" s="6" t="inlineStr">
        <is>
          <t>Partly</t>
        </is>
      </c>
      <c r="Q55" s="6" t="inlineStr">
        <is>
          <t>Answered clause</t>
        </is>
      </c>
      <c r="R55" s="6" t="inlineStr">
        <is>
          <t>Clause</t>
        </is>
      </c>
      <c r="S55" s="6" t="inlineStr">
        <is>
          <t>C-D03</t>
        </is>
      </c>
      <c r="T55" s="6" t="inlineStr">
        <is>
          <t>He requested context-dependent questions and successive stages, did not fix the stage count and allowed a filtered tool to return later.</t>
        </is>
      </c>
      <c r="U55" s="6" t="inlineStr">
        <is>
          <t>Corroborated by repo excerpts E5-E8; does not approve a zero-stage output.</t>
        </is>
      </c>
      <c r="V55" s="6" t="inlineStr">
        <is>
          <t>Closed within the cited record; the parent row keeps the rest.</t>
        </is>
      </c>
      <c r="W55" s="6" t="inlineStr"/>
      <c r="X55" s="6" t="inlineStr"/>
      <c r="Y55" s="6" t="inlineStr"/>
      <c r="Z55" s="6" t="inlineStr"/>
      <c r="AA55" s="6" t="inlineStr"/>
      <c r="AB55" s="6" t="inlineStr"/>
      <c r="AC55" s="6" t="inlineStr">
        <is>
          <t>Answered clause (SRC-11)</t>
        </is>
      </c>
      <c r="AD55" s="6" t="inlineStr">
        <is>
          <t>CLOSED (baseline)</t>
        </is>
      </c>
      <c r="AE55" s="6" t="inlineStr">
        <is>
          <t>2026-10-19</t>
        </is>
      </c>
      <c r="AF55" s="6" t="inlineStr">
        <is>
          <t>SRC-05 ~00:19-00:28; repo intake E5-E8</t>
        </is>
      </c>
      <c r="AG55" s="6" t="inlineStr"/>
      <c r="AH55" s="6" t="inlineStr">
        <is>
          <t>No</t>
        </is>
      </c>
      <c r="AI55" s="6" t="inlineStr">
        <is>
          <t>Closed within the cited record at baseline.</t>
        </is>
      </c>
      <c r="AJ55" s="6" t="inlineStr">
        <is>
          <t>SRC-11 'What is answered narrowly already'</t>
        </is>
      </c>
      <c r="AK55" s="6" t="inlineStr"/>
      <c r="AL55" s="6" t="inlineStr">
        <is>
          <t>S01</t>
        </is>
      </c>
    </row>
    <row r="56" ht="28" customHeight="1">
      <c r="A56" s="5" t="inlineStr">
        <is>
          <t>A-03</t>
        </is>
      </c>
      <c r="B56" s="6" t="inlineStr">
        <is>
          <t>Savings need not occur on every turn</t>
        </is>
      </c>
      <c r="C56" s="6" t="inlineStr">
        <is>
          <t>CLOSED - CLAUSE</t>
        </is>
      </c>
      <c r="D56" s="6" t="inlineStr">
        <is>
          <t>No</t>
        </is>
      </c>
      <c r="E56" s="6" t="inlineStr"/>
      <c r="F56" s="6" t="inlineStr"/>
      <c r="G56" s="18" t="inlineStr">
        <is>
          <t>CROSS-REFERENCE</t>
        </is>
      </c>
      <c r="H56" s="6" t="inlineStr">
        <is>
          <t>K3 Policy form</t>
        </is>
      </c>
      <c r="I56" s="6" t="inlineStr">
        <is>
          <t>G5 Housekeeping / no block</t>
        </is>
      </c>
      <c r="J56" s="6" t="inlineStr">
        <is>
          <t>Low</t>
        </is>
      </c>
      <c r="K56" s="6" t="n">
        <v>229</v>
      </c>
      <c r="L56" s="6" t="inlineStr">
        <is>
          <t>W5 Claim-time</t>
        </is>
      </c>
      <c r="M56" s="6" t="inlineStr">
        <is>
          <t>S25</t>
        </is>
      </c>
      <c r="N56" s="6" t="inlineStr">
        <is>
          <t>n/a</t>
        </is>
      </c>
      <c r="O56" s="6" t="inlineStr">
        <is>
          <t>None; closes when its parents close</t>
        </is>
      </c>
      <c r="P56" s="6" t="inlineStr">
        <is>
          <t>Partly</t>
        </is>
      </c>
      <c r="Q56" s="6" t="inlineStr">
        <is>
          <t>Answered clause</t>
        </is>
      </c>
      <c r="R56" s="6" t="inlineStr">
        <is>
          <t>Clause</t>
        </is>
      </c>
      <c r="S56" s="6" t="inlineStr">
        <is>
          <t>C-D04</t>
        </is>
      </c>
      <c r="T56" s="6" t="inlineStr">
        <is>
          <t>Savings need not occur on every turn; a costlier turn can be accepted over a longer trajectory.</t>
        </is>
      </c>
      <c r="U56" s="6" t="inlineStr">
        <is>
          <t>Second-hand in the repo; whether every stage must pay is separate.</t>
        </is>
      </c>
      <c r="V56" s="6" t="inlineStr">
        <is>
          <t>Closed within the cited record; the parent row keeps the rest.</t>
        </is>
      </c>
      <c r="W56" s="6" t="inlineStr"/>
      <c r="X56" s="6" t="inlineStr"/>
      <c r="Y56" s="6" t="inlineStr"/>
      <c r="Z56" s="6" t="inlineStr"/>
      <c r="AA56" s="6" t="inlineStr"/>
      <c r="AB56" s="6" t="inlineStr"/>
      <c r="AC56" s="6" t="inlineStr">
        <is>
          <t>Answered clause (SRC-11)</t>
        </is>
      </c>
      <c r="AD56" s="6" t="inlineStr">
        <is>
          <t>CLOSED (baseline)</t>
        </is>
      </c>
      <c r="AE56" s="6" t="inlineStr">
        <is>
          <t>2026-10-19</t>
        </is>
      </c>
      <c r="AF56" s="6" t="inlineStr">
        <is>
          <t>SRC-04 ~00:53-00:54; repo EXT-0002 line 27 (transcript L468-L476, second-hand)</t>
        </is>
      </c>
      <c r="AG56" s="6" t="inlineStr"/>
      <c r="AH56" s="6" t="inlineStr">
        <is>
          <t>No</t>
        </is>
      </c>
      <c r="AI56" s="6" t="inlineStr">
        <is>
          <t>Closed within the cited record at baseline.</t>
        </is>
      </c>
      <c r="AJ56" s="6" t="inlineStr">
        <is>
          <t>SRC-11 'What is answered narrowly already'</t>
        </is>
      </c>
      <c r="AK56" s="6" t="inlineStr"/>
      <c r="AL56" s="6" t="inlineStr">
        <is>
          <t>S01</t>
        </is>
      </c>
    </row>
    <row r="57" ht="28" customHeight="1">
      <c r="A57" s="5" t="inlineStr">
        <is>
          <t>A-04</t>
        </is>
      </c>
      <c r="B57" s="6" t="inlineStr">
        <is>
          <t>A sound negative result can still be a thesis</t>
        </is>
      </c>
      <c r="C57" s="6" t="inlineStr">
        <is>
          <t>CLOSED - CLAUSE</t>
        </is>
      </c>
      <c r="D57" s="6" t="inlineStr">
        <is>
          <t>No</t>
        </is>
      </c>
      <c r="E57" s="6" t="inlineStr"/>
      <c r="F57" s="6" t="inlineStr"/>
      <c r="G57" s="18" t="inlineStr">
        <is>
          <t>CROSS-REFERENCE</t>
        </is>
      </c>
      <c r="H57" s="6" t="inlineStr">
        <is>
          <t>K5 Evaluation contract</t>
        </is>
      </c>
      <c r="I57" s="6" t="inlineStr">
        <is>
          <t>G5 Housekeeping / no block</t>
        </is>
      </c>
      <c r="J57" s="6" t="inlineStr">
        <is>
          <t>Low</t>
        </is>
      </c>
      <c r="K57" s="6" t="n">
        <v>230</v>
      </c>
      <c r="L57" s="6" t="inlineStr">
        <is>
          <t>W5 Claim-time</t>
        </is>
      </c>
      <c r="M57" s="6" t="inlineStr">
        <is>
          <t>S25</t>
        </is>
      </c>
      <c r="N57" s="6" t="inlineStr">
        <is>
          <t>n/a</t>
        </is>
      </c>
      <c r="O57" s="6" t="inlineStr">
        <is>
          <t>None; closes when its parents close</t>
        </is>
      </c>
      <c r="P57" s="6" t="inlineStr">
        <is>
          <t>Partly</t>
        </is>
      </c>
      <c r="Q57" s="6" t="inlineStr">
        <is>
          <t>Answered clause</t>
        </is>
      </c>
      <c r="R57" s="6" t="inlineStr">
        <is>
          <t>Clause</t>
        </is>
      </c>
      <c r="S57" s="6" t="inlineStr">
        <is>
          <t>C-D06</t>
        </is>
      </c>
      <c r="T57" s="6" t="inlineStr">
        <is>
          <t>A sound negative result can still be a thesis; systematic evidence matters.</t>
        </is>
      </c>
      <c r="U57" s="6" t="inlineStr">
        <is>
          <t>NOT in the repo's admitted excerpts (E3 says only 'some kind of findings'); see N-20.</t>
        </is>
      </c>
      <c r="V57" s="6" t="inlineStr">
        <is>
          <t>Closed within the cited record; the parent row keeps the rest.</t>
        </is>
      </c>
      <c r="W57" s="6" t="inlineStr"/>
      <c r="X57" s="6" t="inlineStr"/>
      <c r="Y57" s="6" t="inlineStr"/>
      <c r="Z57" s="6" t="inlineStr"/>
      <c r="AA57" s="6" t="inlineStr"/>
      <c r="AB57" s="6" t="inlineStr"/>
      <c r="AC57" s="6" t="inlineStr">
        <is>
          <t>Answered clause (SRC-11)</t>
        </is>
      </c>
      <c r="AD57" s="6" t="inlineStr">
        <is>
          <t>CLOSED (baseline)</t>
        </is>
      </c>
      <c r="AE57" s="6" t="inlineStr">
        <is>
          <t>2026-10-19</t>
        </is>
      </c>
      <c r="AF57" s="6" t="inlineStr">
        <is>
          <t>SRC-05 ~00:12-00:13, ~00:25-00:26 (as reported in SRC-11)</t>
        </is>
      </c>
      <c r="AG57" s="6" t="inlineStr"/>
      <c r="AH57" s="6" t="inlineStr">
        <is>
          <t>No</t>
        </is>
      </c>
      <c r="AI57" s="6" t="inlineStr">
        <is>
          <t>Closed within the cited record at baseline.</t>
        </is>
      </c>
      <c r="AJ57" s="6" t="inlineStr">
        <is>
          <t>SRC-11 'What is answered narrowly already'</t>
        </is>
      </c>
      <c r="AK57" s="6" t="inlineStr"/>
      <c r="AL57" s="6" t="inlineStr">
        <is>
          <t>S01</t>
        </is>
      </c>
    </row>
    <row r="58" ht="40.5" customHeight="1">
      <c r="A58" s="5" t="inlineStr">
        <is>
          <t>A-05</t>
        </is>
      </c>
      <c r="B58" s="6" t="inlineStr">
        <is>
          <t>All-tools exposure and the Executor were discussed as baselines</t>
        </is>
      </c>
      <c r="C58" s="6" t="inlineStr">
        <is>
          <t>CLOSED - CLAUSE</t>
        </is>
      </c>
      <c r="D58" s="6" t="inlineStr">
        <is>
          <t>No</t>
        </is>
      </c>
      <c r="E58" s="6" t="inlineStr"/>
      <c r="F58" s="6" t="inlineStr"/>
      <c r="G58" s="18" t="inlineStr">
        <is>
          <t>CROSS-REFERENCE</t>
        </is>
      </c>
      <c r="H58" s="6" t="inlineStr">
        <is>
          <t>K5 Evaluation contract</t>
        </is>
      </c>
      <c r="I58" s="6" t="inlineStr">
        <is>
          <t>G5 Housekeeping / no block</t>
        </is>
      </c>
      <c r="J58" s="6" t="inlineStr">
        <is>
          <t>Low</t>
        </is>
      </c>
      <c r="K58" s="6" t="n">
        <v>231</v>
      </c>
      <c r="L58" s="6" t="inlineStr">
        <is>
          <t>W5 Claim-time</t>
        </is>
      </c>
      <c r="M58" s="6" t="inlineStr">
        <is>
          <t>S25</t>
        </is>
      </c>
      <c r="N58" s="6" t="inlineStr">
        <is>
          <t>n/a</t>
        </is>
      </c>
      <c r="O58" s="6" t="inlineStr">
        <is>
          <t>None; closes when its parents close</t>
        </is>
      </c>
      <c r="P58" s="6" t="inlineStr">
        <is>
          <t>Partly</t>
        </is>
      </c>
      <c r="Q58" s="6" t="inlineStr">
        <is>
          <t>Answered clause</t>
        </is>
      </c>
      <c r="R58" s="6" t="inlineStr">
        <is>
          <t>Clause</t>
        </is>
      </c>
      <c r="S58" s="6" t="inlineStr">
        <is>
          <t>C-D08</t>
        </is>
      </c>
      <c r="T58" s="6" t="inlineStr">
        <is>
          <t>All-tools exposure and the Executor were discussed as baselines.</t>
        </is>
      </c>
      <c r="U58" s="6" t="inlineStr">
        <is>
          <t>CAVEATS 6: 'Executor as supervisor-named baseline' is a researcher identification; exact arms remain open.</t>
        </is>
      </c>
      <c r="V58" s="6" t="inlineStr">
        <is>
          <t>Closed within the cited record; the parent row keeps the rest.</t>
        </is>
      </c>
      <c r="W58" s="6" t="inlineStr"/>
      <c r="X58" s="6" t="inlineStr"/>
      <c r="Y58" s="6" t="inlineStr"/>
      <c r="Z58" s="6" t="inlineStr"/>
      <c r="AA58" s="6" t="inlineStr"/>
      <c r="AB58" s="6" t="inlineStr"/>
      <c r="AC58" s="6" t="inlineStr">
        <is>
          <t>Answered clause (SRC-11)</t>
        </is>
      </c>
      <c r="AD58" s="6" t="inlineStr">
        <is>
          <t>CLOSED (baseline)</t>
        </is>
      </c>
      <c r="AE58" s="6" t="inlineStr">
        <is>
          <t>2026-10-19</t>
        </is>
      </c>
      <c r="AF58" s="6" t="inlineStr">
        <is>
          <t>SRC-04 ~00:11, ~00:43-00:44 (via SRC-09)</t>
        </is>
      </c>
      <c r="AG58" s="6" t="inlineStr"/>
      <c r="AH58" s="6" t="inlineStr">
        <is>
          <t>No</t>
        </is>
      </c>
      <c r="AI58" s="6" t="inlineStr">
        <is>
          <t>Closed within the cited record at baseline.</t>
        </is>
      </c>
      <c r="AJ58" s="6" t="inlineStr">
        <is>
          <t>SRC-11 'What is answered narrowly already'</t>
        </is>
      </c>
      <c r="AK58" s="6" t="inlineStr"/>
      <c r="AL58" s="6" t="inlineStr">
        <is>
          <t>S01</t>
        </is>
      </c>
    </row>
    <row r="59" ht="28" customHeight="1">
      <c r="A59" s="5" t="inlineStr">
        <is>
          <t>A-06</t>
        </is>
      </c>
      <c r="B59" s="6" t="inlineStr">
        <is>
          <t>A policy draft came before implementation/experiments</t>
        </is>
      </c>
      <c r="C59" s="6" t="inlineStr">
        <is>
          <t>CLOSED - CLAUSE</t>
        </is>
      </c>
      <c r="D59" s="6" t="inlineStr">
        <is>
          <t>No</t>
        </is>
      </c>
      <c r="E59" s="6" t="inlineStr"/>
      <c r="F59" s="6" t="inlineStr"/>
      <c r="G59" s="18" t="inlineStr">
        <is>
          <t>CROSS-REFERENCE</t>
        </is>
      </c>
      <c r="H59" s="6" t="inlineStr">
        <is>
          <t>K6 Deliverable &amp; authorization</t>
        </is>
      </c>
      <c r="I59" s="6" t="inlineStr">
        <is>
          <t>G5 Housekeeping / no block</t>
        </is>
      </c>
      <c r="J59" s="6" t="inlineStr">
        <is>
          <t>Low</t>
        </is>
      </c>
      <c r="K59" s="6" t="n">
        <v>232</v>
      </c>
      <c r="L59" s="6" t="inlineStr">
        <is>
          <t>W5 Claim-time</t>
        </is>
      </c>
      <c r="M59" s="6" t="inlineStr">
        <is>
          <t>S25</t>
        </is>
      </c>
      <c r="N59" s="6" t="inlineStr">
        <is>
          <t>n/a</t>
        </is>
      </c>
      <c r="O59" s="6" t="inlineStr">
        <is>
          <t>None; closes when its parents close</t>
        </is>
      </c>
      <c r="P59" s="6" t="inlineStr">
        <is>
          <t>Partly</t>
        </is>
      </c>
      <c r="Q59" s="6" t="inlineStr">
        <is>
          <t>Answered clause</t>
        </is>
      </c>
      <c r="R59" s="6" t="inlineStr">
        <is>
          <t>Clause</t>
        </is>
      </c>
      <c r="S59" s="6" t="inlineStr">
        <is>
          <t>C-D05</t>
        </is>
      </c>
      <c r="T59" s="6" t="inlineStr">
        <is>
          <t>A policy draft came before implementation or experiments in these meetings.</t>
        </is>
      </c>
      <c r="U59" s="6" t="inlineStr">
        <is>
          <t>Corroborated by E9; evaluation-script boundary open.</t>
        </is>
      </c>
      <c r="V59" s="6" t="inlineStr">
        <is>
          <t>Closed within the cited record; the parent row keeps the rest.</t>
        </is>
      </c>
      <c r="W59" s="6" t="inlineStr"/>
      <c r="X59" s="6" t="inlineStr"/>
      <c r="Y59" s="6" t="inlineStr"/>
      <c r="Z59" s="6" t="inlineStr"/>
      <c r="AA59" s="6" t="inlineStr"/>
      <c r="AB59" s="6" t="inlineStr"/>
      <c r="AC59" s="6" t="inlineStr">
        <is>
          <t>Answered clause (SRC-11)</t>
        </is>
      </c>
      <c r="AD59" s="6" t="inlineStr">
        <is>
          <t>CLOSED (baseline)</t>
        </is>
      </c>
      <c r="AE59" s="6" t="inlineStr">
        <is>
          <t>2026-10-19</t>
        </is>
      </c>
      <c r="AF59" s="6" t="inlineStr">
        <is>
          <t>SRC-04 ~00:52-00:55; SRC-05 ~00:27, ~00:30-00:31; repo intake E9</t>
        </is>
      </c>
      <c r="AG59" s="6" t="inlineStr"/>
      <c r="AH59" s="6" t="inlineStr">
        <is>
          <t>No</t>
        </is>
      </c>
      <c r="AI59" s="6" t="inlineStr">
        <is>
          <t>Closed within the cited record at baseline.</t>
        </is>
      </c>
      <c r="AJ59" s="6" t="inlineStr">
        <is>
          <t>SRC-11 'What is answered narrowly already'</t>
        </is>
      </c>
      <c r="AK59" s="6" t="inlineStr"/>
      <c r="AL59" s="6" t="inlineStr">
        <is>
          <t>S01</t>
        </is>
      </c>
    </row>
    <row r="60" ht="28" customHeight="1">
      <c r="A60" s="5" t="inlineStr">
        <is>
          <t>A-07</t>
        </is>
      </c>
      <c r="B60" s="6" t="inlineStr">
        <is>
          <t>V3 corrected five mathematical/wording errors</t>
        </is>
      </c>
      <c r="C60" s="6" t="inlineStr">
        <is>
          <t>CLOSED - CLAUSE</t>
        </is>
      </c>
      <c r="D60" s="6" t="inlineStr">
        <is>
          <t>No</t>
        </is>
      </c>
      <c r="E60" s="6" t="inlineStr"/>
      <c r="F60" s="6" t="inlineStr"/>
      <c r="G60" s="18" t="inlineStr">
        <is>
          <t>CROSS-REFERENCE</t>
        </is>
      </c>
      <c r="H60" s="6" t="inlineStr">
        <is>
          <t>K17 Record repair &amp; procedure error</t>
        </is>
      </c>
      <c r="I60" s="6" t="inlineStr">
        <is>
          <t>G5 Housekeeping / no block</t>
        </is>
      </c>
      <c r="J60" s="6" t="inlineStr">
        <is>
          <t>Low</t>
        </is>
      </c>
      <c r="K60" s="6" t="n">
        <v>233</v>
      </c>
      <c r="L60" s="6" t="inlineStr">
        <is>
          <t>W5 Claim-time</t>
        </is>
      </c>
      <c r="M60" s="6" t="inlineStr">
        <is>
          <t>S25</t>
        </is>
      </c>
      <c r="N60" s="6" t="inlineStr">
        <is>
          <t>n/a</t>
        </is>
      </c>
      <c r="O60" s="6" t="inlineStr">
        <is>
          <t>None; closes when its parents close</t>
        </is>
      </c>
      <c r="P60" s="6" t="inlineStr">
        <is>
          <t>Partly</t>
        </is>
      </c>
      <c r="Q60" s="6" t="inlineStr">
        <is>
          <t>Answered clause</t>
        </is>
      </c>
      <c r="R60" s="6" t="inlineStr">
        <is>
          <t>Clause</t>
        </is>
      </c>
      <c r="S60" s="6" t="inlineStr">
        <is>
          <t>C-R01</t>
        </is>
      </c>
      <c r="T60" s="6" t="inlineStr">
        <is>
          <t>V3 corrected five mathematical or wording errors.</t>
        </is>
      </c>
      <c r="U60" s="6" t="inlineStr">
        <is>
          <t>Textual correction, not validation.</t>
        </is>
      </c>
      <c r="V60" s="6" t="inlineStr">
        <is>
          <t>Closed within the cited record; the parent row keeps the rest.</t>
        </is>
      </c>
      <c r="W60" s="6" t="inlineStr"/>
      <c r="X60" s="6" t="inlineStr"/>
      <c r="Y60" s="6" t="inlineStr"/>
      <c r="Z60" s="6" t="inlineStr"/>
      <c r="AA60" s="6" t="inlineStr"/>
      <c r="AB60" s="6" t="inlineStr"/>
      <c r="AC60" s="6" t="inlineStr">
        <is>
          <t>Answered clause (SRC-11)</t>
        </is>
      </c>
      <c r="AD60" s="6" t="inlineStr">
        <is>
          <t>CLOSED (baseline)</t>
        </is>
      </c>
      <c r="AE60" s="6" t="inlineStr">
        <is>
          <t>2026-10-19</t>
        </is>
      </c>
      <c r="AF60" s="6" t="inlineStr">
        <is>
          <t>v3-01 sections 1-5; SRC-08 section G</t>
        </is>
      </c>
      <c r="AG60" s="6" t="inlineStr"/>
      <c r="AH60" s="6" t="inlineStr">
        <is>
          <t>No</t>
        </is>
      </c>
      <c r="AI60" s="6" t="inlineStr">
        <is>
          <t>Closed within the cited record at baseline.</t>
        </is>
      </c>
      <c r="AJ60" s="6" t="inlineStr">
        <is>
          <t>SRC-11 'What is answered narrowly already'</t>
        </is>
      </c>
      <c r="AK60" s="6" t="inlineStr"/>
      <c r="AL60" s="6" t="inlineStr">
        <is>
          <t>S01</t>
        </is>
      </c>
    </row>
    <row r="61" ht="40.5" customHeight="1">
      <c r="A61" s="5" t="inlineStr">
        <is>
          <t>A-08</t>
        </is>
      </c>
      <c r="B61" s="6" t="inlineStr">
        <is>
          <t>Independent MCPVerse reading reports three narrow findings</t>
        </is>
      </c>
      <c r="C61" s="6" t="inlineStr">
        <is>
          <t>CLOSED - CLAUSE</t>
        </is>
      </c>
      <c r="D61" s="6" t="inlineStr">
        <is>
          <t>No</t>
        </is>
      </c>
      <c r="E61" s="6" t="inlineStr"/>
      <c r="F61" s="6" t="inlineStr"/>
      <c r="G61" s="18" t="inlineStr">
        <is>
          <t>CROSS-REFERENCE</t>
        </is>
      </c>
      <c r="H61" s="6" t="inlineStr">
        <is>
          <t>K14 Source &amp; vendor verification</t>
        </is>
      </c>
      <c r="I61" s="6" t="inlineStr">
        <is>
          <t>G5 Housekeeping / no block</t>
        </is>
      </c>
      <c r="J61" s="6" t="inlineStr">
        <is>
          <t>Low</t>
        </is>
      </c>
      <c r="K61" s="6" t="n">
        <v>234</v>
      </c>
      <c r="L61" s="6" t="inlineStr">
        <is>
          <t>W5 Claim-time</t>
        </is>
      </c>
      <c r="M61" s="6" t="inlineStr">
        <is>
          <t>S25</t>
        </is>
      </c>
      <c r="N61" s="6" t="inlineStr">
        <is>
          <t>n/a</t>
        </is>
      </c>
      <c r="O61" s="6" t="inlineStr">
        <is>
          <t>None; closes when its parents close</t>
        </is>
      </c>
      <c r="P61" s="6" t="inlineStr">
        <is>
          <t>Partly</t>
        </is>
      </c>
      <c r="Q61" s="6" t="inlineStr">
        <is>
          <t>Answered clause</t>
        </is>
      </c>
      <c r="R61" s="6" t="inlineStr">
        <is>
          <t>Clause</t>
        </is>
      </c>
      <c r="S61" s="6" t="inlineStr">
        <is>
          <t>C-S19</t>
        </is>
      </c>
      <c r="T61" s="6" t="inlineStr">
        <is>
          <t>The independent MCPVerse reading source-reports three narrow findings (judge change insufficient; one Claude v2 row consistent; 140k/147k not v2-only).</t>
        </is>
      </c>
      <c r="U61" s="6" t="inlineStr">
        <is>
          <t>Original papers not freshly verified in SRC-09/10; one unverified lead reading in the repo.</t>
        </is>
      </c>
      <c r="V61" s="6" t="inlineStr">
        <is>
          <t>Closed within the cited record; the parent row keeps the rest.</t>
        </is>
      </c>
      <c r="W61" s="6" t="inlineStr"/>
      <c r="X61" s="6" t="inlineStr"/>
      <c r="Y61" s="6" t="inlineStr"/>
      <c r="Z61" s="6" t="inlineStr"/>
      <c r="AA61" s="6" t="inlineStr"/>
      <c r="AB61" s="6" t="inlineStr"/>
      <c r="AC61" s="6" t="inlineStr">
        <is>
          <t>Answered clause (SRC-11)</t>
        </is>
      </c>
      <c r="AD61" s="6" t="inlineStr">
        <is>
          <t>CLOSED (baseline)</t>
        </is>
      </c>
      <c r="AE61" s="6" t="inlineStr">
        <is>
          <t>2026-10-19</t>
        </is>
      </c>
      <c r="AF61" s="6" t="inlineStr">
        <is>
          <t>SRC-08 section G; SRC-09 C-S19; repo WD AUTH-008 partly corroborates</t>
        </is>
      </c>
      <c r="AG61" s="6" t="inlineStr"/>
      <c r="AH61" s="6" t="inlineStr">
        <is>
          <t>No</t>
        </is>
      </c>
      <c r="AI61" s="6" t="inlineStr">
        <is>
          <t>Closed within the cited record at baseline.</t>
        </is>
      </c>
      <c r="AJ61" s="6" t="inlineStr">
        <is>
          <t>SRC-11 'What is answered narrowly already'</t>
        </is>
      </c>
      <c r="AK61" s="6" t="inlineStr"/>
      <c r="AL61" s="6" t="inlineStr">
        <is>
          <t>S01</t>
        </is>
      </c>
    </row>
    <row r="62" ht="40.5" customHeight="1">
      <c r="A62" s="5" t="inlineStr">
        <is>
          <t>C-E04</t>
        </is>
      </c>
      <c r="B62" s="6" t="inlineStr">
        <is>
          <t>Blind investigator, comparator, the repo's agents and this review share a model family and some sources.</t>
        </is>
      </c>
      <c r="C62" s="6" t="inlineStr">
        <is>
          <t>ACCEPTED LIMITATION</t>
        </is>
      </c>
      <c r="D62" s="6" t="inlineStr">
        <is>
          <t>No</t>
        </is>
      </c>
      <c r="E62" s="6" t="inlineStr"/>
      <c r="F62" s="6" t="inlineStr"/>
      <c r="G62" s="12" t="inlineStr">
        <is>
          <t>ACCEPT-LIMITATION</t>
        </is>
      </c>
      <c r="H62" s="6" t="inlineStr">
        <is>
          <t>K16 Limits &amp; provenance</t>
        </is>
      </c>
      <c r="I62" s="6" t="inlineStr">
        <is>
          <t>G5 Housekeeping / no block</t>
        </is>
      </c>
      <c r="J62" s="6" t="inlineStr">
        <is>
          <t>Low</t>
        </is>
      </c>
      <c r="K62" s="6" t="n">
        <v>242</v>
      </c>
      <c r="L62" s="6" t="inlineStr">
        <is>
          <t>W5 Claim-time</t>
        </is>
      </c>
      <c r="M62" s="6" t="inlineStr">
        <is>
          <t>S25</t>
        </is>
      </c>
      <c r="N62" s="6" t="inlineStr">
        <is>
          <t>You</t>
        </is>
      </c>
      <c r="O62" s="6" t="inlineStr">
        <is>
          <t>Closed; moved to Archive</t>
        </is>
      </c>
      <c r="P62" s="6" t="inlineStr">
        <is>
          <t>n/a</t>
        </is>
      </c>
      <c r="Q62" s="6" t="inlineStr">
        <is>
          <t>Limitation</t>
        </is>
      </c>
      <c r="R62" s="6" t="inlineStr">
        <is>
          <t>Item</t>
        </is>
      </c>
      <c r="S62" s="6" t="inlineStr"/>
      <c r="T62" s="6" t="inlineStr">
        <is>
          <t>Blind investigator, comparator, the repo's agents and this review share a model family and some sources.</t>
        </is>
      </c>
      <c r="U62" s="6" t="inlineStr">
        <is>
          <t>Now also true of the repo's steward/challenger checks (all Sonnet).</t>
        </is>
      </c>
      <c r="V62" s="6" t="inlineStr">
        <is>
          <t>Accepted 2026-10-20 (the human); a limitation is closed by being stated, not by a test.</t>
        </is>
      </c>
      <c r="W62" s="6" t="inlineStr"/>
      <c r="X62" s="6" t="inlineStr"/>
      <c r="Y62" s="6" t="inlineStr">
        <is>
          <t>Q-U20</t>
        </is>
      </c>
      <c r="Z62" s="6" t="inlineStr"/>
      <c r="AA62" s="6" t="inlineStr"/>
      <c r="AB62" s="6" t="inlineStr">
        <is>
          <t>BOUND+RECORD</t>
        </is>
      </c>
      <c r="AC62" s="6" t="inlineStr">
        <is>
          <t>BOUNDARY</t>
        </is>
      </c>
      <c r="AD62" s="6" t="inlineStr">
        <is>
          <t>UNCHANGED</t>
        </is>
      </c>
      <c r="AE62" s="6" t="inlineStr">
        <is>
          <t>2026-10-20</t>
        </is>
      </c>
      <c r="AF62" s="6" t="inlineStr">
        <is>
          <t>Questions Q-U20 (answer cell, verbatim); chat message of 2026-10-20</t>
        </is>
      </c>
      <c r="AG62" s="6" t="inlineStr"/>
      <c r="AH62" s="6" t="inlineStr">
        <is>
          <t>No</t>
        </is>
      </c>
      <c r="AI62" s="6" t="inlineStr">
        <is>
          <t>Accepted by the human on 2026-10-20, in the human's words: "I accept all 7 in B"</t>
        </is>
      </c>
      <c r="AJ62" s="6" t="inlineStr">
        <is>
          <t>SRC-11 canonical</t>
        </is>
      </c>
      <c r="AK62" s="6" t="inlineStr">
        <is>
          <t>SRC-06 P05, SRC-06 P08, SRC-07 30, CAVEATS 11</t>
        </is>
      </c>
      <c r="AL62" s="6" t="inlineStr">
        <is>
          <t>S25</t>
        </is>
      </c>
    </row>
    <row r="63" ht="40.5" customHeight="1">
      <c r="A63" s="5" t="inlineStr">
        <is>
          <t>C-P02/P05</t>
        </is>
      </c>
      <c r="B63" s="6" t="inlineStr">
        <is>
          <t>Same-model/operator/source risk</t>
        </is>
      </c>
      <c r="C63" s="6" t="inlineStr">
        <is>
          <t>ACCEPTED LIMITATION</t>
        </is>
      </c>
      <c r="D63" s="6" t="inlineStr">
        <is>
          <t>No</t>
        </is>
      </c>
      <c r="E63" s="6" t="inlineStr"/>
      <c r="F63" s="6" t="inlineStr"/>
      <c r="G63" s="12" t="inlineStr">
        <is>
          <t>ACCEPT-LIMITATION</t>
        </is>
      </c>
      <c r="H63" s="6" t="inlineStr">
        <is>
          <t>K16 Limits &amp; provenance</t>
        </is>
      </c>
      <c r="I63" s="6" t="inlineStr">
        <is>
          <t>G5 Housekeeping / no block</t>
        </is>
      </c>
      <c r="J63" s="6" t="inlineStr">
        <is>
          <t>Low</t>
        </is>
      </c>
      <c r="K63" s="6" t="n">
        <v>249</v>
      </c>
      <c r="L63" s="6" t="inlineStr">
        <is>
          <t>W5 Claim-time</t>
        </is>
      </c>
      <c r="M63" s="6" t="inlineStr">
        <is>
          <t>S25</t>
        </is>
      </c>
      <c r="N63" s="6" t="inlineStr">
        <is>
          <t>You</t>
        </is>
      </c>
      <c r="O63" s="6" t="inlineStr">
        <is>
          <t>Closed; moved to Archive</t>
        </is>
      </c>
      <c r="P63" s="6" t="inlineStr">
        <is>
          <t>No</t>
        </is>
      </c>
      <c r="Q63" s="6" t="inlineStr">
        <is>
          <t>Limitation</t>
        </is>
      </c>
      <c r="R63" s="6" t="inlineStr">
        <is>
          <t>Sub-item</t>
        </is>
      </c>
      <c r="S63" s="6" t="inlineStr">
        <is>
          <t>C-P02</t>
        </is>
      </c>
      <c r="T63" s="6" t="inlineStr">
        <is>
          <t>SRC-06 P05: the independent work shares model family, operator and sources with the thesis work.</t>
        </is>
      </c>
      <c r="U63" s="6" t="inlineStr">
        <is>
          <t>Outside the repo.</t>
        </is>
      </c>
      <c r="V63" s="6" t="inlineStr">
        <is>
          <t>Accepted 2026-10-20 (the human); a limitation is closed by being stated, not by a test.</t>
        </is>
      </c>
      <c r="W63" s="6" t="inlineStr"/>
      <c r="X63" s="6" t="inlineStr"/>
      <c r="Y63" s="6" t="inlineStr">
        <is>
          <t>Q-U20</t>
        </is>
      </c>
      <c r="Z63" s="6" t="inlineStr"/>
      <c r="AA63" s="6" t="inlineStr"/>
      <c r="AB63" s="6" t="inlineStr">
        <is>
          <t>BOUND+RECORD</t>
        </is>
      </c>
      <c r="AC63" s="6" t="inlineStr">
        <is>
          <t>n/a (sub-item)</t>
        </is>
      </c>
      <c r="AD63" s="6" t="inlineStr">
        <is>
          <t>NEW (SRC-11 sub-row)</t>
        </is>
      </c>
      <c r="AE63" s="6" t="inlineStr">
        <is>
          <t>2026-10-20</t>
        </is>
      </c>
      <c r="AF63" s="6" t="inlineStr">
        <is>
          <t>Questions Q-U20 (answer cell, verbatim); chat message of 2026-10-20</t>
        </is>
      </c>
      <c r="AG63" s="6" t="inlineStr"/>
      <c r="AH63" s="6" t="inlineStr">
        <is>
          <t>No</t>
        </is>
      </c>
      <c r="AI63" s="6" t="inlineStr">
        <is>
          <t>Accepted by the human on 2026-10-20, in the human's words: "I accept all 7 in B"</t>
        </is>
      </c>
      <c r="AJ63" s="6" t="inlineStr">
        <is>
          <t>SRC-11 section D5</t>
        </is>
      </c>
      <c r="AK63" s="6" t="inlineStr">
        <is>
          <t>SRC-06 P05, CAVEATS 11</t>
        </is>
      </c>
      <c r="AL63" s="6" t="inlineStr">
        <is>
          <t>S25</t>
        </is>
      </c>
    </row>
    <row r="64" ht="40.5" customHeight="1">
      <c r="A64" s="5" t="inlineStr">
        <is>
          <t>C-P02/P07</t>
        </is>
      </c>
      <c r="B64" s="6" t="inlineStr">
        <is>
          <t>Asymmetric coverage between investigations</t>
        </is>
      </c>
      <c r="C64" s="6" t="inlineStr">
        <is>
          <t>ACCEPTED LIMITATION</t>
        </is>
      </c>
      <c r="D64" s="6" t="inlineStr">
        <is>
          <t>No</t>
        </is>
      </c>
      <c r="E64" s="6" t="inlineStr"/>
      <c r="F64" s="6" t="inlineStr"/>
      <c r="G64" s="12" t="inlineStr">
        <is>
          <t>ACCEPT-LIMITATION</t>
        </is>
      </c>
      <c r="H64" s="6" t="inlineStr">
        <is>
          <t>K16 Limits &amp; provenance</t>
        </is>
      </c>
      <c r="I64" s="6" t="inlineStr">
        <is>
          <t>G5 Housekeeping / no block</t>
        </is>
      </c>
      <c r="J64" s="6" t="inlineStr">
        <is>
          <t>Low</t>
        </is>
      </c>
      <c r="K64" s="6" t="n">
        <v>251</v>
      </c>
      <c r="L64" s="6" t="inlineStr">
        <is>
          <t>W5 Claim-time</t>
        </is>
      </c>
      <c r="M64" s="6" t="inlineStr">
        <is>
          <t>S25</t>
        </is>
      </c>
      <c r="N64" s="6" t="inlineStr">
        <is>
          <t>You</t>
        </is>
      </c>
      <c r="O64" s="6" t="inlineStr">
        <is>
          <t>Closed; moved to Archive</t>
        </is>
      </c>
      <c r="P64" s="6" t="inlineStr">
        <is>
          <t>No</t>
        </is>
      </c>
      <c r="Q64" s="6" t="inlineStr">
        <is>
          <t>Limitation</t>
        </is>
      </c>
      <c r="R64" s="6" t="inlineStr">
        <is>
          <t>Sub-item</t>
        </is>
      </c>
      <c r="S64" s="6" t="inlineStr">
        <is>
          <t>C-P02</t>
        </is>
      </c>
      <c r="T64" s="6" t="inlineStr">
        <is>
          <t>SRC-06 P07: coverage asymmetry between the independent and the thesis tracks.</t>
        </is>
      </c>
      <c r="U64" s="6" t="inlineStr">
        <is>
          <t>Outside the repo.</t>
        </is>
      </c>
      <c r="V64" s="6" t="inlineStr">
        <is>
          <t>Accepted 2026-10-20 (the human); a limitation is closed by being stated, not by a test.</t>
        </is>
      </c>
      <c r="W64" s="6" t="inlineStr"/>
      <c r="X64" s="6" t="inlineStr"/>
      <c r="Y64" s="6" t="inlineStr">
        <is>
          <t>Q-U20</t>
        </is>
      </c>
      <c r="Z64" s="6" t="inlineStr"/>
      <c r="AA64" s="6" t="inlineStr"/>
      <c r="AB64" s="6" t="inlineStr">
        <is>
          <t>BOUND</t>
        </is>
      </c>
      <c r="AC64" s="6" t="inlineStr">
        <is>
          <t>n/a (sub-item)</t>
        </is>
      </c>
      <c r="AD64" s="6" t="inlineStr">
        <is>
          <t>NEW (SRC-11 sub-row)</t>
        </is>
      </c>
      <c r="AE64" s="6" t="inlineStr">
        <is>
          <t>2026-10-20</t>
        </is>
      </c>
      <c r="AF64" s="6" t="inlineStr">
        <is>
          <t>Questions Q-U20 (answer cell, verbatim); chat message of 2026-10-20</t>
        </is>
      </c>
      <c r="AG64" s="6" t="inlineStr"/>
      <c r="AH64" s="6" t="inlineStr">
        <is>
          <t>No</t>
        </is>
      </c>
      <c r="AI64" s="6" t="inlineStr">
        <is>
          <t>Accepted by the human on 2026-10-20, in the human's words: "I accept all 7 in B"</t>
        </is>
      </c>
      <c r="AJ64" s="6" t="inlineStr">
        <is>
          <t>SRC-11 section D5</t>
        </is>
      </c>
      <c r="AK64" s="6" t="inlineStr">
        <is>
          <t>SRC-06 P07</t>
        </is>
      </c>
      <c r="AL64" s="6" t="inlineStr">
        <is>
          <t>S25</t>
        </is>
      </c>
    </row>
    <row r="65" ht="40.5" customHeight="1">
      <c r="A65" s="5" t="inlineStr">
        <is>
          <t>C-P02/P08</t>
        </is>
      </c>
      <c r="B65" s="6" t="inlineStr">
        <is>
          <t>Shared-source convergence</t>
        </is>
      </c>
      <c r="C65" s="6" t="inlineStr">
        <is>
          <t>ACCEPTED LIMITATION</t>
        </is>
      </c>
      <c r="D65" s="6" t="inlineStr">
        <is>
          <t>No</t>
        </is>
      </c>
      <c r="E65" s="6" t="inlineStr"/>
      <c r="F65" s="6" t="inlineStr"/>
      <c r="G65" s="12" t="inlineStr">
        <is>
          <t>ACCEPT-LIMITATION</t>
        </is>
      </c>
      <c r="H65" s="6" t="inlineStr">
        <is>
          <t>K16 Limits &amp; provenance</t>
        </is>
      </c>
      <c r="I65" s="6" t="inlineStr">
        <is>
          <t>G5 Housekeeping / no block</t>
        </is>
      </c>
      <c r="J65" s="6" t="inlineStr">
        <is>
          <t>Low</t>
        </is>
      </c>
      <c r="K65" s="6" t="n">
        <v>252</v>
      </c>
      <c r="L65" s="6" t="inlineStr">
        <is>
          <t>W5 Claim-time</t>
        </is>
      </c>
      <c r="M65" s="6" t="inlineStr">
        <is>
          <t>S25</t>
        </is>
      </c>
      <c r="N65" s="6" t="inlineStr">
        <is>
          <t>You</t>
        </is>
      </c>
      <c r="O65" s="6" t="inlineStr">
        <is>
          <t>Closed; moved to Archive</t>
        </is>
      </c>
      <c r="P65" s="6" t="inlineStr">
        <is>
          <t>No</t>
        </is>
      </c>
      <c r="Q65" s="6" t="inlineStr">
        <is>
          <t>Limitation</t>
        </is>
      </c>
      <c r="R65" s="6" t="inlineStr">
        <is>
          <t>Sub-item</t>
        </is>
      </c>
      <c r="S65" s="6" t="inlineStr">
        <is>
          <t>C-P02</t>
        </is>
      </c>
      <c r="T65" s="6" t="inlineStr">
        <is>
          <t>SRC-06 P08: convergence may come from shared sources.</t>
        </is>
      </c>
      <c r="U65" s="6" t="inlineStr">
        <is>
          <t>Outside the repo.</t>
        </is>
      </c>
      <c r="V65" s="6" t="inlineStr">
        <is>
          <t>Accepted 2026-10-20 (the human); a limitation is closed by being stated, not by a test.</t>
        </is>
      </c>
      <c r="W65" s="6" t="inlineStr"/>
      <c r="X65" s="6" t="inlineStr"/>
      <c r="Y65" s="6" t="inlineStr">
        <is>
          <t>Q-U20</t>
        </is>
      </c>
      <c r="Z65" s="6" t="inlineStr"/>
      <c r="AA65" s="6" t="inlineStr"/>
      <c r="AB65" s="6" t="inlineStr">
        <is>
          <t>BOUND</t>
        </is>
      </c>
      <c r="AC65" s="6" t="inlineStr">
        <is>
          <t>n/a (sub-item)</t>
        </is>
      </c>
      <c r="AD65" s="6" t="inlineStr">
        <is>
          <t>NEW (SRC-11 sub-row)</t>
        </is>
      </c>
      <c r="AE65" s="6" t="inlineStr">
        <is>
          <t>2026-10-20</t>
        </is>
      </c>
      <c r="AF65" s="6" t="inlineStr">
        <is>
          <t>Questions Q-U20 (answer cell, verbatim); chat message of 2026-10-20</t>
        </is>
      </c>
      <c r="AG65" s="6" t="inlineStr"/>
      <c r="AH65" s="6" t="inlineStr">
        <is>
          <t>No</t>
        </is>
      </c>
      <c r="AI65" s="6" t="inlineStr">
        <is>
          <t>Accepted by the human on 2026-10-20, in the human's words: "I accept all 7 in B"</t>
        </is>
      </c>
      <c r="AJ65" s="6" t="inlineStr">
        <is>
          <t>SRC-11 section D5</t>
        </is>
      </c>
      <c r="AK65" s="6" t="inlineStr">
        <is>
          <t>SRC-06 P08, CAVEATS 11</t>
        </is>
      </c>
      <c r="AL65" s="6" t="inlineStr">
        <is>
          <t>S25</t>
        </is>
      </c>
    </row>
    <row r="66" ht="40.5" customHeight="1">
      <c r="A66" s="5" t="inlineStr">
        <is>
          <t>C-P02/P09</t>
        </is>
      </c>
      <c r="B66" s="6" t="inlineStr">
        <is>
          <t>One or no adversarial reviews</t>
        </is>
      </c>
      <c r="C66" s="6" t="inlineStr">
        <is>
          <t>ACCEPTED LIMITATION</t>
        </is>
      </c>
      <c r="D66" s="6" t="inlineStr">
        <is>
          <t>No</t>
        </is>
      </c>
      <c r="E66" s="6" t="inlineStr"/>
      <c r="F66" s="6" t="inlineStr"/>
      <c r="G66" s="12" t="inlineStr">
        <is>
          <t>ACCEPT-LIMITATION</t>
        </is>
      </c>
      <c r="H66" s="6" t="inlineStr">
        <is>
          <t>K16 Limits &amp; provenance</t>
        </is>
      </c>
      <c r="I66" s="6" t="inlineStr">
        <is>
          <t>G5 Housekeeping / no block</t>
        </is>
      </c>
      <c r="J66" s="6" t="inlineStr">
        <is>
          <t>Low</t>
        </is>
      </c>
      <c r="K66" s="6" t="n">
        <v>253</v>
      </c>
      <c r="L66" s="6" t="inlineStr">
        <is>
          <t>W5 Claim-time</t>
        </is>
      </c>
      <c r="M66" s="6" t="inlineStr">
        <is>
          <t>S25</t>
        </is>
      </c>
      <c r="N66" s="6" t="inlineStr">
        <is>
          <t>You</t>
        </is>
      </c>
      <c r="O66" s="6" t="inlineStr">
        <is>
          <t>Closed; moved to Archive</t>
        </is>
      </c>
      <c r="P66" s="6" t="inlineStr">
        <is>
          <t>No</t>
        </is>
      </c>
      <c r="Q66" s="6" t="inlineStr">
        <is>
          <t>Limitation</t>
        </is>
      </c>
      <c r="R66" s="6" t="inlineStr">
        <is>
          <t>Sub-item</t>
        </is>
      </c>
      <c r="S66" s="6" t="inlineStr">
        <is>
          <t>C-P02</t>
        </is>
      </c>
      <c r="T66" s="6" t="inlineStr">
        <is>
          <t>SRC-06 P09: one or no adversarial reviews of the independent work.</t>
        </is>
      </c>
      <c r="U66" s="6" t="inlineStr">
        <is>
          <t>Outside the repo.</t>
        </is>
      </c>
      <c r="V66" s="6" t="inlineStr">
        <is>
          <t>Accepted 2026-10-20 (the human); a limitation is closed by being stated, not by a test.</t>
        </is>
      </c>
      <c r="W66" s="6" t="inlineStr"/>
      <c r="X66" s="6" t="inlineStr"/>
      <c r="Y66" s="6" t="inlineStr">
        <is>
          <t>Q-U20</t>
        </is>
      </c>
      <c r="Z66" s="6" t="inlineStr"/>
      <c r="AA66" s="6" t="inlineStr"/>
      <c r="AB66" s="6" t="inlineStr">
        <is>
          <t>BOUND</t>
        </is>
      </c>
      <c r="AC66" s="6" t="inlineStr">
        <is>
          <t>n/a (sub-item)</t>
        </is>
      </c>
      <c r="AD66" s="6" t="inlineStr">
        <is>
          <t>NEW (SRC-11 sub-row)</t>
        </is>
      </c>
      <c r="AE66" s="6" t="inlineStr">
        <is>
          <t>2026-10-20</t>
        </is>
      </c>
      <c r="AF66" s="6" t="inlineStr">
        <is>
          <t>Questions Q-U20 (answer cell, verbatim); chat message of 2026-10-20</t>
        </is>
      </c>
      <c r="AG66" s="6" t="inlineStr"/>
      <c r="AH66" s="6" t="inlineStr">
        <is>
          <t>No</t>
        </is>
      </c>
      <c r="AI66" s="6" t="inlineStr">
        <is>
          <t>Accepted by the human on 2026-10-20, in the human's words: "I accept all 7 in B"</t>
        </is>
      </c>
      <c r="AJ66" s="6" t="inlineStr">
        <is>
          <t>SRC-11 section D5</t>
        </is>
      </c>
      <c r="AK66" s="6" t="inlineStr">
        <is>
          <t>SRC-06 P09</t>
        </is>
      </c>
      <c r="AL66" s="6" t="inlineStr">
        <is>
          <t>S25</t>
        </is>
      </c>
    </row>
    <row r="67" ht="40.5" customHeight="1">
      <c r="A67" s="5" t="inlineStr">
        <is>
          <t>C-P03/P14</t>
        </is>
      </c>
      <c r="B67" s="6" t="inlineStr">
        <is>
          <t>Older workspace saw excerpts/ASR; SRC-09 read full October notes</t>
        </is>
      </c>
      <c r="C67" s="6" t="inlineStr">
        <is>
          <t>ACCEPTED LIMITATION</t>
        </is>
      </c>
      <c r="D67" s="6" t="inlineStr">
        <is>
          <t>No</t>
        </is>
      </c>
      <c r="E67" s="6" t="inlineStr"/>
      <c r="F67" s="6" t="inlineStr"/>
      <c r="G67" s="12" t="inlineStr">
        <is>
          <t>ACCEPT-LIMITATION</t>
        </is>
      </c>
      <c r="H67" s="6" t="inlineStr">
        <is>
          <t>K16 Limits &amp; provenance</t>
        </is>
      </c>
      <c r="I67" s="6" t="inlineStr">
        <is>
          <t>G5 Housekeeping / no block</t>
        </is>
      </c>
      <c r="J67" s="6" t="inlineStr">
        <is>
          <t>Low</t>
        </is>
      </c>
      <c r="K67" s="6" t="n">
        <v>257</v>
      </c>
      <c r="L67" s="6" t="inlineStr">
        <is>
          <t>W5 Claim-time</t>
        </is>
      </c>
      <c r="M67" s="6" t="inlineStr">
        <is>
          <t>S25</t>
        </is>
      </c>
      <c r="N67" s="6" t="inlineStr">
        <is>
          <t>You</t>
        </is>
      </c>
      <c r="O67" s="6" t="inlineStr">
        <is>
          <t>Closed; moved to Archive</t>
        </is>
      </c>
      <c r="P67" s="6" t="inlineStr">
        <is>
          <t>Partly</t>
        </is>
      </c>
      <c r="Q67" s="6" t="inlineStr">
        <is>
          <t>Limitation</t>
        </is>
      </c>
      <c r="R67" s="6" t="inlineStr">
        <is>
          <t>Sub-item</t>
        </is>
      </c>
      <c r="S67" s="6" t="inlineStr">
        <is>
          <t>C-P03</t>
        </is>
      </c>
      <c r="T67" s="6" t="inlineStr">
        <is>
          <t>SRC-06 P14: the older workspace saw excerpts and automatic transcription only, while SRC-09 read the full October notes.</t>
        </is>
      </c>
      <c r="U67" s="6" t="inlineStr">
        <is>
          <t>This repo has only the nine excerpts of 14 Oct.</t>
        </is>
      </c>
      <c r="V67" s="6" t="inlineStr">
        <is>
          <t>Accepted 2026-10-20 (the human); a limitation is closed by being stated, not by a test.</t>
        </is>
      </c>
      <c r="W67" s="6" t="inlineStr"/>
      <c r="X67" s="6" t="inlineStr"/>
      <c r="Y67" s="6" t="inlineStr">
        <is>
          <t>Q-U20</t>
        </is>
      </c>
      <c r="Z67" s="6" t="inlineStr"/>
      <c r="AA67" s="6" t="inlineStr"/>
      <c r="AB67" s="6" t="inlineStr">
        <is>
          <t>RECORD+DEC</t>
        </is>
      </c>
      <c r="AC67" s="6" t="inlineStr">
        <is>
          <t>n/a (sub-item)</t>
        </is>
      </c>
      <c r="AD67" s="6" t="inlineStr">
        <is>
          <t>NEW (SRC-11 sub-row)</t>
        </is>
      </c>
      <c r="AE67" s="6" t="inlineStr">
        <is>
          <t>2026-10-20</t>
        </is>
      </c>
      <c r="AF67" s="6" t="inlineStr">
        <is>
          <t>Questions Q-U20 (answer cell, verbatim); chat message of 2026-10-20</t>
        </is>
      </c>
      <c r="AG67" s="6" t="inlineStr"/>
      <c r="AH67" s="6" t="inlineStr">
        <is>
          <t>Yes (reconciliation)</t>
        </is>
      </c>
      <c r="AI67" s="6" t="inlineStr">
        <is>
          <t>Accepted by the human on 2026-10-20, in the human's words: "I accept all 7 in B"</t>
        </is>
      </c>
      <c r="AJ67" s="6" t="inlineStr">
        <is>
          <t>SRC-11 section D5</t>
        </is>
      </c>
      <c r="AK67" s="6" t="inlineStr">
        <is>
          <t>SRC-06 P14</t>
        </is>
      </c>
      <c r="AL67" s="6" t="inlineStr">
        <is>
          <t>S25</t>
        </is>
      </c>
    </row>
    <row r="68" ht="15" customHeight="1"/>
    <row r="69" ht="15" customHeight="1">
      <c r="A69" s="22" t="inlineStr">
        <is>
          <t>Closed rows live here. Move a row from Ledger to here only when its status is CLOSED and the Change log records it; the ID stays unique across Ledger and Archive (see Overview checks).</t>
        </is>
      </c>
    </row>
  </sheetData>
  <autoFilter ref="A1:AL67"/>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449"/>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1" ht="15.5" customHeight="1">
      <c r="A351" s="6" t="inlineStr">
        <is>
          <t>2026-10-20</t>
        </is>
      </c>
      <c r="B351" s="6" t="inlineStr">
        <is>
          <t>C-R01/C01</t>
        </is>
      </c>
      <c r="C351" s="6" t="inlineStr">
        <is>
          <t>Current status</t>
        </is>
      </c>
      <c r="D351" s="6" t="inlineStr">
        <is>
          <t>PARTLY ANSWERED</t>
        </is>
      </c>
      <c r="E351" s="6" t="inlineStr">
        <is>
          <t>CLOSED - BY EVIDENCE</t>
        </is>
      </c>
      <c r="F351" s="6" t="inlineStr">
        <is>
          <t>closed on evidence</t>
        </is>
      </c>
      <c r="G351" s="6" t="inlineStr">
        <is>
          <t>batch 15a (lead)</t>
        </is>
      </c>
      <c r="H351" s="6" t="inlineStr">
        <is>
          <t>Claude</t>
        </is>
      </c>
    </row>
    <row r="352" ht="15.5" customHeight="1">
      <c r="A352" s="6" t="inlineStr">
        <is>
          <t>2026-10-20</t>
        </is>
      </c>
      <c r="B352" s="6" t="inlineStr">
        <is>
          <t>C-R01/C02</t>
        </is>
      </c>
      <c r="C352" s="6" t="inlineStr">
        <is>
          <t>Current status</t>
        </is>
      </c>
      <c r="D352" s="6" t="inlineStr">
        <is>
          <t>PARTLY ANSWERED</t>
        </is>
      </c>
      <c r="E352" s="6" t="inlineStr">
        <is>
          <t>CLOSED - BY EVIDENCE</t>
        </is>
      </c>
      <c r="F352" s="6" t="inlineStr">
        <is>
          <t>closed on evidence</t>
        </is>
      </c>
      <c r="G352" s="6" t="inlineStr">
        <is>
          <t>batch 15a (lead)</t>
        </is>
      </c>
      <c r="H352" s="6" t="inlineStr">
        <is>
          <t>Claude</t>
        </is>
      </c>
    </row>
    <row r="353" ht="15.5" customHeight="1">
      <c r="A353" s="6" t="inlineStr">
        <is>
          <t>2026-10-20</t>
        </is>
      </c>
      <c r="B353" s="6" t="inlineStr">
        <is>
          <t>C-R01/C05</t>
        </is>
      </c>
      <c r="C353" s="6" t="inlineStr">
        <is>
          <t>Current status</t>
        </is>
      </c>
      <c r="D353" s="6" t="inlineStr">
        <is>
          <t>PARTLY ANSWERED</t>
        </is>
      </c>
      <c r="E353" s="6" t="inlineStr">
        <is>
          <t>CLOSED - BY EVIDENCE</t>
        </is>
      </c>
      <c r="F353" s="6" t="inlineStr">
        <is>
          <t>closed on evidence</t>
        </is>
      </c>
      <c r="G353" s="6" t="inlineStr">
        <is>
          <t>batch 15a (lead)</t>
        </is>
      </c>
      <c r="H353" s="6" t="inlineStr">
        <is>
          <t>Claude</t>
        </is>
      </c>
    </row>
    <row r="354" ht="65.5" customHeight="1">
      <c r="A354" s="6" t="inlineStr">
        <is>
          <t>2026-10-20</t>
        </is>
      </c>
      <c r="B354" s="6" t="inlineStr">
        <is>
          <t>C-R01/C03</t>
        </is>
      </c>
      <c r="C354" s="6" t="inlineStr">
        <is>
          <t>Known / basis</t>
        </is>
      </c>
      <c r="D354" s="6" t="inlineStr">
        <is>
          <t>(previous text)</t>
        </is>
      </c>
      <c r="E354" s="6" t="inlineStr">
        <is>
          <t>Trigger placed after tool results and at finish; R6 itself has no supporting evidence. Batch 15 (2026-10-20): RV-0008 (CH-0041, APPLIED-PARTLY): the t</t>
        </is>
      </c>
      <c r="F354" s="6" t="inlineStr">
        <is>
          <t>partly applied; remainder drafted</t>
        </is>
      </c>
      <c r="G354" s="6" t="inlineStr">
        <is>
          <t>batch 15a (lead)</t>
        </is>
      </c>
      <c r="H354" s="6" t="inlineStr">
        <is>
          <t>Claude</t>
        </is>
      </c>
    </row>
    <row r="355" ht="65.5" customHeight="1">
      <c r="A355" s="6" t="inlineStr">
        <is>
          <t>2026-10-20</t>
        </is>
      </c>
      <c r="B355" s="6" t="inlineStr">
        <is>
          <t>C-R01/C06</t>
        </is>
      </c>
      <c r="C355" s="6" t="inlineStr">
        <is>
          <t>Known / basis</t>
        </is>
      </c>
      <c r="D355" s="6" t="inlineStr">
        <is>
          <t>(previous text)</t>
        </is>
      </c>
      <c r="E355" s="6" t="inlineStr">
        <is>
          <t>Counted events defined in v4-05; the conditional terms are not specified. Batch 15 (2026-10-20): carried by C-S08/EVENTS: the counted events are defin</t>
        </is>
      </c>
      <c r="F355" s="6" t="inlineStr">
        <is>
          <t>narrowed to C-S08/EVENTS</t>
        </is>
      </c>
      <c r="G355" s="6" t="inlineStr">
        <is>
          <t>batch 15a (lead)</t>
        </is>
      </c>
      <c r="H355" s="6" t="inlineStr">
        <is>
          <t>Claude</t>
        </is>
      </c>
    </row>
    <row r="356" ht="53" customHeight="1">
      <c r="A356" s="6" t="inlineStr">
        <is>
          <t>2026-10-20</t>
        </is>
      </c>
      <c r="B356" s="6" t="inlineStr">
        <is>
          <t>Q-U26</t>
        </is>
      </c>
      <c r="C356" s="6" t="inlineStr">
        <is>
          <t>New question</t>
        </is>
      </c>
      <c r="D356" s="6" t="inlineStr"/>
      <c r="E356" s="6" t="inlineStr">
        <is>
          <t xml:space="preserve">Do you authorize a desk simulation, with arithmetic only (no model calls, no external services), of </t>
        </is>
      </c>
      <c r="F356" s="6" t="inlineStr">
        <is>
          <t>raised by batch 15</t>
        </is>
      </c>
      <c r="G356" s="6" t="inlineStr">
        <is>
          <t>ledger</t>
        </is>
      </c>
      <c r="H356" s="6" t="inlineStr">
        <is>
          <t>Claude</t>
        </is>
      </c>
    </row>
    <row r="357" ht="53" customHeight="1">
      <c r="A357" s="6" t="inlineStr">
        <is>
          <t>2026-10-20</t>
        </is>
      </c>
      <c r="B357" s="6" t="inlineStr">
        <is>
          <t>Q-U27</t>
        </is>
      </c>
      <c r="C357" s="6" t="inlineStr">
        <is>
          <t>New question</t>
        </is>
      </c>
      <c r="D357" s="6" t="inlineStr"/>
      <c r="E357" s="6" t="inlineStr">
        <is>
          <t>Do you accept as a stated limitation that the steward summaries (findings SUM and FND) stay 'unverif</t>
        </is>
      </c>
      <c r="F357" s="6" t="inlineStr">
        <is>
          <t>raised by batch 15</t>
        </is>
      </c>
      <c r="G357" s="6" t="inlineStr">
        <is>
          <t>ledger</t>
        </is>
      </c>
      <c r="H357" s="6" t="inlineStr">
        <is>
          <t>Claude</t>
        </is>
      </c>
    </row>
    <row r="358" ht="40.5" customHeight="1">
      <c r="A358" s="6" t="inlineStr">
        <is>
          <t>2026-10-20</t>
        </is>
      </c>
      <c r="B358" s="6" t="inlineStr">
        <is>
          <t>C-R01/C01</t>
        </is>
      </c>
      <c r="C358" s="6" t="inlineStr">
        <is>
          <t>Moved to Archive</t>
        </is>
      </c>
      <c r="D358" s="6" t="inlineStr">
        <is>
          <t>Ledger</t>
        </is>
      </c>
      <c r="E358" s="6" t="inlineStr">
        <is>
          <t>Archive (CLOSED - BY EVIDENCE)</t>
        </is>
      </c>
      <c r="F358" s="6" t="inlineStr">
        <is>
          <t>Closed 2026-10-20: the arm-selection, multiplicity and failed-confirmation rules exist in the text and were independently re-read; the table's content is a decision carried by C-D08/ARMS and C-S14/MULT.</t>
        </is>
      </c>
      <c r="G358" s="6" t="inlineStr">
        <is>
          <t>batch 15a (lead)</t>
        </is>
      </c>
      <c r="H358" s="6" t="inlineStr">
        <is>
          <t>Claude</t>
        </is>
      </c>
    </row>
    <row r="359" ht="40.5" customHeight="1">
      <c r="A359" s="6" t="inlineStr">
        <is>
          <t>2026-10-20</t>
        </is>
      </c>
      <c r="B359" s="6" t="inlineStr">
        <is>
          <t>C-R01/C02</t>
        </is>
      </c>
      <c r="C359" s="6" t="inlineStr">
        <is>
          <t>Moved to Archive</t>
        </is>
      </c>
      <c r="D359" s="6" t="inlineStr">
        <is>
          <t>Ledger</t>
        </is>
      </c>
      <c r="E359" s="6" t="inlineStr">
        <is>
          <t>Archive (CLOSED - BY EVIDENCE)</t>
        </is>
      </c>
      <c r="F359" s="6" t="inlineStr">
        <is>
          <t>Closed 2026-10-20: the substitute-reference wording is replaced and independently re-read; the open points are carried by C-S13/POOLDIR and C-D08/STRATA.</t>
        </is>
      </c>
      <c r="G359" s="6" t="inlineStr">
        <is>
          <t>batch 15a (lead)</t>
        </is>
      </c>
      <c r="H359" s="6" t="inlineStr">
        <is>
          <t>Claude</t>
        </is>
      </c>
    </row>
    <row r="360" ht="28" customHeight="1">
      <c r="A360" s="6" t="inlineStr">
        <is>
          <t>2026-10-20</t>
        </is>
      </c>
      <c r="B360" s="6" t="inlineStr">
        <is>
          <t>C-R01/C05</t>
        </is>
      </c>
      <c r="C360" s="6" t="inlineStr">
        <is>
          <t>Moved to Archive</t>
        </is>
      </c>
      <c r="D360" s="6" t="inlineStr">
        <is>
          <t>Ledger</t>
        </is>
      </c>
      <c r="E360" s="6" t="inlineStr">
        <is>
          <t>Archive (CLOSED - BY EVIDENCE)</t>
        </is>
      </c>
      <c r="F360" s="6" t="inlineStr">
        <is>
          <t>Closed 2026-10-20: the unfair-baseline wording is corrected and independently re-read.</t>
        </is>
      </c>
      <c r="G360" s="6" t="inlineStr">
        <is>
          <t>batch 15a (lead)</t>
        </is>
      </c>
      <c r="H360" s="6" t="inlineStr">
        <is>
          <t>Claude</t>
        </is>
      </c>
    </row>
    <row r="361" ht="15.5" customHeight="1">
      <c r="A361" s="6" t="inlineStr">
        <is>
          <t>2026-10-20</t>
        </is>
      </c>
      <c r="B361" s="6" t="inlineStr">
        <is>
          <t>(all)</t>
        </is>
      </c>
      <c r="C361" s="6" t="inlineStr">
        <is>
          <t>Order</t>
        </is>
      </c>
      <c r="D361" s="6" t="inlineStr">
        <is>
          <t>recomputed</t>
        </is>
      </c>
      <c r="E361" s="6" t="inlineStr">
        <is>
          <t>1..252</t>
        </is>
      </c>
      <c r="F361" s="6" t="inlineStr">
        <is>
          <t>Derived rank recomputed after batch 15a</t>
        </is>
      </c>
      <c r="G361" s="6" t="inlineStr">
        <is>
          <t>batch 15a</t>
        </is>
      </c>
      <c r="H361" s="6" t="inlineStr">
        <is>
          <t>Claude</t>
        </is>
      </c>
    </row>
    <row r="362" ht="15.5" customHeight="1">
      <c r="A362" s="6" t="inlineStr">
        <is>
          <t>2026-10-20</t>
        </is>
      </c>
      <c r="B362" s="6" t="inlineStr">
        <is>
          <t>C-R03/C22</t>
        </is>
      </c>
      <c r="C362" s="6" t="inlineStr">
        <is>
          <t>Current status</t>
        </is>
      </c>
      <c r="D362" s="6" t="inlineStr">
        <is>
          <t>OPEN</t>
        </is>
      </c>
      <c r="E362" s="6" t="inlineStr">
        <is>
          <t>CLOSED - BY EVIDENCE</t>
        </is>
      </c>
      <c r="F362" s="6" t="inlineStr">
        <is>
          <t>closed on evidence</t>
        </is>
      </c>
      <c r="G362" s="6" t="inlineStr">
        <is>
          <t>batch 15b (T-20261020-110)</t>
        </is>
      </c>
      <c r="H362" s="6" t="inlineStr">
        <is>
          <t>Claude</t>
        </is>
      </c>
    </row>
    <row r="363" ht="40.5" customHeight="1">
      <c r="A363" s="6" t="inlineStr">
        <is>
          <t>2026-10-20</t>
        </is>
      </c>
      <c r="B363" s="6" t="inlineStr">
        <is>
          <t>C-R03/C22-RESID</t>
        </is>
      </c>
      <c r="C363" s="6" t="inlineStr">
        <is>
          <t>New row</t>
        </is>
      </c>
      <c r="D363" s="6" t="inlineStr"/>
      <c r="E363" s="6" t="inlineStr">
        <is>
          <t>Edits that the AUTH-004 concessions promised but the proposal records still lack</t>
        </is>
      </c>
      <c r="F363" s="6" t="inlineStr">
        <is>
          <t>Raised by RV-0017..0019</t>
        </is>
      </c>
      <c r="G363" s="6" t="inlineStr">
        <is>
          <t>batch 15b (T-20261020-110)</t>
        </is>
      </c>
      <c r="H363" s="6" t="inlineStr">
        <is>
          <t>Claude</t>
        </is>
      </c>
    </row>
    <row r="364" ht="65.5" customHeight="1">
      <c r="A364" s="6" t="inlineStr">
        <is>
          <t>2026-10-20</t>
        </is>
      </c>
      <c r="B364" s="6" t="inlineStr">
        <is>
          <t>C-R03/C23</t>
        </is>
      </c>
      <c r="C364" s="6" t="inlineStr">
        <is>
          <t>Known / basis</t>
        </is>
      </c>
      <c r="D364" s="6" t="inlineStr">
        <is>
          <t>(previous text)</t>
        </is>
      </c>
      <c r="E364" s="6" t="inlineStr">
        <is>
          <t>Draft status recorded. Batch 6: a fresh reviewer (RV-0010) found the three residues that kept RV-0002 a draft fixed in the current files (HYP-0002 lin</t>
        </is>
      </c>
      <c r="F364" s="6" t="inlineStr">
        <is>
          <t>FitText 4.2 read</t>
        </is>
      </c>
      <c r="G364" s="6" t="inlineStr">
        <is>
          <t>batch 15b (T-20261020-110)</t>
        </is>
      </c>
      <c r="H364" s="6" t="inlineStr">
        <is>
          <t>Claude</t>
        </is>
      </c>
    </row>
    <row r="365" ht="28" customHeight="1">
      <c r="A365" s="6" t="inlineStr">
        <is>
          <t>2026-10-20</t>
        </is>
      </c>
      <c r="B365" s="6" t="inlineStr">
        <is>
          <t>C-D06/NOVELTY</t>
        </is>
      </c>
      <c r="C365" s="6" t="inlineStr">
        <is>
          <t>Known</t>
        </is>
      </c>
      <c r="D365" s="6" t="inlineStr">
        <is>
          <t>(previous text)</t>
        </is>
      </c>
      <c r="E365" s="6" t="inlineStr">
        <is>
          <t>added FitText features F1, F2, F4</t>
        </is>
      </c>
      <c r="F365" s="6" t="inlineStr">
        <is>
          <t>EXT-0224..0226</t>
        </is>
      </c>
      <c r="G365" s="6" t="inlineStr">
        <is>
          <t>batch 15b (T-20261020-110)</t>
        </is>
      </c>
      <c r="H365" s="6" t="inlineStr">
        <is>
          <t>Claude</t>
        </is>
      </c>
    </row>
    <row r="366" ht="28" customHeight="1">
      <c r="A366" s="6" t="inlineStr">
        <is>
          <t>2026-10-20</t>
        </is>
      </c>
      <c r="B366" s="6" t="inlineStr">
        <is>
          <t>C-R03/C22</t>
        </is>
      </c>
      <c r="C366" s="6" t="inlineStr">
        <is>
          <t>Moved to Archive</t>
        </is>
      </c>
      <c r="D366" s="6" t="inlineStr">
        <is>
          <t>Ledger</t>
        </is>
      </c>
      <c r="E366" s="6" t="inlineStr">
        <is>
          <t>Archive (CLOSED - BY EVIDENCE)</t>
        </is>
      </c>
      <c r="F366" s="6" t="inlineStr">
        <is>
          <t>Closed 2026-10-20: the uniform concessions were re-checked against the sources; all warranted; residual edits tracked in C-R03/C22-RESID.</t>
        </is>
      </c>
      <c r="G366" s="6" t="inlineStr">
        <is>
          <t>batch 15b (T-20261020-110)</t>
        </is>
      </c>
      <c r="H366" s="6" t="inlineStr">
        <is>
          <t>Claude</t>
        </is>
      </c>
    </row>
    <row r="367" ht="15.5" customHeight="1">
      <c r="A367" s="6" t="inlineStr">
        <is>
          <t>2026-10-20</t>
        </is>
      </c>
      <c r="B367" s="6" t="inlineStr">
        <is>
          <t>(all)</t>
        </is>
      </c>
      <c r="C367" s="6" t="inlineStr">
        <is>
          <t>Order</t>
        </is>
      </c>
      <c r="D367" s="6" t="inlineStr">
        <is>
          <t>recomputed</t>
        </is>
      </c>
      <c r="E367" s="6" t="inlineStr">
        <is>
          <t>1..253</t>
        </is>
      </c>
      <c r="F367" s="6" t="inlineStr">
        <is>
          <t>Derived rank recomputed after batch 15b</t>
        </is>
      </c>
      <c r="G367" s="6" t="inlineStr">
        <is>
          <t>batch 15b</t>
        </is>
      </c>
      <c r="H367" s="6" t="inlineStr">
        <is>
          <t>Claude</t>
        </is>
      </c>
    </row>
    <row r="368" ht="28" customHeight="1">
      <c r="A368" s="6" t="inlineStr">
        <is>
          <t>2026-10-21</t>
        </is>
      </c>
      <c r="B368" s="6" t="inlineStr">
        <is>
          <t>N-2</t>
        </is>
      </c>
      <c r="C368" s="6" t="inlineStr">
        <is>
          <t>Current status</t>
        </is>
      </c>
      <c r="D368" s="6" t="inlineStr">
        <is>
          <t>OPEN</t>
        </is>
      </c>
      <c r="E368" s="6" t="inlineStr">
        <is>
          <t>CLOSED - BY DECISION</t>
        </is>
      </c>
      <c r="F368" s="6" t="inlineStr">
        <is>
          <t>closed on the decision-maker's recorded words</t>
        </is>
      </c>
      <c r="G368" s="6" t="inlineStr">
        <is>
          <t>batch 16 (AUTH-018, T-20261021-111)</t>
        </is>
      </c>
      <c r="H368" s="6" t="inlineStr">
        <is>
          <t>Claude</t>
        </is>
      </c>
    </row>
    <row r="369" ht="28" customHeight="1">
      <c r="A369" s="6" t="inlineStr">
        <is>
          <t>2026-10-21</t>
        </is>
      </c>
      <c r="B369" s="6" t="inlineStr">
        <is>
          <t>N-3</t>
        </is>
      </c>
      <c r="C369" s="6" t="inlineStr">
        <is>
          <t>Current status</t>
        </is>
      </c>
      <c r="D369" s="6" t="inlineStr">
        <is>
          <t>OPEN</t>
        </is>
      </c>
      <c r="E369" s="6" t="inlineStr">
        <is>
          <t>CLOSED - BY DECISION</t>
        </is>
      </c>
      <c r="F369" s="6" t="inlineStr">
        <is>
          <t>closed on the decision-maker's recorded words</t>
        </is>
      </c>
      <c r="G369" s="6" t="inlineStr">
        <is>
          <t>batch 16 (AUTH-018, T-20261021-111)</t>
        </is>
      </c>
      <c r="H369" s="6" t="inlineStr">
        <is>
          <t>Claude</t>
        </is>
      </c>
    </row>
    <row r="370" ht="28" customHeight="1">
      <c r="A370" s="6" t="inlineStr">
        <is>
          <t>2026-10-21</t>
        </is>
      </c>
      <c r="B370" s="6" t="inlineStr">
        <is>
          <t>C-D04</t>
        </is>
      </c>
      <c r="C370" s="6" t="inlineStr">
        <is>
          <t>Current status</t>
        </is>
      </c>
      <c r="D370" s="6" t="inlineStr">
        <is>
          <t>PARTLY ANSWERED</t>
        </is>
      </c>
      <c r="E370" s="6" t="inlineStr">
        <is>
          <t>CLOSED - BY DECISION</t>
        </is>
      </c>
      <c r="F370" s="6" t="inlineStr">
        <is>
          <t>closed on the decision-maker's recorded words</t>
        </is>
      </c>
      <c r="G370" s="6" t="inlineStr">
        <is>
          <t>batch 16 (AUTH-018, T-20261021-111)</t>
        </is>
      </c>
      <c r="H370" s="6" t="inlineStr">
        <is>
          <t>Claude</t>
        </is>
      </c>
    </row>
    <row r="371" ht="28" customHeight="1">
      <c r="A371" s="6" t="inlineStr">
        <is>
          <t>2026-10-21</t>
        </is>
      </c>
      <c r="B371" s="6" t="inlineStr">
        <is>
          <t>C-D03/STAGES</t>
        </is>
      </c>
      <c r="C371" s="6" t="inlineStr">
        <is>
          <t>Current status</t>
        </is>
      </c>
      <c r="D371" s="6" t="inlineStr">
        <is>
          <t>OPEN</t>
        </is>
      </c>
      <c r="E371" s="6" t="inlineStr">
        <is>
          <t>CLOSED - BY DECISION</t>
        </is>
      </c>
      <c r="F371" s="6" t="inlineStr">
        <is>
          <t>closed on the decision-maker's recorded words</t>
        </is>
      </c>
      <c r="G371" s="6" t="inlineStr">
        <is>
          <t>batch 16 (AUTH-018, T-20261021-111)</t>
        </is>
      </c>
      <c r="H371" s="6" t="inlineStr">
        <is>
          <t>Claude</t>
        </is>
      </c>
    </row>
    <row r="372" ht="28" customHeight="1">
      <c r="A372" s="6" t="inlineStr">
        <is>
          <t>2026-10-21</t>
        </is>
      </c>
      <c r="B372" s="6" t="inlineStr">
        <is>
          <t>C-D06</t>
        </is>
      </c>
      <c r="C372" s="6" t="inlineStr">
        <is>
          <t>Current status</t>
        </is>
      </c>
      <c r="D372" s="6" t="inlineStr">
        <is>
          <t>PARTLY ANSWERED</t>
        </is>
      </c>
      <c r="E372" s="6" t="inlineStr">
        <is>
          <t>CLOSED - BY DECISION</t>
        </is>
      </c>
      <c r="F372" s="6" t="inlineStr">
        <is>
          <t>closed on the decision-maker's recorded words</t>
        </is>
      </c>
      <c r="G372" s="6" t="inlineStr">
        <is>
          <t>batch 16 (AUTH-018, T-20261021-111)</t>
        </is>
      </c>
      <c r="H372" s="6" t="inlineStr">
        <is>
          <t>Claude</t>
        </is>
      </c>
    </row>
    <row r="373" ht="28" customHeight="1">
      <c r="A373" s="6" t="inlineStr">
        <is>
          <t>2026-10-21</t>
        </is>
      </c>
      <c r="B373" s="6" t="inlineStr">
        <is>
          <t>C-D01/REFERENT</t>
        </is>
      </c>
      <c r="C373" s="6" t="inlineStr">
        <is>
          <t>Current status</t>
        </is>
      </c>
      <c r="D373" s="6" t="inlineStr">
        <is>
          <t>OPEN</t>
        </is>
      </c>
      <c r="E373" s="6" t="inlineStr">
        <is>
          <t>CLOSED - BY DECISION</t>
        </is>
      </c>
      <c r="F373" s="6" t="inlineStr">
        <is>
          <t>closed on the decision-maker's recorded words</t>
        </is>
      </c>
      <c r="G373" s="6" t="inlineStr">
        <is>
          <t>batch 16 (AUTH-018, T-20261021-111)</t>
        </is>
      </c>
      <c r="H373" s="6" t="inlineStr">
        <is>
          <t>Claude</t>
        </is>
      </c>
    </row>
    <row r="374" ht="28" customHeight="1">
      <c r="A374" s="6" t="inlineStr">
        <is>
          <t>2026-10-21</t>
        </is>
      </c>
      <c r="B374" s="6" t="inlineStr">
        <is>
          <t>N-20</t>
        </is>
      </c>
      <c r="C374" s="6" t="inlineStr">
        <is>
          <t>Current status</t>
        </is>
      </c>
      <c r="D374" s="6" t="inlineStr">
        <is>
          <t>OPEN</t>
        </is>
      </c>
      <c r="E374" s="6" t="inlineStr">
        <is>
          <t>CLOSED - BY EVIDENCE</t>
        </is>
      </c>
      <c r="F374" s="6" t="inlineStr">
        <is>
          <t>closed on the decision-maker's recorded words</t>
        </is>
      </c>
      <c r="G374" s="6" t="inlineStr">
        <is>
          <t>batch 16 (AUTH-018, T-20261021-111)</t>
        </is>
      </c>
      <c r="H374" s="6" t="inlineStr">
        <is>
          <t>Claude</t>
        </is>
      </c>
    </row>
    <row r="375" ht="28" customHeight="1">
      <c r="A375" s="6" t="inlineStr">
        <is>
          <t>2026-10-21</t>
        </is>
      </c>
      <c r="B375" s="6" t="inlineStr">
        <is>
          <t>C-D11</t>
        </is>
      </c>
      <c r="C375" s="6" t="inlineStr">
        <is>
          <t>Current status</t>
        </is>
      </c>
      <c r="D375" s="6" t="inlineStr">
        <is>
          <t>OPEN</t>
        </is>
      </c>
      <c r="E375" s="6" t="inlineStr">
        <is>
          <t>CLOSED - BY DECISION</t>
        </is>
      </c>
      <c r="F375" s="6" t="inlineStr">
        <is>
          <t>closed on the decision-maker's recorded words</t>
        </is>
      </c>
      <c r="G375" s="6" t="inlineStr">
        <is>
          <t>batch 16 (AUTH-018, T-20261021-111)</t>
        </is>
      </c>
      <c r="H375" s="6" t="inlineStr">
        <is>
          <t>Claude</t>
        </is>
      </c>
    </row>
    <row r="376" ht="28" customHeight="1">
      <c r="A376" s="6" t="inlineStr">
        <is>
          <t>2026-10-21</t>
        </is>
      </c>
      <c r="B376" s="6" t="inlineStr">
        <is>
          <t>N-10</t>
        </is>
      </c>
      <c r="C376" s="6" t="inlineStr">
        <is>
          <t>Current status</t>
        </is>
      </c>
      <c r="D376" s="6" t="inlineStr">
        <is>
          <t>OPEN</t>
        </is>
      </c>
      <c r="E376" s="6" t="inlineStr">
        <is>
          <t>SUPERSEDED / MERGED</t>
        </is>
      </c>
      <c r="F376" s="6" t="inlineStr">
        <is>
          <t>closed on the decision-maker's recorded words</t>
        </is>
      </c>
      <c r="G376" s="6" t="inlineStr">
        <is>
          <t>batch 16 (AUTH-018, T-20261021-111)</t>
        </is>
      </c>
      <c r="H376" s="6" t="inlineStr">
        <is>
          <t>Claude</t>
        </is>
      </c>
    </row>
    <row r="377" ht="65.5" customHeight="1">
      <c r="A377" s="6" t="inlineStr">
        <is>
          <t>2026-10-21</t>
        </is>
      </c>
      <c r="B377" s="6" t="inlineStr">
        <is>
          <t>C-D02</t>
        </is>
      </c>
      <c r="C377" s="6" t="inlineStr">
        <is>
          <t>Known / basis</t>
        </is>
      </c>
      <c r="D377" s="6" t="inlineStr">
        <is>
          <t>(previous text)</t>
        </is>
      </c>
      <c r="E377" s="6" t="inlineStr">
        <is>
          <t>Decision now concrete (v4-04 sections 6-8); STATE records it as pending; the 2 Oct record already allowed 'tokens or money' (EXT-0002 line 26). 2026-1</t>
        </is>
      </c>
      <c r="F377" s="6" t="inlineStr">
        <is>
          <t>unit answered; primary estimand not named</t>
        </is>
      </c>
      <c r="G377" s="6" t="inlineStr">
        <is>
          <t>batch 16 (AUTH-018, T-20261021-111)</t>
        </is>
      </c>
      <c r="H377" s="6" t="inlineStr">
        <is>
          <t>Claude</t>
        </is>
      </c>
    </row>
    <row r="378" ht="28" customHeight="1">
      <c r="A378" s="6" t="inlineStr">
        <is>
          <t>2026-10-21</t>
        </is>
      </c>
      <c r="B378" s="6" t="inlineStr">
        <is>
          <t>N-1</t>
        </is>
      </c>
      <c r="C378" s="6" t="inlineStr">
        <is>
          <t>Current status</t>
        </is>
      </c>
      <c r="D378" s="6" t="inlineStr">
        <is>
          <t>OPEN</t>
        </is>
      </c>
      <c r="E378" s="6" t="inlineStr">
        <is>
          <t>PARTLY ANSWERED</t>
        </is>
      </c>
      <c r="F378" s="6" t="inlineStr">
        <is>
          <t>narrowed</t>
        </is>
      </c>
      <c r="G378" s="6" t="inlineStr">
        <is>
          <t>batch 16 (AUTH-018, T-20261021-111)</t>
        </is>
      </c>
      <c r="H378" s="6" t="inlineStr">
        <is>
          <t>Claude</t>
        </is>
      </c>
    </row>
    <row r="379" ht="28" customHeight="1">
      <c r="A379" s="6" t="inlineStr">
        <is>
          <t>2026-10-21</t>
        </is>
      </c>
      <c r="B379" s="6" t="inlineStr">
        <is>
          <t>N-4</t>
        </is>
      </c>
      <c r="C379" s="6" t="inlineStr">
        <is>
          <t>Current status</t>
        </is>
      </c>
      <c r="D379" s="6" t="inlineStr">
        <is>
          <t>OPEN</t>
        </is>
      </c>
      <c r="E379" s="6" t="inlineStr">
        <is>
          <t>PARTLY ANSWERED</t>
        </is>
      </c>
      <c r="F379" s="6" t="inlineStr">
        <is>
          <t>narrowed</t>
        </is>
      </c>
      <c r="G379" s="6" t="inlineStr">
        <is>
          <t>batch 16 (AUTH-018, T-20261021-111)</t>
        </is>
      </c>
      <c r="H379" s="6" t="inlineStr">
        <is>
          <t>Claude</t>
        </is>
      </c>
    </row>
    <row r="380" ht="65.5" customHeight="1">
      <c r="A380" s="6" t="inlineStr">
        <is>
          <t>2026-10-21</t>
        </is>
      </c>
      <c r="B380" s="6" t="inlineStr">
        <is>
          <t>C-D03</t>
        </is>
      </c>
      <c r="C380" s="6" t="inlineStr">
        <is>
          <t>Known / basis</t>
        </is>
      </c>
      <c r="D380" s="6" t="inlineStr">
        <is>
          <t>(previous text)</t>
        </is>
      </c>
      <c r="E380" s="6" t="inlineStr">
        <is>
          <t>v4 keeps stage count as a study output; Joaa's 19 Oct points do not address it (per your account). 2026-10-21 (AUTH-018): on 14 October the form is pr</t>
        </is>
      </c>
      <c r="F380" s="6" t="inlineStr">
        <is>
          <t>form prescribed on 14 Oct; relation to the 21 Oct scope open</t>
        </is>
      </c>
      <c r="G380" s="6" t="inlineStr">
        <is>
          <t>batch 16 (AUTH-018, T-20261021-111)</t>
        </is>
      </c>
      <c r="H380" s="6" t="inlineStr">
        <is>
          <t>Claude</t>
        </is>
      </c>
    </row>
    <row r="381" ht="28" customHeight="1">
      <c r="A381" s="6" t="inlineStr">
        <is>
          <t>2026-10-21</t>
        </is>
      </c>
      <c r="B381" s="6" t="inlineStr">
        <is>
          <t>C-D03/CONTEXT</t>
        </is>
      </c>
      <c r="C381" s="6" t="inlineStr">
        <is>
          <t>Current status</t>
        </is>
      </c>
      <c r="D381" s="6" t="inlineStr">
        <is>
          <t>OPEN</t>
        </is>
      </c>
      <c r="E381" s="6" t="inlineStr">
        <is>
          <t>PARTLY ANSWERED</t>
        </is>
      </c>
      <c r="F381" s="6" t="inlineStr">
        <is>
          <t>two senses recorded</t>
        </is>
      </c>
      <c r="G381" s="6" t="inlineStr">
        <is>
          <t>batch 16 (AUTH-018, T-20261021-111)</t>
        </is>
      </c>
      <c r="H381" s="6" t="inlineStr">
        <is>
          <t>Claude</t>
        </is>
      </c>
    </row>
    <row r="382" ht="28" customHeight="1">
      <c r="A382" s="6" t="inlineStr">
        <is>
          <t>2026-10-21</t>
        </is>
      </c>
      <c r="B382" s="6" t="inlineStr">
        <is>
          <t>C-D03/ANSWERER</t>
        </is>
      </c>
      <c r="C382" s="6" t="inlineStr">
        <is>
          <t>Current status</t>
        </is>
      </c>
      <c r="D382" s="6" t="inlineStr">
        <is>
          <t>OPEN</t>
        </is>
      </c>
      <c r="E382" s="6" t="inlineStr">
        <is>
          <t>PARTLY ANSWERED</t>
        </is>
      </c>
      <c r="F382" s="6" t="inlineStr">
        <is>
          <t>narrowed</t>
        </is>
      </c>
      <c r="G382" s="6" t="inlineStr">
        <is>
          <t>batch 16 (AUTH-018, T-20261021-111)</t>
        </is>
      </c>
      <c r="H382" s="6" t="inlineStr">
        <is>
          <t>Claude</t>
        </is>
      </c>
    </row>
    <row r="383" ht="28" customHeight="1">
      <c r="A383" s="6" t="inlineStr">
        <is>
          <t>2026-10-21</t>
        </is>
      </c>
      <c r="B383" s="6" t="inlineStr">
        <is>
          <t>C-D07/GRADED</t>
        </is>
      </c>
      <c r="C383" s="6" t="inlineStr">
        <is>
          <t>Current status</t>
        </is>
      </c>
      <c r="D383" s="6" t="inlineStr">
        <is>
          <t>OPEN</t>
        </is>
      </c>
      <c r="E383" s="6" t="inlineStr">
        <is>
          <t>PARTLY ANSWERED</t>
        </is>
      </c>
      <c r="F383" s="6" t="inlineStr">
        <is>
          <t>a lens, not a requirement</t>
        </is>
      </c>
      <c r="G383" s="6" t="inlineStr">
        <is>
          <t>batch 16 (AUTH-018, T-20261021-111)</t>
        </is>
      </c>
      <c r="H383" s="6" t="inlineStr">
        <is>
          <t>Claude</t>
        </is>
      </c>
    </row>
    <row r="384" ht="65.5" customHeight="1">
      <c r="A384" s="6" t="inlineStr">
        <is>
          <t>2026-10-21</t>
        </is>
      </c>
      <c r="B384" s="6" t="inlineStr">
        <is>
          <t>C-D07</t>
        </is>
      </c>
      <c r="C384" s="6" t="inlineStr">
        <is>
          <t>Known / basis</t>
        </is>
      </c>
      <c r="D384" s="6" t="inlineStr">
        <is>
          <t>(previous text)</t>
        </is>
      </c>
      <c r="E384" s="6" t="inlineStr">
        <is>
          <t>v4 omits F8 (session working set); memory scopes M-a/M-b/M-c laid out; June expose not in repo so the clause map cannot be built here. 2026-10-21 (AUT</t>
        </is>
      </c>
      <c r="F384" s="6" t="inlineStr">
        <is>
          <t>scope narrowed; June clauses not addressed</t>
        </is>
      </c>
      <c r="G384" s="6" t="inlineStr">
        <is>
          <t>batch 16 (AUTH-018, T-20261021-111)</t>
        </is>
      </c>
      <c r="H384" s="6" t="inlineStr">
        <is>
          <t>Claude</t>
        </is>
      </c>
    </row>
    <row r="385" ht="28" customHeight="1">
      <c r="A385" s="6" t="inlineStr">
        <is>
          <t>2026-10-21</t>
        </is>
      </c>
      <c r="B385" s="6" t="inlineStr">
        <is>
          <t>N-22</t>
        </is>
      </c>
      <c r="C385" s="6" t="inlineStr">
        <is>
          <t>Current status</t>
        </is>
      </c>
      <c r="D385" s="6" t="inlineStr">
        <is>
          <t>OPEN</t>
        </is>
      </c>
      <c r="E385" s="6" t="inlineStr">
        <is>
          <t>PARTLY ANSWERED</t>
        </is>
      </c>
      <c r="F385" s="6" t="inlineStr">
        <is>
          <t>narrowed to tools and memory</t>
        </is>
      </c>
      <c r="G385" s="6" t="inlineStr">
        <is>
          <t>batch 16 (AUTH-018, T-20261021-111)</t>
        </is>
      </c>
      <c r="H385" s="6" t="inlineStr">
        <is>
          <t>Claude</t>
        </is>
      </c>
    </row>
    <row r="386" ht="28" customHeight="1">
      <c r="A386" s="6" t="inlineStr">
        <is>
          <t>2026-10-21</t>
        </is>
      </c>
      <c r="B386" s="6" t="inlineStr">
        <is>
          <t>N-26</t>
        </is>
      </c>
      <c r="C386" s="6" t="inlineStr">
        <is>
          <t>Current status</t>
        </is>
      </c>
      <c r="D386" s="6" t="inlineStr">
        <is>
          <t>OPEN</t>
        </is>
      </c>
      <c r="E386" s="6" t="inlineStr">
        <is>
          <t>PARTLY ANSWERED</t>
        </is>
      </c>
      <c r="F386" s="6" t="inlineStr">
        <is>
          <t>assertion recorded</t>
        </is>
      </c>
      <c r="G386" s="6" t="inlineStr">
        <is>
          <t>batch 16 (AUTH-018, T-20261021-111)</t>
        </is>
      </c>
      <c r="H386" s="6" t="inlineStr">
        <is>
          <t>Claude</t>
        </is>
      </c>
    </row>
    <row r="387" ht="28" customHeight="1">
      <c r="A387" s="6" t="inlineStr">
        <is>
          <t>2026-10-21</t>
        </is>
      </c>
      <c r="B387" s="6" t="inlineStr">
        <is>
          <t>N-27</t>
        </is>
      </c>
      <c r="C387" s="6" t="inlineStr">
        <is>
          <t>Current status</t>
        </is>
      </c>
      <c r="D387" s="6" t="inlineStr">
        <is>
          <t>OPEN</t>
        </is>
      </c>
      <c r="E387" s="6" t="inlineStr">
        <is>
          <t>PARTLY ANSWERED</t>
        </is>
      </c>
      <c r="F387" s="6" t="inlineStr">
        <is>
          <t>in scope in his words; arm not defined</t>
        </is>
      </c>
      <c r="G387" s="6" t="inlineStr">
        <is>
          <t>batch 16 (AUTH-018, T-20261021-111)</t>
        </is>
      </c>
      <c r="H387" s="6" t="inlineStr">
        <is>
          <t>Claude</t>
        </is>
      </c>
    </row>
    <row r="388" ht="28" customHeight="1">
      <c r="A388" s="6" t="inlineStr">
        <is>
          <t>2026-10-21</t>
        </is>
      </c>
      <c r="B388" s="6" t="inlineStr">
        <is>
          <t>N-25</t>
        </is>
      </c>
      <c r="C388" s="6" t="inlineStr">
        <is>
          <t>Current status</t>
        </is>
      </c>
      <c r="D388" s="6" t="inlineStr">
        <is>
          <t>OPEN</t>
        </is>
      </c>
      <c r="E388" s="6" t="inlineStr">
        <is>
          <t>PARTLY ANSWERED</t>
        </is>
      </c>
      <c r="F388" s="6" t="inlineStr">
        <is>
          <t>generalised; none chosen</t>
        </is>
      </c>
      <c r="G388" s="6" t="inlineStr">
        <is>
          <t>batch 16 (AUTH-018, T-20261021-111)</t>
        </is>
      </c>
      <c r="H388" s="6" t="inlineStr">
        <is>
          <t>Claude</t>
        </is>
      </c>
    </row>
    <row r="389" ht="65.5" customHeight="1">
      <c r="A389" s="6" t="inlineStr">
        <is>
          <t>2026-10-21</t>
        </is>
      </c>
      <c r="B389" s="6" t="inlineStr">
        <is>
          <t>C-D05</t>
        </is>
      </c>
      <c r="C389" s="6" t="inlineStr">
        <is>
          <t>Known / basis</t>
        </is>
      </c>
      <c r="D389" s="6" t="inlineStr">
        <is>
          <t>(previous text)</t>
        </is>
      </c>
      <c r="E389" s="6" t="inlineStr">
        <is>
          <t>Oct 14 excerpt E9: 'I don't want you to implement anything'; Q5/Q6 open. 2026-10-21 (AUTH-018): REGISTER Q5: the 21 October deliverable was the policy</t>
        </is>
      </c>
      <c r="F389" s="6" t="inlineStr">
        <is>
          <t>Q5 answered, Q6 partly</t>
        </is>
      </c>
      <c r="G389" s="6" t="inlineStr">
        <is>
          <t>batch 16 (AUTH-018, T-20261021-111)</t>
        </is>
      </c>
      <c r="H389" s="6" t="inlineStr">
        <is>
          <t>Claude</t>
        </is>
      </c>
    </row>
    <row r="390" ht="28" customHeight="1">
      <c r="A390" s="6" t="inlineStr">
        <is>
          <t>2026-10-21</t>
        </is>
      </c>
      <c r="B390" s="6" t="inlineStr">
        <is>
          <t>C-D08/GATEWAY</t>
        </is>
      </c>
      <c r="C390" s="6" t="inlineStr">
        <is>
          <t>Current status</t>
        </is>
      </c>
      <c r="D390" s="6" t="inlineStr">
        <is>
          <t>OPEN</t>
        </is>
      </c>
      <c r="E390" s="6" t="inlineStr">
        <is>
          <t>PARTLY ANSWERED</t>
        </is>
      </c>
      <c r="F390" s="6" t="inlineStr">
        <is>
          <t>baseline required in his words</t>
        </is>
      </c>
      <c r="G390" s="6" t="inlineStr">
        <is>
          <t>batch 16 (AUTH-018, T-20261021-111)</t>
        </is>
      </c>
      <c r="H390" s="6" t="inlineStr">
        <is>
          <t>Claude</t>
        </is>
      </c>
    </row>
    <row r="391" ht="65.5" customHeight="1">
      <c r="A391" s="6" t="inlineStr">
        <is>
          <t>2026-10-21</t>
        </is>
      </c>
      <c r="B391" s="6" t="inlineStr">
        <is>
          <t>C-D08/EXEC</t>
        </is>
      </c>
      <c r="C391" s="6" t="inlineStr">
        <is>
          <t>Known / basis</t>
        </is>
      </c>
      <c r="D391" s="6" t="inlineStr">
        <is>
          <t>(previous text)</t>
        </is>
      </c>
      <c r="E391" s="6" t="inlineStr">
        <is>
          <t>What Executor exposes to an agent is documented in the stored texts (see AS-07): integration names in the execute description; four tools in Search an</t>
        </is>
      </c>
      <c r="F391" s="6" t="inlineStr">
        <is>
          <t>identity and baseline role stated</t>
        </is>
      </c>
      <c r="G391" s="6" t="inlineStr">
        <is>
          <t>batch 16 (AUTH-018, T-20261021-111)</t>
        </is>
      </c>
      <c r="H391" s="6" t="inlineStr">
        <is>
          <t>Claude</t>
        </is>
      </c>
    </row>
    <row r="392" ht="65.5" customHeight="1">
      <c r="A392" s="6" t="inlineStr">
        <is>
          <t>2026-10-21</t>
        </is>
      </c>
      <c r="B392" s="6" t="inlineStr">
        <is>
          <t>AS-07</t>
        </is>
      </c>
      <c r="C392" s="6" t="inlineStr">
        <is>
          <t>Known / basis</t>
        </is>
      </c>
      <c r="D392" s="6" t="inlineStr">
        <is>
          <t>(previous text)</t>
        </is>
      </c>
      <c r="E392" s="6" t="inlineStr">
        <is>
          <t>Stored Executor texts: the `execute` tool description lists connected integration slugs only ('names only', 'no per-connection prefixes and no descrip</t>
        </is>
      </c>
      <c r="F392" s="6" t="inlineStr">
        <is>
          <t>his words recorded</t>
        </is>
      </c>
      <c r="G392" s="6" t="inlineStr">
        <is>
          <t>batch 16 (AUTH-018, T-20261021-111)</t>
        </is>
      </c>
      <c r="H392" s="6" t="inlineStr">
        <is>
          <t>Claude</t>
        </is>
      </c>
    </row>
    <row r="393" ht="65.5" customHeight="1">
      <c r="A393" s="6" t="inlineStr">
        <is>
          <t>2026-10-21</t>
        </is>
      </c>
      <c r="B393" s="6" t="inlineStr">
        <is>
          <t>C-S17</t>
        </is>
      </c>
      <c r="C393" s="6" t="inlineStr">
        <is>
          <t>Known / basis</t>
        </is>
      </c>
      <c r="D393" s="6" t="inlineStr">
        <is>
          <t>(previous text)</t>
        </is>
      </c>
      <c r="E393" s="6" t="inlineStr">
        <is>
          <t>C_tok includes O_dev/N_dep; N_dep unset. 2026-10-21 (AUTH-018): filtering cost counts against the saving: 'you cannot use many tokens because you're s</t>
        </is>
      </c>
      <c r="F393" s="6" t="inlineStr">
        <is>
          <t>narrowed</t>
        </is>
      </c>
      <c r="G393" s="6" t="inlineStr">
        <is>
          <t>batch 16 (AUTH-018, T-20261021-111)</t>
        </is>
      </c>
      <c r="H393" s="6" t="inlineStr">
        <is>
          <t>Claude</t>
        </is>
      </c>
    </row>
    <row r="394" ht="65.5" customHeight="1">
      <c r="A394" s="6" t="inlineStr">
        <is>
          <t>2026-10-21</t>
        </is>
      </c>
      <c r="B394" s="6" t="inlineStr">
        <is>
          <t>C-D06/NOVELTY</t>
        </is>
      </c>
      <c r="C394" s="6" t="inlineStr">
        <is>
          <t>Known / basis</t>
        </is>
      </c>
      <c r="D394" s="6" t="inlineStr">
        <is>
          <t>(previous text)</t>
        </is>
      </c>
      <c r="E394" s="6" t="inlineStr">
        <is>
          <t>Open. Batch 4, prior-art facts (mechanism only, no novelty assessment): LangChain progressive tool disclosure article: the model always sees a core se</t>
        </is>
      </c>
      <c r="F394" s="6" t="inlineStr">
        <is>
          <t>his view of novelty recorded</t>
        </is>
      </c>
      <c r="G394" s="6" t="inlineStr">
        <is>
          <t>batch 16 (AUTH-018, T-20261021-111)</t>
        </is>
      </c>
      <c r="H394" s="6" t="inlineStr">
        <is>
          <t>Claude</t>
        </is>
      </c>
    </row>
    <row r="395" ht="65.5" customHeight="1">
      <c r="A395" s="6" t="inlineStr">
        <is>
          <t>2026-10-21</t>
        </is>
      </c>
      <c r="B395" s="6" t="inlineStr">
        <is>
          <t>AS-09</t>
        </is>
      </c>
      <c r="C395" s="6" t="inlineStr">
        <is>
          <t>Known / basis</t>
        </is>
      </c>
      <c r="D395" s="6" t="inlineStr">
        <is>
          <t>(previous text)</t>
        </is>
      </c>
      <c r="E395" s="6" t="inlineStr">
        <is>
          <t>Recorded as the supervisor's position, to test, not to assume. Batch 12 (2026-10-20): twenty candidates of five kinds were found in the stored sources</t>
        </is>
      </c>
      <c r="F395" s="6" t="inlineStr">
        <is>
          <t>narrowed to Executor as the likely source</t>
        </is>
      </c>
      <c r="G395" s="6" t="inlineStr">
        <is>
          <t>batch 16 (AUTH-018, T-20261021-111)</t>
        </is>
      </c>
      <c r="H395" s="6" t="inlineStr">
        <is>
          <t>Claude</t>
        </is>
      </c>
    </row>
    <row r="396" ht="28" customHeight="1">
      <c r="A396" s="6" t="inlineStr">
        <is>
          <t>2026-10-21</t>
        </is>
      </c>
      <c r="B396" s="6" t="inlineStr">
        <is>
          <t>C-D08/DELTA</t>
        </is>
      </c>
      <c r="C396" s="6" t="inlineStr">
        <is>
          <t>Current status</t>
        </is>
      </c>
      <c r="D396" s="6" t="inlineStr">
        <is>
          <t>OPEN</t>
        </is>
      </c>
      <c r="E396" s="6" t="inlineStr">
        <is>
          <t>PARTLY ANSWERED</t>
        </is>
      </c>
      <c r="F396" s="6" t="inlineStr">
        <is>
          <t>baseline-matching language recorded</t>
        </is>
      </c>
      <c r="G396" s="6" t="inlineStr">
        <is>
          <t>batch 16 (AUTH-018, T-20261021-111)</t>
        </is>
      </c>
      <c r="H396" s="6" t="inlineStr">
        <is>
          <t>Claude</t>
        </is>
      </c>
    </row>
    <row r="397" ht="28" customHeight="1">
      <c r="A397" s="6" t="inlineStr">
        <is>
          <t>2026-10-21</t>
        </is>
      </c>
      <c r="B397" s="6" t="inlineStr">
        <is>
          <t>C-D08/EC1</t>
        </is>
      </c>
      <c r="C397" s="6" t="inlineStr">
        <is>
          <t>Current status</t>
        </is>
      </c>
      <c r="D397" s="6" t="inlineStr">
        <is>
          <t>OPEN</t>
        </is>
      </c>
      <c r="E397" s="6" t="inlineStr">
        <is>
          <t>PARTLY ANSWERED</t>
        </is>
      </c>
      <c r="F397" s="6" t="inlineStr">
        <is>
          <t>requirements recorded</t>
        </is>
      </c>
      <c r="G397" s="6" t="inlineStr">
        <is>
          <t>batch 16 (AUTH-018, T-20261021-111)</t>
        </is>
      </c>
      <c r="H397" s="6" t="inlineStr">
        <is>
          <t>Claude</t>
        </is>
      </c>
    </row>
    <row r="398" ht="28" customHeight="1">
      <c r="A398" s="6" t="inlineStr">
        <is>
          <t>2026-10-21</t>
        </is>
      </c>
      <c r="B398" s="6" t="inlineStr">
        <is>
          <t>C-D08/EC6</t>
        </is>
      </c>
      <c r="C398" s="6" t="inlineStr">
        <is>
          <t>Current status</t>
        </is>
      </c>
      <c r="D398" s="6" t="inlineStr">
        <is>
          <t>OPEN</t>
        </is>
      </c>
      <c r="E398" s="6" t="inlineStr">
        <is>
          <t>PARTLY ANSWERED</t>
        </is>
      </c>
      <c r="F398" s="6" t="inlineStr">
        <is>
          <t>requirements recorded</t>
        </is>
      </c>
      <c r="G398" s="6" t="inlineStr">
        <is>
          <t>batch 16 (AUTH-018, T-20261021-111)</t>
        </is>
      </c>
      <c r="H398" s="6" t="inlineStr">
        <is>
          <t>Claude</t>
        </is>
      </c>
    </row>
    <row r="399" ht="28" customHeight="1">
      <c r="A399" s="6" t="inlineStr">
        <is>
          <t>2026-10-21</t>
        </is>
      </c>
      <c r="B399" s="6" t="inlineStr">
        <is>
          <t>C-D08/EC5</t>
        </is>
      </c>
      <c r="C399" s="6" t="inlineStr">
        <is>
          <t>Current status</t>
        </is>
      </c>
      <c r="D399" s="6" t="inlineStr">
        <is>
          <t>OPEN</t>
        </is>
      </c>
      <c r="E399" s="6" t="inlineStr">
        <is>
          <t>PARTLY ANSWERED</t>
        </is>
      </c>
      <c r="F399" s="6" t="inlineStr">
        <is>
          <t>requirements recorded</t>
        </is>
      </c>
      <c r="G399" s="6" t="inlineStr">
        <is>
          <t>batch 16 (AUTH-018, T-20261021-111)</t>
        </is>
      </c>
      <c r="H399" s="6" t="inlineStr">
        <is>
          <t>Claude</t>
        </is>
      </c>
    </row>
    <row r="400" ht="65.5" customHeight="1">
      <c r="A400" s="6" t="inlineStr">
        <is>
          <t>2026-10-21</t>
        </is>
      </c>
      <c r="B400" s="6" t="inlineStr">
        <is>
          <t>C-D09</t>
        </is>
      </c>
      <c r="C400" s="6" t="inlineStr">
        <is>
          <t>Known / basis</t>
        </is>
      </c>
      <c r="D400" s="6" t="inlineStr">
        <is>
          <t>(previous text)</t>
        </is>
      </c>
      <c r="E400" s="6" t="inlineStr">
        <is>
          <t>None of AUTH-001..015 authorizes an experiment; AUTH-011 excludes pilots, AUTH-013 says no experiments. 2026-10-21 (AUTH-018): the supervisor's next s</t>
        </is>
      </c>
      <c r="F400" s="6" t="inlineStr">
        <is>
          <t>experiments now expected by the supervisor</t>
        </is>
      </c>
      <c r="G400" s="6" t="inlineStr">
        <is>
          <t>batch 16 (AUTH-018, T-20261021-111)</t>
        </is>
      </c>
      <c r="H400" s="6" t="inlineStr">
        <is>
          <t>Claude</t>
        </is>
      </c>
    </row>
    <row r="401" ht="65.5" customHeight="1">
      <c r="A401" s="6" t="inlineStr">
        <is>
          <t>2026-10-21</t>
        </is>
      </c>
      <c r="B401" s="6" t="inlineStr">
        <is>
          <t>N-6</t>
        </is>
      </c>
      <c r="C401" s="6" t="inlineStr">
        <is>
          <t>Known / basis</t>
        </is>
      </c>
      <c r="D401" s="6" t="inlineStr">
        <is>
          <t>(previous text)</t>
        </is>
      </c>
      <c r="E401" s="6" t="inlineStr">
        <is>
          <t>Not answered in the sample; related evidence: Apple (bundled categories, single runs), MemToolAgent (fewer than 40 tools), skills directory cost effec</t>
        </is>
      </c>
      <c r="F401" s="6" t="inlineStr">
        <is>
          <t>in scope; measurement is a pilot</t>
        </is>
      </c>
      <c r="G401" s="6" t="inlineStr">
        <is>
          <t>batch 16 (AUTH-018, T-20261021-111)</t>
        </is>
      </c>
      <c r="H401" s="6" t="inlineStr">
        <is>
          <t>Claude</t>
        </is>
      </c>
    </row>
    <row r="402" ht="65.5" customHeight="1">
      <c r="A402" s="6" t="inlineStr">
        <is>
          <t>2026-10-21</t>
        </is>
      </c>
      <c r="B402" s="6" t="inlineStr">
        <is>
          <t>AS-06</t>
        </is>
      </c>
      <c r="C402" s="6" t="inlineStr">
        <is>
          <t>Known / basis</t>
        </is>
      </c>
      <c r="D402" s="6" t="inlineStr">
        <is>
          <t>(previous text)</t>
        </is>
      </c>
      <c r="E402" s="6" t="inlineStr">
        <is>
          <t>Recorded as the supervisor's position, to test, not to assume. Batch 12 (2026-10-20): 13 stored sources read for the statement that about 50% token re</t>
        </is>
      </c>
      <c r="F402" s="6" t="inlineStr">
        <is>
          <t>verbatim recorded</t>
        </is>
      </c>
      <c r="G402" s="6" t="inlineStr">
        <is>
          <t>batch 16 (AUTH-018, T-20261021-111)</t>
        </is>
      </c>
      <c r="H402" s="6" t="inlineStr">
        <is>
          <t>Claude</t>
        </is>
      </c>
    </row>
    <row r="403" ht="65.5" customHeight="1">
      <c r="A403" s="6" t="inlineStr">
        <is>
          <t>2026-10-21</t>
        </is>
      </c>
      <c r="B403" s="6" t="inlineStr">
        <is>
          <t>AS-13</t>
        </is>
      </c>
      <c r="C403" s="6" t="inlineStr">
        <is>
          <t>Known / basis</t>
        </is>
      </c>
      <c r="D403" s="6" t="inlineStr">
        <is>
          <t>(previous text)</t>
        </is>
      </c>
      <c r="E403" s="6" t="inlineStr">
        <is>
          <t>Recorded as the supervisor's position, to test, not to assume. Batch 12 (2026-10-20): not addressed in the sources read: no stored source has a 100-to</t>
        </is>
      </c>
      <c r="F403" s="6" t="inlineStr">
        <is>
          <t>verbatim recorded</t>
        </is>
      </c>
      <c r="G403" s="6" t="inlineStr">
        <is>
          <t>batch 16 (AUTH-018, T-20261021-111)</t>
        </is>
      </c>
      <c r="H403" s="6" t="inlineStr">
        <is>
          <t>Claude</t>
        </is>
      </c>
    </row>
    <row r="404" ht="65.5" customHeight="1">
      <c r="A404" s="6" t="inlineStr">
        <is>
          <t>2026-10-21</t>
        </is>
      </c>
      <c r="B404" s="6" t="inlineStr">
        <is>
          <t>AS-12</t>
        </is>
      </c>
      <c r="C404" s="6" t="inlineStr">
        <is>
          <t>Known / basis</t>
        </is>
      </c>
      <c r="D404" s="6" t="inlineStr">
        <is>
          <t>(previous text)</t>
        </is>
      </c>
      <c r="E404" s="6" t="inlineStr">
        <is>
          <t>Recorded as the supervisor's position, to test, not to assume. Batch 12 (2026-10-20): 13 stored sources compared across models (the steward's table; v</t>
        </is>
      </c>
      <c r="F404" s="6" t="inlineStr">
        <is>
          <t>context recorded</t>
        </is>
      </c>
      <c r="G404" s="6" t="inlineStr">
        <is>
          <t>batch 16 (AUTH-018, T-20261021-111)</t>
        </is>
      </c>
      <c r="H404" s="6" t="inlineStr">
        <is>
          <t>Claude</t>
        </is>
      </c>
    </row>
    <row r="405" ht="65.5" customHeight="1">
      <c r="A405" s="6" t="inlineStr">
        <is>
          <t>2026-10-21</t>
        </is>
      </c>
      <c r="B405" s="6" t="inlineStr">
        <is>
          <t>N-8</t>
        </is>
      </c>
      <c r="C405" s="6" t="inlineStr">
        <is>
          <t>Known / basis</t>
        </is>
      </c>
      <c r="D405" s="6" t="inlineStr">
        <is>
          <t>(previous text)</t>
        </is>
      </c>
      <c r="E405" s="6" t="inlineStr">
        <is>
          <t>Unknown from the repo. 2026-10-21 (AUTH-018): the 21 October transcript has the student asking 'Do you like the policy? Um you didn't like it?' (INT-T</t>
        </is>
      </c>
      <c r="F405" s="6" t="inlineStr">
        <is>
          <t>not addressed in the meeting</t>
        </is>
      </c>
      <c r="G405" s="6" t="inlineStr">
        <is>
          <t>batch 16 (AUTH-018, T-20261021-111)</t>
        </is>
      </c>
      <c r="H405" s="6" t="inlineStr">
        <is>
          <t>Claude</t>
        </is>
      </c>
    </row>
    <row r="406" ht="28" customHeight="1">
      <c r="A406" s="6" t="inlineStr">
        <is>
          <t>2026-10-21</t>
        </is>
      </c>
      <c r="B406" s="6" t="inlineStr">
        <is>
          <t>N-11</t>
        </is>
      </c>
      <c r="C406" s="6" t="inlineStr">
        <is>
          <t>Current status</t>
        </is>
      </c>
      <c r="D406" s="6" t="inlineStr">
        <is>
          <t>OPEN</t>
        </is>
      </c>
      <c r="E406" s="6" t="inlineStr">
        <is>
          <t>DEFERRED</t>
        </is>
      </c>
      <c r="F406" s="6" t="inlineStr">
        <is>
          <t>earlier work kept separate</t>
        </is>
      </c>
      <c r="G406" s="6" t="inlineStr">
        <is>
          <t>batch 16 (AUTH-018, T-20261021-111)</t>
        </is>
      </c>
      <c r="H406" s="6" t="inlineStr">
        <is>
          <t>Claude</t>
        </is>
      </c>
    </row>
    <row r="407" ht="40.5" customHeight="1">
      <c r="A407" s="6" t="inlineStr">
        <is>
          <t>2026-10-21</t>
        </is>
      </c>
      <c r="B407" s="6" t="inlineStr">
        <is>
          <t>N-28</t>
        </is>
      </c>
      <c r="C407" s="6" t="inlineStr">
        <is>
          <t>New row</t>
        </is>
      </c>
      <c r="D407" s="6" t="inlineStr"/>
      <c r="E407" s="6" t="inlineStr">
        <is>
          <t>How the 21 Oct scope (memory and tool calls) relates to the 14 Oct staged tool-filtering graph</t>
        </is>
      </c>
      <c r="F407" s="6" t="inlineStr">
        <is>
          <t>opened by the supervisor meetings (AUTH-018)</t>
        </is>
      </c>
      <c r="G407" s="6" t="inlineStr">
        <is>
          <t>batch 16 (AUTH-018, T-20261021-111)</t>
        </is>
      </c>
      <c r="H407" s="6" t="inlineStr">
        <is>
          <t>Claude</t>
        </is>
      </c>
    </row>
    <row r="408" ht="53" customHeight="1">
      <c r="A408" s="6" t="inlineStr">
        <is>
          <t>2026-10-21</t>
        </is>
      </c>
      <c r="B408" s="6" t="inlineStr">
        <is>
          <t>N-29</t>
        </is>
      </c>
      <c r="C408" s="6" t="inlineStr">
        <is>
          <t>New row</t>
        </is>
      </c>
      <c r="D408" s="6" t="inlineStr"/>
      <c r="E408" s="6" t="inlineStr">
        <is>
          <t>Tool responses kept in files and searched, instead of kept in the context (supervisor's example; '80% of the cost')</t>
        </is>
      </c>
      <c r="F408" s="6" t="inlineStr">
        <is>
          <t>opened by the supervisor meetings (AUTH-018)</t>
        </is>
      </c>
      <c r="G408" s="6" t="inlineStr">
        <is>
          <t>batch 16 (AUTH-018, T-20261021-111)</t>
        </is>
      </c>
      <c r="H408" s="6" t="inlineStr">
        <is>
          <t>Claude</t>
        </is>
      </c>
    </row>
    <row r="409" ht="53" customHeight="1">
      <c r="A409" s="6" t="inlineStr">
        <is>
          <t>2026-10-21</t>
        </is>
      </c>
      <c r="B409" s="6" t="inlineStr">
        <is>
          <t>AS-14</t>
        </is>
      </c>
      <c r="C409" s="6" t="inlineStr">
        <is>
          <t>New row</t>
        </is>
      </c>
      <c r="D409" s="6" t="inlineStr"/>
      <c r="E409" s="6" t="inlineStr">
        <is>
          <t>Supervisor assertion A14: a trivial 'hello' / 'hi' exchange consumes about 10,000 tokens where 10-30 would do</t>
        </is>
      </c>
      <c r="F409" s="6" t="inlineStr">
        <is>
          <t>opened by the supervisor meetings (AUTH-018)</t>
        </is>
      </c>
      <c r="G409" s="6" t="inlineStr">
        <is>
          <t>batch 16 (AUTH-018, T-20261021-111)</t>
        </is>
      </c>
      <c r="H409" s="6" t="inlineStr">
        <is>
          <t>Claude</t>
        </is>
      </c>
    </row>
    <row r="410" ht="53" customHeight="1">
      <c r="A410" s="6" t="inlineStr">
        <is>
          <t>2026-10-21</t>
        </is>
      </c>
      <c r="B410" s="6" t="inlineStr">
        <is>
          <t>AS-15</t>
        </is>
      </c>
      <c r="C410" s="6" t="inlineStr">
        <is>
          <t>New row</t>
        </is>
      </c>
      <c r="D410" s="6" t="inlineStr"/>
      <c r="E410" s="6" t="inlineStr">
        <is>
          <t>Supervisor assertion A15: information added to an explicit cache can stay for the whole conversation at negligible cost</t>
        </is>
      </c>
      <c r="F410" s="6" t="inlineStr">
        <is>
          <t>opened by the supervisor meetings (AUTH-018)</t>
        </is>
      </c>
      <c r="G410" s="6" t="inlineStr">
        <is>
          <t>batch 16 (AUTH-018, T-20261021-111)</t>
        </is>
      </c>
      <c r="H410" s="6" t="inlineStr">
        <is>
          <t>Claude</t>
        </is>
      </c>
    </row>
    <row r="411" ht="15.5" customHeight="1">
      <c r="A411" s="6" t="inlineStr">
        <is>
          <t>2026-10-21</t>
        </is>
      </c>
      <c r="B411" s="6" t="inlineStr">
        <is>
          <t>Q-J02</t>
        </is>
      </c>
      <c r="C411" s="6" t="inlineStr">
        <is>
          <t>Answer</t>
        </is>
      </c>
      <c r="D411" s="6" t="inlineStr"/>
      <c r="E411" s="6" t="inlineStr">
        <is>
          <t>Answered</t>
        </is>
      </c>
      <c r="F411" s="6" t="inlineStr">
        <is>
          <t>supervisor's words recorded from the meetings</t>
        </is>
      </c>
      <c r="G411" s="6" t="inlineStr">
        <is>
          <t>AUTH-018</t>
        </is>
      </c>
      <c r="H411" s="6" t="inlineStr">
        <is>
          <t>Claude</t>
        </is>
      </c>
    </row>
    <row r="412" ht="15.5" customHeight="1">
      <c r="A412" s="6" t="inlineStr">
        <is>
          <t>2026-10-21</t>
        </is>
      </c>
      <c r="B412" s="6" t="inlineStr">
        <is>
          <t>Q-J03</t>
        </is>
      </c>
      <c r="C412" s="6" t="inlineStr">
        <is>
          <t>Answer</t>
        </is>
      </c>
      <c r="D412" s="6" t="inlineStr"/>
      <c r="E412" s="6" t="inlineStr">
        <is>
          <t>Partly</t>
        </is>
      </c>
      <c r="F412" s="6" t="inlineStr">
        <is>
          <t>supervisor's words recorded from the meetings</t>
        </is>
      </c>
      <c r="G412" s="6" t="inlineStr">
        <is>
          <t>AUTH-018</t>
        </is>
      </c>
      <c r="H412" s="6" t="inlineStr">
        <is>
          <t>Claude</t>
        </is>
      </c>
    </row>
    <row r="413" ht="15.5" customHeight="1">
      <c r="A413" s="6" t="inlineStr">
        <is>
          <t>2026-10-21</t>
        </is>
      </c>
      <c r="B413" s="6" t="inlineStr">
        <is>
          <t>Q-J04</t>
        </is>
      </c>
      <c r="C413" s="6" t="inlineStr">
        <is>
          <t>Answer</t>
        </is>
      </c>
      <c r="D413" s="6" t="inlineStr"/>
      <c r="E413" s="6" t="inlineStr">
        <is>
          <t>Answered</t>
        </is>
      </c>
      <c r="F413" s="6" t="inlineStr">
        <is>
          <t>supervisor's words recorded from the meetings</t>
        </is>
      </c>
      <c r="G413" s="6" t="inlineStr">
        <is>
          <t>AUTH-018</t>
        </is>
      </c>
      <c r="H413" s="6" t="inlineStr">
        <is>
          <t>Claude</t>
        </is>
      </c>
    </row>
    <row r="414" ht="15.5" customHeight="1">
      <c r="A414" s="6" t="inlineStr">
        <is>
          <t>2026-10-21</t>
        </is>
      </c>
      <c r="B414" s="6" t="inlineStr">
        <is>
          <t>Q-J05</t>
        </is>
      </c>
      <c r="C414" s="6" t="inlineStr">
        <is>
          <t>Answer</t>
        </is>
      </c>
      <c r="D414" s="6" t="inlineStr"/>
      <c r="E414" s="6" t="inlineStr">
        <is>
          <t>Answered</t>
        </is>
      </c>
      <c r="F414" s="6" t="inlineStr">
        <is>
          <t>supervisor's words recorded from the meetings</t>
        </is>
      </c>
      <c r="G414" s="6" t="inlineStr">
        <is>
          <t>AUTH-018</t>
        </is>
      </c>
      <c r="H414" s="6" t="inlineStr">
        <is>
          <t>Claude</t>
        </is>
      </c>
    </row>
    <row r="415" ht="15.5" customHeight="1">
      <c r="A415" s="6" t="inlineStr">
        <is>
          <t>2026-10-21</t>
        </is>
      </c>
      <c r="B415" s="6" t="inlineStr">
        <is>
          <t>Q-J06</t>
        </is>
      </c>
      <c r="C415" s="6" t="inlineStr">
        <is>
          <t>Answer</t>
        </is>
      </c>
      <c r="D415" s="6" t="inlineStr"/>
      <c r="E415" s="6" t="inlineStr">
        <is>
          <t>Partly</t>
        </is>
      </c>
      <c r="F415" s="6" t="inlineStr">
        <is>
          <t>supervisor's words recorded from the meetings</t>
        </is>
      </c>
      <c r="G415" s="6" t="inlineStr">
        <is>
          <t>AUTH-018</t>
        </is>
      </c>
      <c r="H415" s="6" t="inlineStr">
        <is>
          <t>Claude</t>
        </is>
      </c>
    </row>
    <row r="416" ht="15.5" customHeight="1">
      <c r="A416" s="6" t="inlineStr">
        <is>
          <t>2026-10-21</t>
        </is>
      </c>
      <c r="B416" s="6" t="inlineStr">
        <is>
          <t>Q-J07</t>
        </is>
      </c>
      <c r="C416" s="6" t="inlineStr">
        <is>
          <t>Answer</t>
        </is>
      </c>
      <c r="D416" s="6" t="inlineStr"/>
      <c r="E416" s="6" t="inlineStr">
        <is>
          <t>Answered</t>
        </is>
      </c>
      <c r="F416" s="6" t="inlineStr">
        <is>
          <t>supervisor's words recorded from the meetings</t>
        </is>
      </c>
      <c r="G416" s="6" t="inlineStr">
        <is>
          <t>AUTH-018</t>
        </is>
      </c>
      <c r="H416" s="6" t="inlineStr">
        <is>
          <t>Claude</t>
        </is>
      </c>
    </row>
    <row r="417" ht="15.5" customHeight="1">
      <c r="A417" s="6" t="inlineStr">
        <is>
          <t>2026-10-21</t>
        </is>
      </c>
      <c r="B417" s="6" t="inlineStr">
        <is>
          <t>Q-J08</t>
        </is>
      </c>
      <c r="C417" s="6" t="inlineStr">
        <is>
          <t>Answer</t>
        </is>
      </c>
      <c r="D417" s="6" t="inlineStr"/>
      <c r="E417" s="6" t="inlineStr">
        <is>
          <t>Partly</t>
        </is>
      </c>
      <c r="F417" s="6" t="inlineStr">
        <is>
          <t>supervisor's words recorded from the meetings</t>
        </is>
      </c>
      <c r="G417" s="6" t="inlineStr">
        <is>
          <t>AUTH-018</t>
        </is>
      </c>
      <c r="H417" s="6" t="inlineStr">
        <is>
          <t>Claude</t>
        </is>
      </c>
    </row>
    <row r="418" ht="15.5" customHeight="1">
      <c r="A418" s="6" t="inlineStr">
        <is>
          <t>2026-10-21</t>
        </is>
      </c>
      <c r="B418" s="6" t="inlineStr">
        <is>
          <t>Q-J09</t>
        </is>
      </c>
      <c r="C418" s="6" t="inlineStr">
        <is>
          <t>Answer</t>
        </is>
      </c>
      <c r="D418" s="6" t="inlineStr"/>
      <c r="E418" s="6" t="inlineStr">
        <is>
          <t>Partly</t>
        </is>
      </c>
      <c r="F418" s="6" t="inlineStr">
        <is>
          <t>supervisor's words recorded from the meetings</t>
        </is>
      </c>
      <c r="G418" s="6" t="inlineStr">
        <is>
          <t>AUTH-018</t>
        </is>
      </c>
      <c r="H418" s="6" t="inlineStr">
        <is>
          <t>Claude</t>
        </is>
      </c>
    </row>
    <row r="419" ht="15.5" customHeight="1">
      <c r="A419" s="6" t="inlineStr">
        <is>
          <t>2026-10-21</t>
        </is>
      </c>
      <c r="B419" s="6" t="inlineStr">
        <is>
          <t>Q-J10</t>
        </is>
      </c>
      <c r="C419" s="6" t="inlineStr">
        <is>
          <t>Answer</t>
        </is>
      </c>
      <c r="D419" s="6" t="inlineStr"/>
      <c r="E419" s="6" t="inlineStr">
        <is>
          <t>Answered</t>
        </is>
      </c>
      <c r="F419" s="6" t="inlineStr">
        <is>
          <t>supervisor's words recorded from the meetings</t>
        </is>
      </c>
      <c r="G419" s="6" t="inlineStr">
        <is>
          <t>AUTH-018</t>
        </is>
      </c>
      <c r="H419" s="6" t="inlineStr">
        <is>
          <t>Claude</t>
        </is>
      </c>
    </row>
    <row r="420" ht="15.5" customHeight="1">
      <c r="A420" s="6" t="inlineStr">
        <is>
          <t>2026-10-21</t>
        </is>
      </c>
      <c r="B420" s="6" t="inlineStr">
        <is>
          <t>Q-J11</t>
        </is>
      </c>
      <c r="C420" s="6" t="inlineStr">
        <is>
          <t>Answer</t>
        </is>
      </c>
      <c r="D420" s="6" t="inlineStr"/>
      <c r="E420" s="6" t="inlineStr">
        <is>
          <t>Partly</t>
        </is>
      </c>
      <c r="F420" s="6" t="inlineStr">
        <is>
          <t>supervisor's words recorded from the meetings</t>
        </is>
      </c>
      <c r="G420" s="6" t="inlineStr">
        <is>
          <t>AUTH-018</t>
        </is>
      </c>
      <c r="H420" s="6" t="inlineStr">
        <is>
          <t>Claude</t>
        </is>
      </c>
    </row>
    <row r="421" ht="15.5" customHeight="1">
      <c r="A421" s="6" t="inlineStr">
        <is>
          <t>2026-10-21</t>
        </is>
      </c>
      <c r="B421" s="6" t="inlineStr">
        <is>
          <t>Q-J12</t>
        </is>
      </c>
      <c r="C421" s="6" t="inlineStr">
        <is>
          <t>Answer</t>
        </is>
      </c>
      <c r="D421" s="6" t="inlineStr"/>
      <c r="E421" s="6" t="inlineStr">
        <is>
          <t>Partly</t>
        </is>
      </c>
      <c r="F421" s="6" t="inlineStr">
        <is>
          <t>supervisor's words recorded from the meetings</t>
        </is>
      </c>
      <c r="G421" s="6" t="inlineStr">
        <is>
          <t>AUTH-018</t>
        </is>
      </c>
      <c r="H421" s="6" t="inlineStr">
        <is>
          <t>Claude</t>
        </is>
      </c>
    </row>
    <row r="422" ht="15.5" customHeight="1">
      <c r="A422" s="6" t="inlineStr">
        <is>
          <t>2026-10-21</t>
        </is>
      </c>
      <c r="B422" s="6" t="inlineStr">
        <is>
          <t>Q-J14</t>
        </is>
      </c>
      <c r="C422" s="6" t="inlineStr">
        <is>
          <t>Answer</t>
        </is>
      </c>
      <c r="D422" s="6" t="inlineStr"/>
      <c r="E422" s="6" t="inlineStr">
        <is>
          <t>Partly</t>
        </is>
      </c>
      <c r="F422" s="6" t="inlineStr">
        <is>
          <t>supervisor's words recorded from the meetings</t>
        </is>
      </c>
      <c r="G422" s="6" t="inlineStr">
        <is>
          <t>AUTH-018</t>
        </is>
      </c>
      <c r="H422" s="6" t="inlineStr">
        <is>
          <t>Claude</t>
        </is>
      </c>
    </row>
    <row r="423" ht="15.5" customHeight="1">
      <c r="A423" s="6" t="inlineStr">
        <is>
          <t>2026-10-21</t>
        </is>
      </c>
      <c r="B423" s="6" t="inlineStr">
        <is>
          <t>Q-J15</t>
        </is>
      </c>
      <c r="C423" s="6" t="inlineStr">
        <is>
          <t>Answer</t>
        </is>
      </c>
      <c r="D423" s="6" t="inlineStr"/>
      <c r="E423" s="6" t="inlineStr">
        <is>
          <t>Answered</t>
        </is>
      </c>
      <c r="F423" s="6" t="inlineStr">
        <is>
          <t>supervisor's words recorded from the meetings</t>
        </is>
      </c>
      <c r="G423" s="6" t="inlineStr">
        <is>
          <t>AUTH-018</t>
        </is>
      </c>
      <c r="H423" s="6" t="inlineStr">
        <is>
          <t>Claude</t>
        </is>
      </c>
    </row>
    <row r="424" ht="15.5" customHeight="1">
      <c r="A424" s="6" t="inlineStr">
        <is>
          <t>2026-10-21</t>
        </is>
      </c>
      <c r="B424" s="6" t="inlineStr">
        <is>
          <t>Q-J16</t>
        </is>
      </c>
      <c r="C424" s="6" t="inlineStr">
        <is>
          <t>Answer</t>
        </is>
      </c>
      <c r="D424" s="6" t="inlineStr"/>
      <c r="E424" s="6" t="inlineStr">
        <is>
          <t>Answered</t>
        </is>
      </c>
      <c r="F424" s="6" t="inlineStr">
        <is>
          <t>supervisor's words recorded from the meetings</t>
        </is>
      </c>
      <c r="G424" s="6" t="inlineStr">
        <is>
          <t>AUTH-018</t>
        </is>
      </c>
      <c r="H424" s="6" t="inlineStr">
        <is>
          <t>Claude</t>
        </is>
      </c>
    </row>
    <row r="425" ht="15.5" customHeight="1">
      <c r="A425" s="6" t="inlineStr">
        <is>
          <t>2026-10-21</t>
        </is>
      </c>
      <c r="B425" s="6" t="inlineStr">
        <is>
          <t>Q-J17</t>
        </is>
      </c>
      <c r="C425" s="6" t="inlineStr">
        <is>
          <t>Answer</t>
        </is>
      </c>
      <c r="D425" s="6" t="inlineStr"/>
      <c r="E425" s="6" t="inlineStr">
        <is>
          <t>Answered</t>
        </is>
      </c>
      <c r="F425" s="6" t="inlineStr">
        <is>
          <t>supervisor's words recorded from the meetings</t>
        </is>
      </c>
      <c r="G425" s="6" t="inlineStr">
        <is>
          <t>AUTH-018</t>
        </is>
      </c>
      <c r="H425" s="6" t="inlineStr">
        <is>
          <t>Claude</t>
        </is>
      </c>
    </row>
    <row r="426" ht="15.5" customHeight="1">
      <c r="A426" s="6" t="inlineStr">
        <is>
          <t>2026-10-21</t>
        </is>
      </c>
      <c r="B426" s="6" t="inlineStr">
        <is>
          <t>Q-J18</t>
        </is>
      </c>
      <c r="C426" s="6" t="inlineStr">
        <is>
          <t>Answer</t>
        </is>
      </c>
      <c r="D426" s="6" t="inlineStr"/>
      <c r="E426" s="6" t="inlineStr">
        <is>
          <t>Partly</t>
        </is>
      </c>
      <c r="F426" s="6" t="inlineStr">
        <is>
          <t>supervisor's words recorded from the meetings</t>
        </is>
      </c>
      <c r="G426" s="6" t="inlineStr">
        <is>
          <t>AUTH-018</t>
        </is>
      </c>
      <c r="H426" s="6" t="inlineStr">
        <is>
          <t>Claude</t>
        </is>
      </c>
    </row>
    <row r="427" ht="15.5" customHeight="1">
      <c r="A427" s="6" t="inlineStr">
        <is>
          <t>2026-10-21</t>
        </is>
      </c>
      <c r="B427" s="6" t="inlineStr">
        <is>
          <t>Q-J19</t>
        </is>
      </c>
      <c r="C427" s="6" t="inlineStr">
        <is>
          <t>Answer</t>
        </is>
      </c>
      <c r="D427" s="6" t="inlineStr"/>
      <c r="E427" s="6" t="inlineStr">
        <is>
          <t>Partly</t>
        </is>
      </c>
      <c r="F427" s="6" t="inlineStr">
        <is>
          <t>supervisor's words recorded from the meetings</t>
        </is>
      </c>
      <c r="G427" s="6" t="inlineStr">
        <is>
          <t>AUTH-018</t>
        </is>
      </c>
      <c r="H427" s="6" t="inlineStr">
        <is>
          <t>Claude</t>
        </is>
      </c>
    </row>
    <row r="428" ht="15.5" customHeight="1">
      <c r="A428" s="6" t="inlineStr">
        <is>
          <t>2026-10-21</t>
        </is>
      </c>
      <c r="B428" s="6" t="inlineStr">
        <is>
          <t>Q-J20</t>
        </is>
      </c>
      <c r="C428" s="6" t="inlineStr">
        <is>
          <t>Answer</t>
        </is>
      </c>
      <c r="D428" s="6" t="inlineStr"/>
      <c r="E428" s="6" t="inlineStr">
        <is>
          <t>Partly</t>
        </is>
      </c>
      <c r="F428" s="6" t="inlineStr">
        <is>
          <t>supervisor's words recorded from the meetings</t>
        </is>
      </c>
      <c r="G428" s="6" t="inlineStr">
        <is>
          <t>AUTH-018</t>
        </is>
      </c>
      <c r="H428" s="6" t="inlineStr">
        <is>
          <t>Claude</t>
        </is>
      </c>
    </row>
    <row r="429" ht="15.5" customHeight="1">
      <c r="A429" s="6" t="inlineStr">
        <is>
          <t>2026-10-21</t>
        </is>
      </c>
      <c r="B429" s="6" t="inlineStr">
        <is>
          <t>Q-J21</t>
        </is>
      </c>
      <c r="C429" s="6" t="inlineStr">
        <is>
          <t>Answer</t>
        </is>
      </c>
      <c r="D429" s="6" t="inlineStr"/>
      <c r="E429" s="6" t="inlineStr">
        <is>
          <t>Partly</t>
        </is>
      </c>
      <c r="F429" s="6" t="inlineStr">
        <is>
          <t>supervisor's words recorded from the meetings</t>
        </is>
      </c>
      <c r="G429" s="6" t="inlineStr">
        <is>
          <t>AUTH-018</t>
        </is>
      </c>
      <c r="H429" s="6" t="inlineStr">
        <is>
          <t>Claude</t>
        </is>
      </c>
    </row>
    <row r="430" ht="15.5" customHeight="1">
      <c r="A430" s="6" t="inlineStr">
        <is>
          <t>2026-10-21</t>
        </is>
      </c>
      <c r="B430" s="6" t="inlineStr">
        <is>
          <t>Q-J22</t>
        </is>
      </c>
      <c r="C430" s="6" t="inlineStr">
        <is>
          <t>Answer</t>
        </is>
      </c>
      <c r="D430" s="6" t="inlineStr"/>
      <c r="E430" s="6" t="inlineStr">
        <is>
          <t>Partly</t>
        </is>
      </c>
      <c r="F430" s="6" t="inlineStr">
        <is>
          <t>supervisor's words recorded from the meetings</t>
        </is>
      </c>
      <c r="G430" s="6" t="inlineStr">
        <is>
          <t>AUTH-018</t>
        </is>
      </c>
      <c r="H430" s="6" t="inlineStr">
        <is>
          <t>Claude</t>
        </is>
      </c>
    </row>
    <row r="431" ht="15.5" customHeight="1">
      <c r="A431" s="6" t="inlineStr">
        <is>
          <t>2026-10-21</t>
        </is>
      </c>
      <c r="B431" s="6" t="inlineStr">
        <is>
          <t>Q-J23</t>
        </is>
      </c>
      <c r="C431" s="6" t="inlineStr">
        <is>
          <t>Answer</t>
        </is>
      </c>
      <c r="D431" s="6" t="inlineStr"/>
      <c r="E431" s="6" t="inlineStr">
        <is>
          <t>Answered</t>
        </is>
      </c>
      <c r="F431" s="6" t="inlineStr">
        <is>
          <t>supervisor's words recorded from the meetings</t>
        </is>
      </c>
      <c r="G431" s="6" t="inlineStr">
        <is>
          <t>AUTH-018</t>
        </is>
      </c>
      <c r="H431" s="6" t="inlineStr">
        <is>
          <t>Claude</t>
        </is>
      </c>
    </row>
    <row r="432" ht="15.5" customHeight="1">
      <c r="A432" s="6" t="inlineStr">
        <is>
          <t>2026-10-21</t>
        </is>
      </c>
      <c r="B432" s="6" t="inlineStr">
        <is>
          <t>Q-J25</t>
        </is>
      </c>
      <c r="C432" s="6" t="inlineStr">
        <is>
          <t>Answer</t>
        </is>
      </c>
      <c r="D432" s="6" t="inlineStr"/>
      <c r="E432" s="6" t="inlineStr">
        <is>
          <t>Partly</t>
        </is>
      </c>
      <c r="F432" s="6" t="inlineStr">
        <is>
          <t>supervisor's words recorded from the meetings</t>
        </is>
      </c>
      <c r="G432" s="6" t="inlineStr">
        <is>
          <t>AUTH-018</t>
        </is>
      </c>
      <c r="H432" s="6" t="inlineStr">
        <is>
          <t>Claude</t>
        </is>
      </c>
    </row>
    <row r="433" ht="15.5" customHeight="1">
      <c r="A433" s="6" t="inlineStr">
        <is>
          <t>2026-10-21</t>
        </is>
      </c>
      <c r="B433" s="6" t="inlineStr">
        <is>
          <t>Q-J26</t>
        </is>
      </c>
      <c r="C433" s="6" t="inlineStr">
        <is>
          <t>Answer</t>
        </is>
      </c>
      <c r="D433" s="6" t="inlineStr"/>
      <c r="E433" s="6" t="inlineStr">
        <is>
          <t>Partly</t>
        </is>
      </c>
      <c r="F433" s="6" t="inlineStr">
        <is>
          <t>supervisor's words recorded from the meetings</t>
        </is>
      </c>
      <c r="G433" s="6" t="inlineStr">
        <is>
          <t>AUTH-018</t>
        </is>
      </c>
      <c r="H433" s="6" t="inlineStr">
        <is>
          <t>Claude</t>
        </is>
      </c>
    </row>
    <row r="434" ht="15.5" customHeight="1">
      <c r="A434" s="6" t="inlineStr">
        <is>
          <t>2026-10-21</t>
        </is>
      </c>
      <c r="B434" s="6" t="inlineStr">
        <is>
          <t>Q-J27</t>
        </is>
      </c>
      <c r="C434" s="6" t="inlineStr">
        <is>
          <t>Answer</t>
        </is>
      </c>
      <c r="D434" s="6" t="inlineStr"/>
      <c r="E434" s="6" t="inlineStr">
        <is>
          <t>Partly</t>
        </is>
      </c>
      <c r="F434" s="6" t="inlineStr">
        <is>
          <t>supervisor's words recorded from the meetings</t>
        </is>
      </c>
      <c r="G434" s="6" t="inlineStr">
        <is>
          <t>AUTH-018</t>
        </is>
      </c>
      <c r="H434" s="6" t="inlineStr">
        <is>
          <t>Claude</t>
        </is>
      </c>
    </row>
    <row r="435" ht="15.5" customHeight="1">
      <c r="A435" s="6" t="inlineStr">
        <is>
          <t>2026-10-21</t>
        </is>
      </c>
      <c r="B435" s="6" t="inlineStr">
        <is>
          <t>Q-J28</t>
        </is>
      </c>
      <c r="C435" s="6" t="inlineStr">
        <is>
          <t>Answer</t>
        </is>
      </c>
      <c r="D435" s="6" t="inlineStr"/>
      <c r="E435" s="6" t="inlineStr">
        <is>
          <t>Partly</t>
        </is>
      </c>
      <c r="F435" s="6" t="inlineStr">
        <is>
          <t>supervisor's words recorded from the meetings</t>
        </is>
      </c>
      <c r="G435" s="6" t="inlineStr">
        <is>
          <t>AUTH-018</t>
        </is>
      </c>
      <c r="H435" s="6" t="inlineStr">
        <is>
          <t>Claude</t>
        </is>
      </c>
    </row>
    <row r="436" ht="28" customHeight="1">
      <c r="A436" s="6" t="inlineStr">
        <is>
          <t>2026-10-21</t>
        </is>
      </c>
      <c r="B436" s="6" t="inlineStr">
        <is>
          <t>N-20</t>
        </is>
      </c>
      <c r="C436" s="6" t="inlineStr">
        <is>
          <t>Moved to Archive</t>
        </is>
      </c>
      <c r="D436" s="6" t="inlineStr">
        <is>
          <t>Ledger</t>
        </is>
      </c>
      <c r="E436" s="6" t="inlineStr">
        <is>
          <t>Archive (CLOSED - BY EVIDENCE)</t>
        </is>
      </c>
      <c r="F436" s="6" t="inlineStr">
        <is>
          <t>Closed 2026-10-21: the 'negative result can be a thesis' clause is located and quoted.</t>
        </is>
      </c>
      <c r="G436" s="6" t="inlineStr">
        <is>
          <t>batch 16 (AUTH-018, T-20261021-111)</t>
        </is>
      </c>
      <c r="H436" s="6" t="inlineStr">
        <is>
          <t>Claude</t>
        </is>
      </c>
    </row>
    <row r="437" ht="28" customHeight="1">
      <c r="A437" s="6" t="inlineStr">
        <is>
          <t>2026-10-21</t>
        </is>
      </c>
      <c r="B437" s="6" t="inlineStr">
        <is>
          <t>C-D11</t>
        </is>
      </c>
      <c r="C437" s="6" t="inlineStr">
        <is>
          <t>Moved to Archive</t>
        </is>
      </c>
      <c r="D437" s="6" t="inlineStr">
        <is>
          <t>Ledger</t>
        </is>
      </c>
      <c r="E437" s="6" t="inlineStr">
        <is>
          <t>Archive (CLOSED - BY DECISION)</t>
        </is>
      </c>
      <c r="F437" s="6" t="inlineStr">
        <is>
          <t>Closed 2026-10-21: the earlier Project A retrieval work stays outside this work and is not used, cited or reconciled here (human's decision).</t>
        </is>
      </c>
      <c r="G437" s="6" t="inlineStr">
        <is>
          <t>batch 16 (AUTH-018, T-20261021-111)</t>
        </is>
      </c>
      <c r="H437" s="6" t="inlineStr">
        <is>
          <t>Claude</t>
        </is>
      </c>
    </row>
    <row r="438" ht="28" customHeight="1">
      <c r="A438" s="6" t="inlineStr">
        <is>
          <t>2026-10-21</t>
        </is>
      </c>
      <c r="B438" s="6" t="inlineStr">
        <is>
          <t>N-10</t>
        </is>
      </c>
      <c r="C438" s="6" t="inlineStr">
        <is>
          <t>Moved to Archive</t>
        </is>
      </c>
      <c r="D438" s="6" t="inlineStr">
        <is>
          <t>Ledger</t>
        </is>
      </c>
      <c r="E438" s="6" t="inlineStr">
        <is>
          <t>Archive (SUPERSEDED / MERGED)</t>
        </is>
      </c>
      <c r="F438" s="6" t="inlineStr">
        <is>
          <t>Superseded 2026-10-21: the meeting took place; the questions the brief lacked were put and answered (see N-2, C-D02, N-1).</t>
        </is>
      </c>
      <c r="G438" s="6" t="inlineStr">
        <is>
          <t>batch 16 (AUTH-018, T-20261021-111)</t>
        </is>
      </c>
      <c r="H438" s="6" t="inlineStr">
        <is>
          <t>Claude</t>
        </is>
      </c>
    </row>
    <row r="439" ht="28" customHeight="1">
      <c r="A439" s="6" t="inlineStr">
        <is>
          <t>2026-10-21</t>
        </is>
      </c>
      <c r="B439" s="6" t="inlineStr">
        <is>
          <t>C-D01/REFERENT</t>
        </is>
      </c>
      <c r="C439" s="6" t="inlineStr">
        <is>
          <t>Moved to Archive</t>
        </is>
      </c>
      <c r="D439" s="6" t="inlineStr">
        <is>
          <t>Ledger</t>
        </is>
      </c>
      <c r="E439" s="6" t="inlineStr">
        <is>
          <t>Archive (CLOSED - BY DECISION)</t>
        </is>
      </c>
      <c r="F439" s="6" t="inlineStr">
        <is>
          <t>Closed 2026-10-21: 'you' is the student and the findings are the mechanism families he had narrowed down.</t>
        </is>
      </c>
      <c r="G439" s="6" t="inlineStr">
        <is>
          <t>batch 16 (AUTH-018, T-20261021-111)</t>
        </is>
      </c>
      <c r="H439" s="6" t="inlineStr">
        <is>
          <t>Claude</t>
        </is>
      </c>
    </row>
    <row r="440" ht="40.5" customHeight="1">
      <c r="A440" s="6" t="inlineStr">
        <is>
          <t>2026-10-21</t>
        </is>
      </c>
      <c r="B440" s="6" t="inlineStr">
        <is>
          <t>N-2</t>
        </is>
      </c>
      <c r="C440" s="6" t="inlineStr">
        <is>
          <t>Moved to Archive</t>
        </is>
      </c>
      <c r="D440" s="6" t="inlineStr">
        <is>
          <t>Ledger</t>
        </is>
      </c>
      <c r="E440" s="6" t="inlineStr">
        <is>
          <t>Archive (CLOSED - BY DECISION)</t>
        </is>
      </c>
      <c r="F440" s="6" t="inlineStr">
        <is>
          <t>Closed 2026-10-21: scope = memory and tool calls, memory in service of tool calls; conversation memory enters as a short summary; knowledge and other context out (supervisor, 21 Oct).</t>
        </is>
      </c>
      <c r="G440" s="6" t="inlineStr">
        <is>
          <t>batch 16 (AUTH-018, T-20261021-111)</t>
        </is>
      </c>
      <c r="H440" s="6" t="inlineStr">
        <is>
          <t>Claude</t>
        </is>
      </c>
    </row>
    <row r="441" ht="40.5" customHeight="1">
      <c r="A441" s="6" t="inlineStr">
        <is>
          <t>2026-10-21</t>
        </is>
      </c>
      <c r="B441" s="6" t="inlineStr">
        <is>
          <t>N-3</t>
        </is>
      </c>
      <c r="C441" s="6" t="inlineStr">
        <is>
          <t>Moved to Archive</t>
        </is>
      </c>
      <c r="D441" s="6" t="inlineStr">
        <is>
          <t>Ledger</t>
        </is>
      </c>
      <c r="E441" s="6" t="inlineStr">
        <is>
          <t>Archive (CLOSED - BY DECISION)</t>
        </is>
      </c>
      <c r="F441" s="6" t="inlineStr">
        <is>
          <t>Closed 2026-10-21: horizon = many turns, averaged, including a return after a gap through a summarised memory; session variables (gap, number of returns) go into the evaluation contract (C-D08/EC1).</t>
        </is>
      </c>
      <c r="G441" s="6" t="inlineStr">
        <is>
          <t>batch 16 (AUTH-018, T-20261021-111)</t>
        </is>
      </c>
      <c r="H441" s="6" t="inlineStr">
        <is>
          <t>Claude</t>
        </is>
      </c>
    </row>
    <row r="442" ht="28" customHeight="1">
      <c r="A442" s="6" t="inlineStr">
        <is>
          <t>2026-10-21</t>
        </is>
      </c>
      <c r="B442" s="6" t="inlineStr">
        <is>
          <t>C-D03/STAGES</t>
        </is>
      </c>
      <c r="C442" s="6" t="inlineStr">
        <is>
          <t>Moved to Archive</t>
        </is>
      </c>
      <c r="D442" s="6" t="inlineStr">
        <is>
          <t>Ledger</t>
        </is>
      </c>
      <c r="E442" s="6" t="inlineStr">
        <is>
          <t>Archive (CLOSED - BY DECISION)</t>
        </is>
      </c>
      <c r="F442" s="6" t="inlineStr">
        <is>
          <t>Closed 2026-10-21: the stages are stages of the policy, each with one filtering question; their number is open.</t>
        </is>
      </c>
      <c r="G442" s="6" t="inlineStr">
        <is>
          <t>batch 16 (AUTH-018, T-20261021-111)</t>
        </is>
      </c>
      <c r="H442" s="6" t="inlineStr">
        <is>
          <t>Claude</t>
        </is>
      </c>
    </row>
    <row r="443" ht="28" customHeight="1">
      <c r="A443" s="6" t="inlineStr">
        <is>
          <t>2026-10-21</t>
        </is>
      </c>
      <c r="B443" s="6" t="inlineStr">
        <is>
          <t>C-D04</t>
        </is>
      </c>
      <c r="C443" s="6" t="inlineStr">
        <is>
          <t>Moved to Archive</t>
        </is>
      </c>
      <c r="D443" s="6" t="inlineStr">
        <is>
          <t>Ledger</t>
        </is>
      </c>
      <c r="E443" s="6" t="inlineStr">
        <is>
          <t>Archive (CLOSED - BY DECISION)</t>
        </is>
      </c>
      <c r="F443" s="6" t="inlineStr">
        <is>
          <t>Closed 2026-10-21: each stage is meant to save tokens, and the saving is judged over a number of turns, not per turn (supervisor, 2 and 21 Oct).</t>
        </is>
      </c>
      <c r="G443" s="6" t="inlineStr">
        <is>
          <t>batch 16 (AUTH-018, T-20261021-111)</t>
        </is>
      </c>
      <c r="H443" s="6" t="inlineStr">
        <is>
          <t>Claude</t>
        </is>
      </c>
    </row>
    <row r="444" ht="28" customHeight="1">
      <c r="A444" s="6" t="inlineStr">
        <is>
          <t>2026-10-21</t>
        </is>
      </c>
      <c r="B444" s="6" t="inlineStr">
        <is>
          <t>C-D06</t>
        </is>
      </c>
      <c r="C444" s="6" t="inlineStr">
        <is>
          <t>Moved to Archive</t>
        </is>
      </c>
      <c r="D444" s="6" t="inlineStr">
        <is>
          <t>Ledger</t>
        </is>
      </c>
      <c r="E444" s="6" t="inlineStr">
        <is>
          <t>Archive (CLOSED - BY DECISION)</t>
        </is>
      </c>
      <c r="F444" s="6" t="inlineStr">
        <is>
          <t>Closed 2026-10-21: a negative or conditional result is enough for the thesis; a paper needs a systematic study.</t>
        </is>
      </c>
      <c r="G444" s="6" t="inlineStr">
        <is>
          <t>batch 16 (AUTH-018, T-20261021-111)</t>
        </is>
      </c>
      <c r="H444" s="6" t="inlineStr">
        <is>
          <t>Claude</t>
        </is>
      </c>
    </row>
    <row r="445" ht="15.5" customHeight="1">
      <c r="A445" s="6" t="inlineStr">
        <is>
          <t>2026-10-21</t>
        </is>
      </c>
      <c r="B445" s="6" t="inlineStr">
        <is>
          <t>(all)</t>
        </is>
      </c>
      <c r="C445" s="6" t="inlineStr">
        <is>
          <t>Order</t>
        </is>
      </c>
      <c r="D445" s="6" t="inlineStr">
        <is>
          <t>recomputed</t>
        </is>
      </c>
      <c r="E445" s="6" t="inlineStr">
        <is>
          <t>1..257</t>
        </is>
      </c>
      <c r="F445" s="6" t="inlineStr">
        <is>
          <t>Derived rank recomputed after batch 16</t>
        </is>
      </c>
      <c r="G445" s="6" t="inlineStr">
        <is>
          <t>batch 16</t>
        </is>
      </c>
      <c r="H445" s="6" t="inlineStr">
        <is>
          <t>Claude</t>
        </is>
      </c>
    </row>
    <row r="446" ht="53" customHeight="1">
      <c r="A446" s="6" t="inlineStr">
        <is>
          <t>2026-10-21</t>
        </is>
      </c>
      <c r="B446" s="6" t="inlineStr">
        <is>
          <t>Q-J30</t>
        </is>
      </c>
      <c r="C446" s="6" t="inlineStr">
        <is>
          <t>New question</t>
        </is>
      </c>
      <c r="D446" s="6" t="inlineStr"/>
      <c r="E446" s="6" t="inlineStr">
        <is>
          <t xml:space="preserve">On 14 October you asked for a staged graph that filters tools (one question per stage, tools can be </t>
        </is>
      </c>
      <c r="F446" s="6" t="inlineStr">
        <is>
          <t>raised by the meetings intake</t>
        </is>
      </c>
      <c r="G446" s="6" t="inlineStr">
        <is>
          <t>AUTH-018</t>
        </is>
      </c>
      <c r="H446" s="6" t="inlineStr">
        <is>
          <t>Claude</t>
        </is>
      </c>
    </row>
    <row r="447" ht="15.5" customHeight="1">
      <c r="A447" s="6" t="inlineStr">
        <is>
          <t>2026-10-21</t>
        </is>
      </c>
      <c r="B447" s="6" t="inlineStr">
        <is>
          <t>(all)</t>
        </is>
      </c>
      <c r="C447" s="6" t="inlineStr">
        <is>
          <t>Order</t>
        </is>
      </c>
      <c r="D447" s="6" t="inlineStr">
        <is>
          <t>recomputed</t>
        </is>
      </c>
      <c r="E447" s="6" t="inlineStr">
        <is>
          <t>1..257</t>
        </is>
      </c>
      <c r="F447" s="6" t="inlineStr">
        <is>
          <t>Derived rank recomputed after batch 16b</t>
        </is>
      </c>
      <c r="G447" s="6" t="inlineStr">
        <is>
          <t>batch 16b</t>
        </is>
      </c>
      <c r="H447" s="6" t="inlineStr">
        <is>
          <t>Claude</t>
        </is>
      </c>
    </row>
    <row r="449">
      <c r="A449" s="22" t="inlineStr">
        <is>
          <t>Append-only: never edit or delete a past row; add a new row for every change of status, ownership, priority, ID or merge.</t>
        </is>
      </c>
    </row>
  </sheetData>
  <autoFilter ref="A1:H447"/>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row r="182">
      <c r="A182" s="6" t="inlineStr">
        <is>
          <t>Q-U26</t>
        </is>
      </c>
      <c r="B182" s="6" t="inlineStr">
        <is>
          <t>C-R03/C20</t>
        </is>
      </c>
      <c r="C182" s="6" t="inlineStr">
        <is>
          <t>NARROWS</t>
        </is>
      </c>
      <c r="D182" s="6">
        <f>IFERROR(IF(INDEX(Questions!$K$2:$K$300,MATCH(A182,Questions!$A$2:$A$300,0))&lt;&gt;"","Yes","No"),"?")</f>
        <v/>
      </c>
      <c r="E182" s="6">
        <f>IF(AND(D182="Yes",IFERROR(INDEX(Questions!$N$2:$N$300,MATCH(A182,Questions!$A$2:$A$300,0)),"")&lt;&gt;"REVIEWED"),"Yes","No")</f>
        <v/>
      </c>
      <c r="F182" s="6" t="n"/>
    </row>
    <row r="183">
      <c r="A183" s="6" t="inlineStr">
        <is>
          <t>Q-U26</t>
        </is>
      </c>
      <c r="B183" s="6" t="inlineStr">
        <is>
          <t>C-X06</t>
        </is>
      </c>
      <c r="C183" s="6" t="inlineStr">
        <is>
          <t>NARROWS</t>
        </is>
      </c>
      <c r="D183" s="6">
        <f>IFERROR(IF(INDEX(Questions!$K$2:$K$300,MATCH(A183,Questions!$A$2:$A$300,0))&lt;&gt;"","Yes","No"),"?")</f>
        <v/>
      </c>
      <c r="E183" s="6">
        <f>IF(AND(D183="Yes",IFERROR(INDEX(Questions!$N$2:$N$300,MATCH(A183,Questions!$A$2:$A$300,0)),"")&lt;&gt;"REVIEWED"),"Yes","No")</f>
        <v/>
      </c>
      <c r="F183" s="6" t="n"/>
    </row>
    <row r="184">
      <c r="A184" s="6" t="inlineStr">
        <is>
          <t>Q-U26</t>
        </is>
      </c>
      <c r="B184" s="6" t="inlineStr">
        <is>
          <t>C-S14</t>
        </is>
      </c>
      <c r="C184" s="6" t="inlineStr">
        <is>
          <t>NARROWS</t>
        </is>
      </c>
      <c r="D184" s="6">
        <f>IFERROR(IF(INDEX(Questions!$K$2:$K$300,MATCH(A184,Questions!$A$2:$A$300,0))&lt;&gt;"","Yes","No"),"?")</f>
        <v/>
      </c>
      <c r="E184" s="6">
        <f>IF(AND(D184="Yes",IFERROR(INDEX(Questions!$N$2:$N$300,MATCH(A184,Questions!$A$2:$A$300,0)),"")&lt;&gt;"REVIEWED"),"Yes","No")</f>
        <v/>
      </c>
      <c r="F184" s="6" t="n"/>
    </row>
    <row r="185">
      <c r="A185" s="6" t="inlineStr">
        <is>
          <t>Q-U26</t>
        </is>
      </c>
      <c r="B185" s="6" t="inlineStr">
        <is>
          <t>C-R03/C26</t>
        </is>
      </c>
      <c r="C185" s="6" t="inlineStr">
        <is>
          <t>INFORMS</t>
        </is>
      </c>
      <c r="D185" s="6">
        <f>IFERROR(IF(INDEX(Questions!$K$2:$K$300,MATCH(A185,Questions!$A$2:$A$300,0))&lt;&gt;"","Yes","No"),"?")</f>
        <v/>
      </c>
      <c r="E185" s="6">
        <f>IF(AND(D185="Yes",IFERROR(INDEX(Questions!$N$2:$N$300,MATCH(A185,Questions!$A$2:$A$300,0)),"")&lt;&gt;"REVIEWED"),"Yes","No")</f>
        <v/>
      </c>
      <c r="F185" s="6" t="n"/>
    </row>
    <row r="186">
      <c r="A186" s="6" t="inlineStr">
        <is>
          <t>Q-U27</t>
        </is>
      </c>
      <c r="B186" s="6" t="inlineStr">
        <is>
          <t>C-R03/C25</t>
        </is>
      </c>
      <c r="C186" s="6" t="inlineStr">
        <is>
          <t>CLOSES</t>
        </is>
      </c>
      <c r="D186" s="6">
        <f>IFERROR(IF(INDEX(Questions!$K$2:$K$300,MATCH(A186,Questions!$A$2:$A$300,0))&lt;&gt;"","Yes","No"),"?")</f>
        <v/>
      </c>
      <c r="E186" s="6">
        <f>IF(AND(D186="Yes",IFERROR(INDEX(Questions!$N$2:$N$300,MATCH(A186,Questions!$A$2:$A$300,0)),"")&lt;&gt;"REVIEWED"),"Yes","No")</f>
        <v/>
      </c>
      <c r="F186" s="6" t="n"/>
    </row>
    <row r="187">
      <c r="A187" s="6" t="inlineStr">
        <is>
          <t>Q-J30</t>
        </is>
      </c>
      <c r="B187" s="6" t="inlineStr">
        <is>
          <t>N-28</t>
        </is>
      </c>
      <c r="C187" s="6" t="inlineStr">
        <is>
          <t>CLOSES</t>
        </is>
      </c>
      <c r="D187" s="6">
        <f>IFERROR(IF(INDEX(Questions!$K$2:$K$300,MATCH(A187,Questions!$A$2:$A$300,0))&lt;&gt;"","Yes","No"),"?")</f>
        <v/>
      </c>
      <c r="E187" s="6">
        <f>IF(AND(D187="Yes",IFERROR(INDEX(Questions!$N$2:$N$300,MATCH(A187,Questions!$A$2:$A$300,0)),"")&lt;&gt;"REVIEWED"),"Yes","No")</f>
        <v/>
      </c>
      <c r="F187" s="6" t="n"/>
    </row>
    <row r="188">
      <c r="A188" s="6" t="inlineStr">
        <is>
          <t>Q-J30</t>
        </is>
      </c>
      <c r="B188" s="6" t="inlineStr">
        <is>
          <t>C-D03</t>
        </is>
      </c>
      <c r="C188" s="6" t="inlineStr">
        <is>
          <t>NARROWS</t>
        </is>
      </c>
      <c r="D188" s="6">
        <f>IFERROR(IF(INDEX(Questions!$K$2:$K$300,MATCH(A188,Questions!$A$2:$A$300,0))&lt;&gt;"","Yes","No"),"?")</f>
        <v/>
      </c>
      <c r="E188" s="6">
        <f>IF(AND(D188="Yes",IFERROR(INDEX(Questions!$N$2:$N$300,MATCH(A188,Questions!$A$2:$A$300,0)),"")&lt;&gt;"REVIEWED"),"Yes","No")</f>
        <v/>
      </c>
      <c r="F188" s="6" t="n"/>
    </row>
    <row r="189">
      <c r="A189" s="6" t="inlineStr">
        <is>
          <t>Q-J30</t>
        </is>
      </c>
      <c r="B189" s="6" t="inlineStr">
        <is>
          <t>C-D08</t>
        </is>
      </c>
      <c r="C189" s="6" t="inlineStr">
        <is>
          <t>NARROWS</t>
        </is>
      </c>
      <c r="D189" s="6">
        <f>IFERROR(IF(INDEX(Questions!$K$2:$K$300,MATCH(A189,Questions!$A$2:$A$300,0))&lt;&gt;"","Yes","No"),"?")</f>
        <v/>
      </c>
      <c r="E189" s="6">
        <f>IF(AND(D189="Yes",IFERROR(INDEX(Questions!$N$2:$N$300,MATCH(A189,Questions!$A$2:$A$300,0)),"")&lt;&gt;"REVIEWED"),"Yes","No")</f>
        <v/>
      </c>
      <c r="F189" s="6" t="n"/>
    </row>
    <row r="190">
      <c r="A190" s="6" t="inlineStr">
        <is>
          <t>Q-J30</t>
        </is>
      </c>
      <c r="B190" s="6" t="inlineStr">
        <is>
          <t>N-29</t>
        </is>
      </c>
      <c r="C190" s="6" t="inlineStr">
        <is>
          <t>INFORMS</t>
        </is>
      </c>
      <c r="D190" s="6">
        <f>IFERROR(IF(INDEX(Questions!$K$2:$K$300,MATCH(A190,Questions!$A$2:$A$300,0))&lt;&gt;"","Yes","No"),"?")</f>
        <v/>
      </c>
      <c r="E190" s="6">
        <f>IF(AND(D190="Yes",IFERROR(INDEX(Questions!$N$2:$N$300,MATCH(A190,Questions!$A$2:$A$300,0)),"")&lt;&gt;"REVIEWED"),"Yes","No")</f>
        <v/>
      </c>
      <c r="F190" s="6" t="n"/>
    </row>
    <row r="191">
      <c r="A191" s="6" t="inlineStr">
        <is>
          <t>Q-J30</t>
        </is>
      </c>
      <c r="B191" s="6" t="inlineStr">
        <is>
          <t>N-6</t>
        </is>
      </c>
      <c r="C191" s="6" t="inlineStr">
        <is>
          <t>INFORMS</t>
        </is>
      </c>
      <c r="D191" s="6">
        <f>IFERROR(IF(INDEX(Questions!$K$2:$K$300,MATCH(A191,Questions!$A$2:$A$300,0))&lt;&gt;"","Yes","No"),"?")</f>
        <v/>
      </c>
      <c r="E191" s="6">
        <f>IF(AND(D191="Yes",IFERROR(INDEX(Questions!$N$2:$N$300,MATCH(A191,Questions!$A$2:$A$300,0)),"")&lt;&gt;"REVIEWED"),"Yes","No")</f>
        <v/>
      </c>
      <c r="F191"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C-R02/C10-13, N-28,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C-R01/C03, C-R01/C04, C-R01/C06, C-R01, C-R01/FIG2, C-R01/FIG2-POINTS, C-R01/R1TRIG, C-R01/RENDER, C-R01/V4-03-STALE, C-R03, C-R03/C20, C-R03/C21, C-R03/C22-RESID,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AS-14, AS-15,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N-29,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C-D13, C-D01, C-D05, C-D07, N-28,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C-D02, N-1, N-4, N-25, N-26, N-27, C-D03, C-E05, C-S16, C-X08, N-29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AS-14, AS-15,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2026-10-21T12:51:11Z</dcterms:modified>
</cp:coreProperties>
</file>