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'Ledger'!$A$1:$AL$230</definedName>
    <definedName name="_xlnm._FilterDatabase" localSheetId="4" hidden="1">'Archive'!$A$1:$AL$14</definedName>
    <definedName name="_xlnm._FilterDatabase" localSheetId="5" hidden="1">'Change log'!$A$1:$H$134</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242 unique rows (229 in Ledger, 13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178"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53" customHeight="1">
      <c r="A46" s="5" t="inlineStr">
        <is>
          <t>C-D06/NOVELTY</t>
        </is>
      </c>
      <c r="B46" s="6" t="inlineStr">
        <is>
          <t>Supervisor says the graph is 'your novelty': to be tested, not assumed</t>
        </is>
      </c>
      <c r="C46" s="6" t="inlineStr">
        <is>
          <t>OPEN</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Directed search (needs scope)</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REGISTER REQ-O14-07/16; v4-01 section 6 item 8</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90.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EXT-0124, EXT-0127;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228" customHeight="1">
      <c r="A73" s="5" t="inlineStr">
        <is>
          <t>N-5</t>
        </is>
      </c>
      <c r="B73" s="6" t="inlineStr">
        <is>
          <t>What does 'time-based cache charge' mean per provider?</t>
        </is>
      </c>
      <c r="C73" s="6" t="inlineStr">
        <is>
          <t>PARTLY ANSWERED</t>
        </is>
      </c>
      <c r="D73" s="6">
        <f>IFERROR(INDEX(Lists!$B$2:$B$14,MATCH(C73,Lists!$A$2:$A$14,0)),"?")</f>
        <v/>
      </c>
      <c r="E73" s="6">
        <f>IF(COUNTIFS(Links!$B$2:$B$600,A73,Links!$E$2:$E$600,"Yes")&gt;0,"REVISE","")</f>
        <v/>
      </c>
      <c r="F73" s="6">
        <f>COUNTIFS(Links!$B$2:$B$600,A73,Links!$D$2:$D$600,"No",Links!$C$2:$C$600,"&lt;&gt;INFORMS")</f>
        <v/>
      </c>
      <c r="G73" s="8" t="inlineStr">
        <is>
          <t>RECORDS-AT-HAND</t>
        </is>
      </c>
      <c r="H73" s="6" t="inlineStr">
        <is>
          <t>K15 Expiring provider facts</t>
        </is>
      </c>
      <c r="I73" s="6" t="inlineStr">
        <is>
          <t>G2 Before the affected pilot/arm</t>
        </is>
      </c>
      <c r="J73" s="6" t="inlineStr">
        <is>
          <t>High</t>
        </is>
      </c>
      <c r="K73" s="6" t="n">
        <v>72</v>
      </c>
      <c r="L73" s="6" t="inlineStr">
        <is>
          <t>W2 Desk work (no model runs)</t>
        </is>
      </c>
      <c r="M73" s="6" t="inlineStr">
        <is>
          <t>S10</t>
        </is>
      </c>
      <c r="N73" s="6" t="inlineStr">
        <is>
          <t>Lead</t>
        </is>
      </c>
      <c r="O73" s="6" t="inlineStr">
        <is>
          <t>Lead drafts the fix; you approve</t>
        </is>
      </c>
      <c r="P73" s="6" t="inlineStr">
        <is>
          <t>Answered (see basis)</t>
        </is>
      </c>
      <c r="Q73" s="6" t="inlineStr">
        <is>
          <t>Record fix</t>
        </is>
      </c>
      <c r="R73" s="6" t="inlineStr">
        <is>
          <t>Item</t>
        </is>
      </c>
      <c r="S73" s="6" t="inlineStr"/>
      <c r="T7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73" s="6" t="inlineStr">
        <is>
          <t>From the stored, dated vendor pages (retrieved 2026-10-11): Anthropic range read shows a 5-minute default lifetime ('ephemeral') (EXT-0115); Bedrock: TTL 5 minutes on many models, reset on each hit (EXT-0137); OpenAI: GPT-5.6 and later 30m TTL; earlier models in_memory (about 5-10 minutes, up to one hour) and 24h (EXT-0142). No hourly or storage charge appears in any of the nine page ranges read (EXT-0115, 0123, 0131, 0137, 0141-0145); the Gemini hourly storage price rests on the pricing page (EXT-0089) and is not corroborated by r4-gemini-caching lines 340-380. Anthropic's 1-hour option and write premium come from the pricing page (EXT-0085). Joaa's '1/10 of input token for an hour' therefore matches the Gemini pricing page and the 0.1x read multiplier on older Anthropic/OpenAI models; other models and providers differ, and a live recheck is C-E05.</t>
        </is>
      </c>
      <c r="V73" s="6" t="inlineStr">
        <is>
          <t>Table checked against a live recheck (C-E05) and the unread caching pages; then closed as a dated fact.</t>
        </is>
      </c>
      <c r="W73" s="6" t="inlineStr"/>
      <c r="X73" s="6" t="inlineStr">
        <is>
          <t>C-D02</t>
        </is>
      </c>
      <c r="Y73" s="6" t="inlineStr">
        <is>
          <t>Q-J24, Q-J26, Q-U08, Q-U21</t>
        </is>
      </c>
      <c r="Z73" s="6" t="inlineStr">
        <is>
          <t>TIME-RECHECK</t>
        </is>
      </c>
      <c r="AA73" s="6" t="inlineStr">
        <is>
          <t>K2 Objective &amp; accounting</t>
        </is>
      </c>
      <c r="AB73" s="6" t="inlineStr"/>
      <c r="AC73" s="6" t="inlineStr">
        <is>
          <t>n/a (new)</t>
        </is>
      </c>
      <c r="AD73" s="6" t="inlineStr">
        <is>
          <t>NEW</t>
        </is>
      </c>
      <c r="AE73" s="6" t="inlineStr">
        <is>
          <t>2026-10-19</t>
        </is>
      </c>
      <c r="AF73" s="6" t="inlineStr">
        <is>
          <t>FND-0008 (findings/SUM-0010); EXT-0085, EXT-0089, EXT-0115, EXT-0137, EXT-0142; Supervisor statements S-J-001</t>
        </is>
      </c>
      <c r="AG73" s="6" t="inlineStr"/>
      <c r="AH73" s="6" t="inlineStr">
        <is>
          <t>No</t>
        </is>
      </c>
      <c r="AI73" s="6" t="inlineStr"/>
      <c r="AJ73" s="6" t="inlineStr">
        <is>
          <t>Review 19 Oct (section 5)</t>
        </is>
      </c>
      <c r="AK73" s="6" t="inlineStr">
        <is>
          <t>Joaa 19 Oct 12:15 (1/10 for an hour)</t>
        </is>
      </c>
      <c r="AL73" s="6" t="inlineStr">
        <is>
          <t>S10</t>
        </is>
      </c>
    </row>
    <row r="74" ht="153" customHeight="1">
      <c r="A74" s="5" t="inlineStr">
        <is>
          <t>N-5/UNREAD</t>
        </is>
      </c>
      <c r="B74" s="6" t="inlineStr">
        <is>
          <t>MCP caching spec (2026-07-28), Bedrock caching page, Gemini caching page: stored but unread</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K15 Expiring provider facts</t>
        </is>
      </c>
      <c r="I74" s="6" t="inlineStr">
        <is>
          <t>G2 Before the affected pilot/arm</t>
        </is>
      </c>
      <c r="J74" s="6" t="inlineStr">
        <is>
          <t>High</t>
        </is>
      </c>
      <c r="K74" s="6" t="n">
        <v>73</v>
      </c>
      <c r="L74" s="6" t="inlineStr">
        <is>
          <t>W2 Desk work (no model runs)</t>
        </is>
      </c>
      <c r="M74" s="6" t="inlineStr">
        <is>
          <t>S10</t>
        </is>
      </c>
      <c r="N74" s="6" t="inlineStr">
        <is>
          <t>Lead</t>
        </is>
      </c>
      <c r="O74" s="6" t="inlineStr">
        <is>
          <t>Read the rest of the Bedrock and Gemini caching pages only if a claim needs them</t>
        </is>
      </c>
      <c r="P74" s="6" t="inlineStr">
        <is>
          <t>Yes - stored text, unread</t>
        </is>
      </c>
      <c r="Q74" s="6" t="inlineStr">
        <is>
          <t>Source check</t>
        </is>
      </c>
      <c r="R74" s="6" t="inlineStr">
        <is>
          <t>Sub-item</t>
        </is>
      </c>
      <c r="S74" s="6" t="inlineStr">
        <is>
          <t>N-5</t>
        </is>
      </c>
      <c r="T74" s="6" t="inlineStr">
        <is>
          <t>v4-04 section 7 lists the MCP caching specification of 2026-07-28 and the Bedrock page as unread; sources.json stores r4-mcp-caching-2026-07-28 (177 lines), r4-bedrock-prompt-caching (37 KB) and r4-gemini-caching (6 KB).</t>
        </is>
      </c>
      <c r="U74" s="6" t="inlineStr">
        <is>
          <t>The MCP caching spec (2026-07-28) was read in full: tools/list is a cacheable result with `ttlMs` and `cacheScope` hints ('public' for lists identical for all users, 'private' for per-user filtered lists); a list_changed notification invalidates the cache; it makes no statement about model token caching (EXT-0143). Bedrock lines 55-85 (checkpoints, minimum 512-4,096 tokens, TTL) and Gemini lines 340-380 (implicit caching, minimum input tokens) were read (EXT-0137, EXT-0141); the rest of those two pages (Gemini explicit caching, Bedrock pricing/regions) is unread.</t>
        </is>
      </c>
      <c r="V74" s="6" t="inlineStr">
        <is>
          <t>Passages on caching read and added to the dated provider table.</t>
        </is>
      </c>
      <c r="W74" s="6" t="inlineStr"/>
      <c r="X74" s="6" t="inlineStr"/>
      <c r="Y74" s="6" t="inlineStr"/>
      <c r="Z74" s="6" t="inlineStr"/>
      <c r="AA74" s="6" t="inlineStr"/>
      <c r="AB74" s="6" t="inlineStr">
        <is>
          <t>SOURCE</t>
        </is>
      </c>
      <c r="AC74" s="6" t="inlineStr">
        <is>
          <t>n/a (sub-item)</t>
        </is>
      </c>
      <c r="AD74" s="6" t="inlineStr">
        <is>
          <t>NEW (repo sweep)</t>
        </is>
      </c>
      <c r="AE74" s="6" t="inlineStr">
        <is>
          <t>2026-10-19</t>
        </is>
      </c>
      <c r="AF74" s="6" t="inlineStr">
        <is>
          <t>FND-0008 (findings/SUM-0010); EXT-0137, EXT-0141, EXT-0143</t>
        </is>
      </c>
      <c r="AG74" s="6" t="inlineStr"/>
      <c r="AH74" s="6" t="inlineStr">
        <is>
          <t>No</t>
        </is>
      </c>
      <c r="AI74" s="6" t="inlineStr"/>
      <c r="AJ74" s="6" t="inlineStr">
        <is>
          <t>repo: v4-04 section 7; sources.json</t>
        </is>
      </c>
      <c r="AK74" s="6" t="inlineStr"/>
      <c r="AL74" s="6" t="inlineStr">
        <is>
          <t>S10</t>
        </is>
      </c>
    </row>
    <row r="75" ht="65.5" customHeight="1">
      <c r="A75" s="5" t="inlineStr">
        <is>
          <t>C-E05</t>
        </is>
      </c>
      <c r="B75" s="6" t="inlineStr">
        <is>
          <t>Provider prices and implementation change; the repo's price evidence is dated 2026-10-11 (SRC-11 reports a ...</t>
        </is>
      </c>
      <c r="C75" s="6" t="inlineStr">
        <is>
          <t>OPEN</t>
        </is>
      </c>
      <c r="D75" s="6">
        <f>IFERROR(INDEX(Lists!$B$2:$B$14,MATCH(C75,Lists!$A$2:$A$14,0)),"?")</f>
        <v/>
      </c>
      <c r="E75" s="6">
        <f>IF(COUNTIFS(Links!$B$2:$B$600,A75,Links!$E$2:$E$600,"Yes")&gt;0,"REVISE","")</f>
        <v/>
      </c>
      <c r="F75" s="6">
        <f>COUNTIFS(Links!$B$2:$B$600,A75,Links!$D$2:$D$600,"No",Links!$C$2:$C$600,"&lt;&gt;INFORMS")</f>
        <v/>
      </c>
      <c r="G75" s="15" t="inlineStr">
        <is>
          <t>TIME-RECHECK</t>
        </is>
      </c>
      <c r="H75" s="6" t="inlineStr">
        <is>
          <t>K15 Expiring provider facts</t>
        </is>
      </c>
      <c r="I75" s="6" t="inlineStr">
        <is>
          <t>G2 Before the affected pilot/arm</t>
        </is>
      </c>
      <c r="J75" s="6" t="inlineStr">
        <is>
          <t>High</t>
        </is>
      </c>
      <c r="K75" s="6" t="n">
        <v>74</v>
      </c>
      <c r="L75" s="6" t="inlineStr">
        <is>
          <t>W2 Desk work (no model runs)</t>
        </is>
      </c>
      <c r="M75" s="6" t="inlineStr">
        <is>
          <t>S10</t>
        </is>
      </c>
      <c r="N75" s="6" t="inlineStr">
        <is>
          <t>Lead (web) with a dated table</t>
        </is>
      </c>
      <c r="O75" s="6" t="inlineStr">
        <is>
          <t>Recheck at the time of use</t>
        </is>
      </c>
      <c r="P75" s="6" t="inlineStr">
        <is>
          <t>Partly</t>
        </is>
      </c>
      <c r="Q75" s="6" t="inlineStr">
        <is>
          <t>Source check</t>
        </is>
      </c>
      <c r="R75" s="6" t="inlineStr">
        <is>
          <t>Item</t>
        </is>
      </c>
      <c r="S75" s="6" t="inlineStr"/>
      <c r="T75" s="6" t="inlineStr">
        <is>
          <t>Provider prices and implementation change; the repo's price evidence is dated 2026-10-11 (SRC-11 reports a 17-18 Oct check).</t>
        </is>
      </c>
      <c r="U75" s="6" t="inlineStr">
        <is>
          <t>Stored provider pages (EXT-0085..0089) are vendor text eight days old; no live recheck; Gemini storage price changes on 2027-01-01.</t>
        </is>
      </c>
      <c r="V75" s="6" t="inlineStr">
        <is>
          <t>A dated price table now (before Pilot A); repeat at step S24 before any current-price claim, because prices expire.</t>
        </is>
      </c>
      <c r="W75" s="6" t="inlineStr">
        <is>
          <t>N-5, C-D02</t>
        </is>
      </c>
      <c r="X75" s="6" t="inlineStr"/>
      <c r="Y75" s="6" t="inlineStr">
        <is>
          <t>Q-J03, Q-J24, Q-U21</t>
        </is>
      </c>
      <c r="Z75" s="6" t="inlineStr">
        <is>
          <t>SOURCE-REREAD</t>
        </is>
      </c>
      <c r="AA75" s="6" t="inlineStr">
        <is>
          <t>K9 Cache &amp; billing</t>
        </is>
      </c>
      <c r="AB75" s="6" t="inlineStr">
        <is>
          <t>TIME+SOURCE</t>
        </is>
      </c>
      <c r="AC75" s="6" t="inlineStr">
        <is>
          <t>BOUNDARY - OPEN</t>
        </is>
      </c>
      <c r="AD75" s="6" t="inlineStr">
        <is>
          <t>UNCHANGED</t>
        </is>
      </c>
      <c r="AE75" s="6" t="inlineStr">
        <is>
          <t>2026-10-19</t>
        </is>
      </c>
      <c r="AF75" s="6" t="inlineStr">
        <is>
          <t>EXT-0085..0089</t>
        </is>
      </c>
      <c r="AG75" s="6" t="inlineStr">
        <is>
          <t>Before any current-price claim, and whenever a provider/model is chosen or the bill becomes the objective</t>
        </is>
      </c>
      <c r="AH75" s="6" t="inlineStr">
        <is>
          <t>No (AUTH-016 covers web fetches for this item)</t>
        </is>
      </c>
      <c r="AI75" s="6" t="inlineStr"/>
      <c r="AJ75" s="6" t="inlineStr">
        <is>
          <t>SRC-11 canonical</t>
        </is>
      </c>
      <c r="AK75" s="6" t="inlineStr">
        <is>
          <t>SRC-07 31</t>
        </is>
      </c>
      <c r="AL75" s="6" t="inlineStr">
        <is>
          <t>S10</t>
        </is>
      </c>
    </row>
    <row r="76" ht="203" customHeight="1">
      <c r="A76" s="5" t="inlineStr">
        <is>
          <t>AS-07</t>
        </is>
      </c>
      <c r="B76" s="6" t="inlineStr">
        <is>
          <t>Supervisor assertion A7: 'Executor' exposes connection prefixes and meta-tools (tool search, details, results) instead of listing all tools</t>
        </is>
      </c>
      <c r="C76" s="6" t="inlineStr">
        <is>
          <t>PARTLY ANSWERED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75</v>
      </c>
      <c r="L76" s="6" t="inlineStr">
        <is>
          <t>W2 Desk work (no model runs)</t>
        </is>
      </c>
      <c r="M76" s="6" t="inlineStr">
        <is>
          <t>S11</t>
        </is>
      </c>
      <c r="N76" s="6" t="inlineStr">
        <is>
          <t>Lead / team</t>
        </is>
      </c>
      <c r="O76" s="6" t="inlineStr">
        <is>
          <t>Read the remaining README ranges and the proxy default mode if it matters; identity question stays with Joaa (Q-J16)</t>
        </is>
      </c>
      <c r="P76" s="6" t="inlineStr">
        <is>
          <t>Yes - stored text, unread</t>
        </is>
      </c>
      <c r="Q76" s="6" t="inlineStr">
        <is>
          <t>Claim to test</t>
        </is>
      </c>
      <c r="R76" s="6" t="inlineStr">
        <is>
          <t>Item</t>
        </is>
      </c>
      <c r="S76" s="6" t="inlineStr"/>
      <c r="T76" s="6" t="inlineStr">
        <is>
          <t>REQ-A1 A7: 'Executor' exposes connection prefixes and meta-tools (tool search, details, results) instead of listing all tools. Product identity and behaviour must be checked at source; Executor docs/code are stored (r4-executor-*).</t>
        </is>
      </c>
      <c r="U76" s="6" t="inlineStr">
        <is>
          <t>Stored Executor texts: the `execute` tool description lists connected integration slugs only ('names only', 'no per-connection prefixes and no descriptions', capped at 50) and points to a `skills` tool for the workflow (EXT-0127); a 'Search and invoke' mode (?mode=passthrough) exposes four tools: integrations, skills, search, invoke ('Input schemas are loaded only for matching search results'; 'This mode does not expose a general code execution tool') (EXT-0124); the README shows CLI search and call commands (EXT-0120). No meta-tools named 'details' or 'results' appear in the ranges read; `search` returns input schemas. The default (non-passthrough) mode's tool list is not stated in the range read. README lines 61-114 and 136-253 are unread.</t>
        </is>
      </c>
      <c r="V76" s="6" t="inlineStr">
        <is>
          <t>Product identity and behaviour must be checked at source; Executor docs/code are stored (r4-executor-*).</t>
        </is>
      </c>
      <c r="W76" s="6" t="inlineStr"/>
      <c r="X76" s="6" t="inlineStr"/>
      <c r="Y76" s="6" t="inlineStr">
        <is>
          <t>Q-J16</t>
        </is>
      </c>
      <c r="Z76" s="6" t="inlineStr"/>
      <c r="AA76" s="6" t="inlineStr"/>
      <c r="AB76" s="6" t="inlineStr">
        <is>
          <t>SOURCE</t>
        </is>
      </c>
      <c r="AC76" s="6" t="inlineStr">
        <is>
          <t>n/a (REGISTER E)</t>
        </is>
      </c>
      <c r="AD76" s="6" t="inlineStr">
        <is>
          <t>NEW (repo sweep)</t>
        </is>
      </c>
      <c r="AE76" s="6" t="inlineStr">
        <is>
          <t>2026-10-19</t>
        </is>
      </c>
      <c r="AF76" s="6" t="inlineStr">
        <is>
          <t>FND-0010 (findings/SUM-0012); EXT-0118, EXT-0120, EXT-0124, EXT-0127</t>
        </is>
      </c>
      <c r="AG76" s="6" t="inlineStr"/>
      <c r="AH76" s="6" t="inlineStr">
        <is>
          <t>No</t>
        </is>
      </c>
      <c r="AI76" s="6" t="inlineStr"/>
      <c r="AJ76" s="6" t="inlineStr">
        <is>
          <t>repo: REGISTER section E / EXT-0004</t>
        </is>
      </c>
      <c r="AK76" s="6" t="inlineStr">
        <is>
          <t>REQ-A1 A7</t>
        </is>
      </c>
      <c r="AL76" s="6" t="inlineStr">
        <is>
          <t>S11</t>
        </is>
      </c>
    </row>
    <row r="77" ht="53" customHeight="1">
      <c r="A77" s="5" t="inlineStr">
        <is>
          <t>C-E01</t>
        </is>
      </c>
      <c r="B77" s="6" t="inlineStr">
        <is>
          <t>Ten disputed or unverified paper/vendor claims and propagation defects (e.g., the 292K flat-catalogue figure).</t>
        </is>
      </c>
      <c r="C77" s="6" t="inlineStr">
        <is>
          <t>PARTLY ANSWERED</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76</v>
      </c>
      <c r="L77" s="6" t="inlineStr">
        <is>
          <t>W2 Desk work (no model runs)</t>
        </is>
      </c>
      <c r="M77" s="6" t="inlineStr">
        <is>
          <t>S11</t>
        </is>
      </c>
      <c r="N77" s="6" t="inlineStr">
        <is>
          <t>Lead + steward (authors for table conflicts)</t>
        </is>
      </c>
      <c r="O77" s="6" t="inlineStr">
        <is>
          <t>Read the stored text first (tools/origin_extract.py)</t>
        </is>
      </c>
      <c r="P77" s="6" t="inlineStr">
        <is>
          <t>Yes - stored text, unread</t>
        </is>
      </c>
      <c r="Q77" s="6" t="inlineStr">
        <is>
          <t>Source check</t>
        </is>
      </c>
      <c r="R77" s="6" t="inlineStr">
        <is>
          <t>Item</t>
        </is>
      </c>
      <c r="S77" s="6" t="inlineStr"/>
      <c r="T77" s="6" t="inlineStr">
        <is>
          <t>Ten disputed or unverified paper/vendor claims and propagation defects (e.g., the 292K flat-catalogue figure).</t>
        </is>
      </c>
      <c r="U77" s="6" t="inlineStr">
        <is>
          <t>One sub-claim (292K figure) traced to the benchmark repo's development document, not the paper (v4-03 section 2); the others concern the Phase 1 dossier outside the repo.</t>
        </is>
      </c>
      <c r="V77" s="6" t="inlineStr">
        <is>
          <t>Original versions/tables opened; derivative claims corrected; unreplicable vendor data labelled.</t>
        </is>
      </c>
      <c r="W77" s="6" t="inlineStr"/>
      <c r="X77" s="6" t="inlineStr">
        <is>
          <t>C-D01, C-D08</t>
        </is>
      </c>
      <c r="Y77" s="6" t="inlineStr"/>
      <c r="Z77" s="6" t="inlineStr">
        <is>
          <t>AUTHOR-OR-VENDOR, RECORDS-AT-HAND</t>
        </is>
      </c>
      <c r="AA77" s="6" t="inlineStr"/>
      <c r="AB77" s="6" t="inlineStr">
        <is>
          <t>SOURCE+RECORD+AUTHOR</t>
        </is>
      </c>
      <c r="AC77" s="6" t="inlineStr">
        <is>
          <t>OPEN</t>
        </is>
      </c>
      <c r="AD77" s="6" t="inlineStr">
        <is>
          <t>NARROWED</t>
        </is>
      </c>
      <c r="AE77" s="6" t="inlineStr">
        <is>
          <t>2026-10-19</t>
        </is>
      </c>
      <c r="AF77" s="6" t="inlineStr">
        <is>
          <t>v4-03 section 2; EXT-0084</t>
        </is>
      </c>
      <c r="AG77" s="6" t="inlineStr"/>
      <c r="AH77" s="6" t="inlineStr">
        <is>
          <t>No (AUTH-016 covers web fetches for this item)</t>
        </is>
      </c>
      <c r="AI77" s="6" t="inlineStr"/>
      <c r="AJ77" s="6" t="inlineStr">
        <is>
          <t>SRC-11 canonical</t>
        </is>
      </c>
      <c r="AK77" s="6" t="inlineStr">
        <is>
          <t>SRC-06 E01-E10</t>
        </is>
      </c>
      <c r="AL77" s="6" t="inlineStr">
        <is>
          <t>S11</t>
        </is>
      </c>
    </row>
    <row r="78" ht="215.5" customHeight="1">
      <c r="A78" s="5" t="inlineStr">
        <is>
          <t>C-E01/E01</t>
        </is>
      </c>
      <c r="B78" s="6" t="inlineStr">
        <is>
          <t>fcrobust BFCL range disputed; table not rendered</t>
        </is>
      </c>
      <c r="C78" s="6" t="inlineStr">
        <is>
          <t>PARTLY ANSWERED</t>
        </is>
      </c>
      <c r="D78" s="6">
        <f>IFERROR(INDEX(Lists!$B$2:$B$14,MATCH(C78,Lists!$A$2:$A$14,0)),"?")</f>
        <v/>
      </c>
      <c r="E78" s="6">
        <f>IF(COUNTIFS(Links!$B$2:$B$600,A78,Links!$E$2:$E$600,"Yes")&gt;0,"REVISE","")</f>
        <v/>
      </c>
      <c r="F78" s="6">
        <f>COUNTIFS(Links!$B$2:$B$600,A78,Links!$D$2:$D$600,"No",Links!$C$2:$C$600,"&lt;&gt;INFORMS")</f>
        <v/>
      </c>
      <c r="G78" s="14" t="inlineStr">
        <is>
          <t>SOURCE-REREAD</t>
        </is>
      </c>
      <c r="H78" s="6" t="inlineStr">
        <is>
          <t>K14 Source &amp; vendor verification</t>
        </is>
      </c>
      <c r="I78" s="6" t="inlineStr">
        <is>
          <t>G4 Before claims</t>
        </is>
      </c>
      <c r="J78" s="6" t="inlineStr">
        <is>
          <t>Normal</t>
        </is>
      </c>
      <c r="K78" s="6" t="n">
        <v>77</v>
      </c>
      <c r="L78" s="6" t="inlineStr">
        <is>
          <t>W2 Desk work (no model runs)</t>
        </is>
      </c>
      <c r="M78" s="6" t="inlineStr">
        <is>
          <t>S11</t>
        </is>
      </c>
      <c r="N78" s="6" t="inlineStr">
        <is>
          <t>Lead + steward</t>
        </is>
      </c>
      <c r="O78" s="6" t="inlineStr">
        <is>
          <t>Fetch the PDF page (AUTH-016) to recover the model-to-row mapping and the row-6 value; or ask the authors</t>
        </is>
      </c>
      <c r="P78" s="6" t="inlineStr">
        <is>
          <t>Yes - stored text, unread</t>
        </is>
      </c>
      <c r="Q78" s="6" t="inlineStr">
        <is>
          <t>Source check</t>
        </is>
      </c>
      <c r="R78" s="6" t="inlineStr">
        <is>
          <t>Sub-item</t>
        </is>
      </c>
      <c r="S78" s="6" t="inlineStr">
        <is>
          <t>C-E01</t>
        </is>
      </c>
      <c r="T78" s="6" t="inlineStr">
        <is>
          <t>SRC-06 E01: the fcrobust (arXiv 2504.00914) BFCL range is disputed and the original table was not rendered.</t>
        </is>
      </c>
      <c r="U78" s="6" t="inlineStr">
        <is>
          <t>Stored text of fcrobust (arXiv 2504.00914) is readable. Measure: AST accuracy averaged over 200 BFCL examples in three conditions (original; original toolkit with a rephrased query; expanded toolkit with the original query; mean tools per case 5.6 expanded vs 2.7 original). Printed relative drops: rephrased query -8% to -19%; expanded toolkit -1% to -8%; printed AST accuracies original 0.905-0.975, rephrased 0.765-0.850, expanded 0.870-0.965 (EXT-0125, EXT-0128). Lines 145-146 are qualitative ('a notable drop'); the 70-90% parameter-value-mismatch figure belongs to the rephrased-query condition. Model names are printed detached from the rows, so the row-to-model mapping cannot be recovered from the text. The ledger wording 'original table not rendered' is not right: the numeric cells are present but ragged.</t>
        </is>
      </c>
      <c r="V78" s="6" t="inlineStr">
        <is>
          <t>Table located in the stored text and the range/condition corrected.</t>
        </is>
      </c>
      <c r="W78" s="6" t="inlineStr"/>
      <c r="X78" s="6" t="inlineStr"/>
      <c r="Y78" s="6" t="inlineStr"/>
      <c r="Z78" s="6" t="inlineStr"/>
      <c r="AA78" s="6" t="inlineStr"/>
      <c r="AB78" s="6" t="inlineStr">
        <is>
          <t>SOURCE</t>
        </is>
      </c>
      <c r="AC78" s="6" t="inlineStr">
        <is>
          <t>n/a (sub-item)</t>
        </is>
      </c>
      <c r="AD78" s="6" t="inlineStr">
        <is>
          <t>NEW (SRC-11 sub-row)</t>
        </is>
      </c>
      <c r="AE78" s="6" t="inlineStr">
        <is>
          <t>2026-10-19</t>
        </is>
      </c>
      <c r="AF78" s="6" t="inlineStr">
        <is>
          <t>FND-0009 (findings/SUM-0011); EXT-0125, EXT-0128</t>
        </is>
      </c>
      <c r="AG78" s="6" t="inlineStr"/>
      <c r="AH78" s="6" t="inlineStr">
        <is>
          <t>No (AUTH-016 covers web fetches for this item)</t>
        </is>
      </c>
      <c r="AI78" s="6" t="inlineStr"/>
      <c r="AJ78" s="6" t="inlineStr">
        <is>
          <t>SRC-11 section D1</t>
        </is>
      </c>
      <c r="AK78" s="6" t="inlineStr">
        <is>
          <t>SRC-06 E01</t>
        </is>
      </c>
      <c r="AL78" s="6" t="inlineStr">
        <is>
          <t>S11</t>
        </is>
      </c>
    </row>
    <row r="79" ht="78" customHeight="1">
      <c r="A79" s="5" t="inlineStr">
        <is>
          <t>C-E01/E01-ROW6</t>
        </is>
      </c>
      <c r="B79" s="6" t="inlineStr">
        <is>
          <t>fcrobust Table 2 row 6 prints -11% / -2% but its own values recompute to -17.3% / -5.9%</t>
        </is>
      </c>
      <c r="C79" s="6" t="inlineStr">
        <is>
          <t>OPEN</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78</v>
      </c>
      <c r="L79" s="6" t="inlineStr">
        <is>
          <t>W2 Desk work (no model runs)</t>
        </is>
      </c>
      <c r="M79" s="6" t="inlineStr">
        <is>
          <t>S11</t>
        </is>
      </c>
      <c r="N79" s="6" t="inlineStr">
        <is>
          <t>Lead + steward (authors if the PDF does not resolve it)</t>
        </is>
      </c>
      <c r="O79" s="6" t="inlineStr">
        <is>
          <t>Fetch the PDF page (AUTH-016) to check row 6; else ask the authors</t>
        </is>
      </c>
      <c r="P79" s="6" t="inlineStr">
        <is>
          <t>Partly</t>
        </is>
      </c>
      <c r="Q79" s="6" t="inlineStr">
        <is>
          <t>Source check</t>
        </is>
      </c>
      <c r="R79" s="6" t="inlineStr">
        <is>
          <t>Sub-item</t>
        </is>
      </c>
      <c r="S79" s="6" t="inlineStr">
        <is>
          <t>C-E01/E01</t>
        </is>
      </c>
      <c r="T79"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79" s="6" t="inlineStr">
        <is>
          <t>Two rows with identical absolute values print different percentages; the stored text cannot say which is right (model names are printed detached from the rows).</t>
        </is>
      </c>
      <c r="V79" s="6" t="inlineStr">
        <is>
          <t>PDF page rendered or authors answer; the printed percentage or values corrected in any quote.</t>
        </is>
      </c>
      <c r="W79" s="6" t="inlineStr"/>
      <c r="X79" s="6" t="inlineStr"/>
      <c r="Y79" s="6" t="inlineStr"/>
      <c r="Z79" s="6" t="inlineStr">
        <is>
          <t>AUTHOR-OR-VENDOR</t>
        </is>
      </c>
      <c r="AA79" s="6" t="inlineStr"/>
      <c r="AB79" s="6" t="inlineStr">
        <is>
          <t>SOURCE+AUTHOR</t>
        </is>
      </c>
      <c r="AC79" s="6" t="inlineStr">
        <is>
          <t>n/a (sub-item)</t>
        </is>
      </c>
      <c r="AD79" s="6" t="inlineStr">
        <is>
          <t>NEW (repo sweep)</t>
        </is>
      </c>
      <c r="AE79" s="6" t="inlineStr">
        <is>
          <t>2026-10-19</t>
        </is>
      </c>
      <c r="AF79" s="6" t="inlineStr">
        <is>
          <t>FND-0009 (findings/SUM-0011); EXT-0128 (lead recomputed 0.765/0.925 and 0.870/0.925)</t>
        </is>
      </c>
      <c r="AG79" s="6" t="inlineStr"/>
      <c r="AH79" s="6" t="inlineStr">
        <is>
          <t>No (AUTH-016 covers web fetches for this item)</t>
        </is>
      </c>
      <c r="AI79" s="6" t="inlineStr"/>
      <c r="AJ79" s="6" t="inlineStr">
        <is>
          <t>Batch 1b steward finding (FND-0009), verified by the lead</t>
        </is>
      </c>
      <c r="AK79" s="6" t="inlineStr"/>
      <c r="AL79" s="6" t="inlineStr">
        <is>
          <t>S11</t>
        </is>
      </c>
    </row>
    <row r="80" ht="53" customHeight="1">
      <c r="A80" s="5" t="inlineStr">
        <is>
          <t>C-E01/E02</t>
        </is>
      </c>
      <c r="B80" s="6" t="inlineStr">
        <is>
          <t>Toollery replay library, selector comparability, pricing protocol unstated</t>
        </is>
      </c>
      <c r="C80" s="6" t="inlineStr">
        <is>
          <t>NOT LOCATED</t>
        </is>
      </c>
      <c r="D80" s="6">
        <f>IFERROR(INDEX(Lists!$B$2:$B$14,MATCH(C80,Lists!$A$2:$A$14,0)),"?")</f>
        <v/>
      </c>
      <c r="E80" s="6">
        <f>IF(COUNTIFS(Links!$B$2:$B$600,A80,Links!$E$2:$E$600,"Yes")&gt;0,"REVISE","")</f>
        <v/>
      </c>
      <c r="F80" s="6">
        <f>COUNTIFS(Links!$B$2:$B$600,A80,Links!$D$2:$D$600,"No",Links!$C$2:$C$600,"&lt;&gt;INFORMS")</f>
        <v/>
      </c>
      <c r="G80" s="16" t="inlineStr">
        <is>
          <t>AUTHOR-OR-VENDOR</t>
        </is>
      </c>
      <c r="H80" s="6" t="inlineStr">
        <is>
          <t>K14 Source &amp; vendor verification</t>
        </is>
      </c>
      <c r="I80" s="6" t="inlineStr">
        <is>
          <t>G4 Before claims</t>
        </is>
      </c>
      <c r="J80" s="6" t="inlineStr">
        <is>
          <t>Normal</t>
        </is>
      </c>
      <c r="K80" s="6" t="n">
        <v>79</v>
      </c>
      <c r="L80" s="6" t="inlineStr">
        <is>
          <t>W2 Desk work (no model runs)</t>
        </is>
      </c>
      <c r="M80" s="6" t="inlineStr">
        <is>
          <t>S11</t>
        </is>
      </c>
      <c r="N80" s="6" t="inlineStr">
        <is>
          <t>Authors</t>
        </is>
      </c>
      <c r="O80" s="6" t="inlineStr">
        <is>
          <t>Ask once, set a reply date</t>
        </is>
      </c>
      <c r="P80" s="6" t="inlineStr">
        <is>
          <t>Partly</t>
        </is>
      </c>
      <c r="Q80" s="6" t="inlineStr">
        <is>
          <t>Source check</t>
        </is>
      </c>
      <c r="R80" s="6" t="inlineStr">
        <is>
          <t>Sub-item</t>
        </is>
      </c>
      <c r="S80" s="6" t="inlineStr">
        <is>
          <t>C-E01</t>
        </is>
      </c>
      <c r="T80" s="6" t="inlineStr">
        <is>
          <t>SRC-06 E02: Toollery's replay library, selector comparability and pricing protocol are unstated in the stored text.</t>
        </is>
      </c>
      <c r="U80" s="6" t="inlineStr">
        <is>
          <t>The repo confirms the stored text lacks them; the fitted multiplier is treated as study-specific.</t>
        </is>
      </c>
      <c r="V80" s="6" t="inlineStr">
        <is>
          <t>Authors answer, or 'not provided' recorded and the number labelled study-specific.</t>
        </is>
      </c>
      <c r="W80" s="6" t="inlineStr"/>
      <c r="X80" s="6" t="inlineStr"/>
      <c r="Y80" s="6" t="inlineStr"/>
      <c r="Z80" s="6" t="inlineStr"/>
      <c r="AA80" s="6" t="inlineStr"/>
      <c r="AB80" s="6" t="inlineStr">
        <is>
          <t>SOURCE+AUTHOR</t>
        </is>
      </c>
      <c r="AC80" s="6" t="inlineStr">
        <is>
          <t>n/a (sub-item)</t>
        </is>
      </c>
      <c r="AD80" s="6" t="inlineStr">
        <is>
          <t>NEW (SRC-11 sub-row)</t>
        </is>
      </c>
      <c r="AE80" s="6" t="inlineStr">
        <is>
          <t>2026-10-19</t>
        </is>
      </c>
      <c r="AF80" s="6" t="inlineStr">
        <is>
          <t>v3-01 section 5: 'the model, pricing and candidate-list construction are not in the stored text'; sources.json s4b-wd-toollery</t>
        </is>
      </c>
      <c r="AG80" s="6" t="inlineStr"/>
      <c r="AH80" s="6" t="inlineStr">
        <is>
          <t>No (AUTH-016 covers web fetches for this item)</t>
        </is>
      </c>
      <c r="AI80" s="6" t="inlineStr"/>
      <c r="AJ80" s="6" t="inlineStr">
        <is>
          <t>SRC-11 section D1</t>
        </is>
      </c>
      <c r="AK80" s="6" t="inlineStr">
        <is>
          <t>SRC-06 E02</t>
        </is>
      </c>
      <c r="AL80" s="6" t="inlineStr">
        <is>
          <t>S11</t>
        </is>
      </c>
    </row>
    <row r="81" ht="190.5" customHeight="1">
      <c r="A81" s="5" t="inlineStr">
        <is>
          <t>C-E01/E03</t>
        </is>
      </c>
      <c r="B81" s="6" t="inlineStr">
        <is>
          <t>DynamicMCPBench ~292K flat-catalogue figure unverified</t>
        </is>
      </c>
      <c r="C81" s="6" t="inlineStr">
        <is>
          <t>PARTLY ANSWERED</t>
        </is>
      </c>
      <c r="D81" s="6">
        <f>IFERROR(INDEX(Lists!$B$2:$B$14,MATCH(C81,Lists!$A$2:$A$14,0)),"?")</f>
        <v/>
      </c>
      <c r="E81" s="6">
        <f>IF(COUNTIFS(Links!$B$2:$B$600,A81,Links!$E$2:$E$600,"Yes")&gt;0,"REVISE","")</f>
        <v/>
      </c>
      <c r="F81" s="6">
        <f>COUNTIFS(Links!$B$2:$B$600,A81,Links!$D$2:$D$600,"No",Links!$C$2:$C$600,"&lt;&gt;INFORMS")</f>
        <v/>
      </c>
      <c r="G81" s="14" t="inlineStr">
        <is>
          <t>SOURCE-REREAD</t>
        </is>
      </c>
      <c r="H81" s="6" t="inlineStr">
        <is>
          <t>K14 Source &amp; vendor verification</t>
        </is>
      </c>
      <c r="I81" s="6" t="inlineStr">
        <is>
          <t>G4 Before claims</t>
        </is>
      </c>
      <c r="J81" s="6" t="inlineStr">
        <is>
          <t>Normal</t>
        </is>
      </c>
      <c r="K81" s="6" t="n">
        <v>80</v>
      </c>
      <c r="L81" s="6" t="inlineStr">
        <is>
          <t>W2 Desk work (no model runs)</t>
        </is>
      </c>
      <c r="M81" s="6" t="inlineStr">
        <is>
          <t>S11</t>
        </is>
      </c>
      <c r="N81" s="6" t="inlineStr">
        <is>
          <t>Lead + steward</t>
        </is>
      </c>
      <c r="O81" s="6" t="inlineStr">
        <is>
          <t>Read the unread parts of the e9.1 dev document (lines 1-19, 71-801) for the counting method (stored text)</t>
        </is>
      </c>
      <c r="P81" s="6" t="inlineStr">
        <is>
          <t>Yes - stored text, unread</t>
        </is>
      </c>
      <c r="Q81" s="6" t="inlineStr">
        <is>
          <t>Source check</t>
        </is>
      </c>
      <c r="R81" s="6" t="inlineStr">
        <is>
          <t>Sub-item</t>
        </is>
      </c>
      <c r="S81" s="6" t="inlineStr">
        <is>
          <t>C-E01</t>
        </is>
      </c>
      <c r="T81" s="6" t="inlineStr">
        <is>
          <t>SRC-06 E03: the ~292K-token flat-catalogue figure is not verified (counted surface, tokenizer).</t>
        </is>
      </c>
      <c r="U81" s="6" t="inlineStr">
        <is>
          <t>The dev document of DynamicMCPBench states 'the catalog serialises to ~292k tokens of tool schema', exceeding the windows of kimi-k2.6 (262,144), glm-5.1 (204,800) and claude-haiku-4.5 (200,000); only the 1M-context models can be offered the whole catalog; it calls this the 'measured catalog size' (EXT-0132). Not stated in the lines read: what is counted, which tokenizer, the counting method. The paper's Table 7 caption gives a count and a ratio, no token figure: 'flat was run on one model only: 1,168 tool schemas per request is 10-30x the prompt of any other cell' (EXT-0140). Dividing 292k by 1,168 gives about 250 tokens per schema (lead arithmetic; neither source states it).</t>
        </is>
      </c>
      <c r="V81" s="6" t="inlineStr">
        <is>
          <t>Counted surface and tokenizer inspected in the stored code/doc, or the figure kept labelled second-hand.</t>
        </is>
      </c>
      <c r="W81" s="6" t="inlineStr"/>
      <c r="X81" s="6" t="inlineStr"/>
      <c r="Y81" s="6" t="inlineStr"/>
      <c r="Z81" s="6" t="inlineStr"/>
      <c r="AA81" s="6" t="inlineStr"/>
      <c r="AB81" s="6" t="inlineStr">
        <is>
          <t>SOURCE</t>
        </is>
      </c>
      <c r="AC81" s="6" t="inlineStr">
        <is>
          <t>n/a (sub-item)</t>
        </is>
      </c>
      <c r="AD81" s="6" t="inlineStr">
        <is>
          <t>NARROWED</t>
        </is>
      </c>
      <c r="AE81" s="6" t="inlineStr">
        <is>
          <t>2026-10-19</t>
        </is>
      </c>
      <c r="AF81" s="6" t="inlineStr">
        <is>
          <t>FND-0010 (findings/SUM-0012); EXT-0132, EXT-0140</t>
        </is>
      </c>
      <c r="AG81" s="6" t="inlineStr"/>
      <c r="AH81" s="6" t="inlineStr">
        <is>
          <t>No (AUTH-016 covers web fetches for this item)</t>
        </is>
      </c>
      <c r="AI81" s="6" t="inlineStr"/>
      <c r="AJ81" s="6" t="inlineStr">
        <is>
          <t>SRC-11 section D1</t>
        </is>
      </c>
      <c r="AK81" s="6" t="inlineStr">
        <is>
          <t>SRC-06 E03, v4-03 section 2 item 1, EXT-0084</t>
        </is>
      </c>
      <c r="AL81" s="6" t="inlineStr">
        <is>
          <t>S11</t>
        </is>
      </c>
    </row>
    <row r="82" ht="53" customHeight="1">
      <c r="A82" s="5" t="inlineStr">
        <is>
          <t>C-E01/E04</t>
        </is>
      </c>
      <c r="B82" s="6" t="inlineStr">
        <is>
          <t>Anthropic '85%' baseline and component arithmetic ambiguous</t>
        </is>
      </c>
      <c r="C82" s="6" t="inlineStr">
        <is>
          <t>PARTLY ANSWERED</t>
        </is>
      </c>
      <c r="D82" s="6">
        <f>IFERROR(INDEX(Lists!$B$2:$B$14,MATCH(C82,Lists!$A$2:$A$14,0)),"?")</f>
        <v/>
      </c>
      <c r="E82" s="6">
        <f>IF(COUNTIFS(Links!$B$2:$B$600,A82,Links!$E$2:$E$600,"Yes")&gt;0,"REVISE","")</f>
        <v/>
      </c>
      <c r="F82" s="6">
        <f>COUNTIFS(Links!$B$2:$B$600,A82,Links!$D$2:$D$600,"No",Links!$C$2:$C$600,"&lt;&gt;INFORMS")</f>
        <v/>
      </c>
      <c r="G82" s="16" t="inlineStr">
        <is>
          <t>AUTHOR-OR-VENDOR</t>
        </is>
      </c>
      <c r="H82" s="6" t="inlineStr">
        <is>
          <t>K14 Source &amp; vendor verification</t>
        </is>
      </c>
      <c r="I82" s="6" t="inlineStr">
        <is>
          <t>G4 Before claims</t>
        </is>
      </c>
      <c r="J82" s="6" t="inlineStr">
        <is>
          <t>Normal</t>
        </is>
      </c>
      <c r="K82" s="6" t="n">
        <v>81</v>
      </c>
      <c r="L82" s="6" t="inlineStr">
        <is>
          <t>W2 Desk work (no model runs)</t>
        </is>
      </c>
      <c r="M82" s="6" t="inlineStr">
        <is>
          <t>S11</t>
        </is>
      </c>
      <c r="N82" s="6" t="inlineStr">
        <is>
          <t>Vendor / lead</t>
        </is>
      </c>
      <c r="O82" s="6" t="inlineStr">
        <is>
          <t>Ask once, set a reply date</t>
        </is>
      </c>
      <c r="P82" s="6" t="inlineStr">
        <is>
          <t>Yes - stored text, unread</t>
        </is>
      </c>
      <c r="Q82" s="6" t="inlineStr">
        <is>
          <t>Source check</t>
        </is>
      </c>
      <c r="R82" s="6" t="inlineStr">
        <is>
          <t>Sub-item</t>
        </is>
      </c>
      <c r="S82" s="6" t="inlineStr">
        <is>
          <t>C-E01</t>
        </is>
      </c>
      <c r="T82" s="6" t="inlineStr">
        <is>
          <t>SRC-06 E04: the denominator and component arithmetic behind the Anthropic '85%' reduction are ambiguous.</t>
        </is>
      </c>
      <c r="U82" s="6" t="inlineStr">
        <is>
          <t>The sentence and the scenario-mixing are located in stored text; vendor gives no method.</t>
        </is>
      </c>
      <c r="V82" s="6" t="inlineStr">
        <is>
          <t>Denominator identified in the page, else quoted as an ambiguous vendor claim.</t>
        </is>
      </c>
      <c r="W82" s="6" t="inlineStr"/>
      <c r="X82" s="6" t="inlineStr"/>
      <c r="Y82" s="6" t="inlineStr"/>
      <c r="Z82" s="6" t="inlineStr"/>
      <c r="AA82" s="6" t="inlineStr"/>
      <c r="AB82" s="6" t="inlineStr">
        <is>
          <t>SOURCE+AUTHOR</t>
        </is>
      </c>
      <c r="AC82" s="6" t="inlineStr">
        <is>
          <t>n/a (sub-item)</t>
        </is>
      </c>
      <c r="AD82" s="6" t="inlineStr">
        <is>
          <t>NEW (SRC-11 sub-row)</t>
        </is>
      </c>
      <c r="AE82" s="6" t="inlineStr">
        <is>
          <t>2026-10-19</t>
        </is>
      </c>
      <c r="AF82" s="6" t="inlineStr">
        <is>
          <t>stored r4-anthropic-advanced-tool-use line 52 ('85% reduction in token usage'); SUM-0005 A1 (the 55K-&gt;8.7K pair mixes two scenarios of the page)</t>
        </is>
      </c>
      <c r="AG82" s="6" t="inlineStr"/>
      <c r="AH82" s="6" t="inlineStr">
        <is>
          <t>No (AUTH-016 covers web fetches for this item)</t>
        </is>
      </c>
      <c r="AI82" s="6" t="inlineStr"/>
      <c r="AJ82" s="6" t="inlineStr">
        <is>
          <t>SRC-11 section D1</t>
        </is>
      </c>
      <c r="AK82" s="6" t="inlineStr">
        <is>
          <t>SRC-06 E04</t>
        </is>
      </c>
      <c r="AL82" s="6" t="inlineStr">
        <is>
          <t>S11</t>
        </is>
      </c>
    </row>
    <row r="83" ht="53" customHeight="1">
      <c r="A83" s="5" t="inlineStr">
        <is>
          <t>C-E01/E05</t>
        </is>
      </c>
      <c r="B83" s="6" t="inlineStr">
        <is>
          <t>Did the earlier body use the MCP-Bench distractor-server result?</t>
        </is>
      </c>
      <c r="C83" s="6" t="inlineStr">
        <is>
          <t>OPEN</t>
        </is>
      </c>
      <c r="D83" s="6">
        <f>IFERROR(INDEX(Lists!$B$2:$B$14,MATCH(C83,Lists!$A$2:$A$14,0)),"?")</f>
        <v/>
      </c>
      <c r="E83" s="6">
        <f>IF(COUNTIFS(Links!$B$2:$B$600,A83,Links!$E$2:$E$600,"Yes")&gt;0,"REVISE","")</f>
        <v/>
      </c>
      <c r="F83" s="6">
        <f>COUNTIFS(Links!$B$2:$B$600,A83,Links!$D$2:$D$600,"No",Links!$C$2:$C$600,"&lt;&gt;INFORMS")</f>
        <v/>
      </c>
      <c r="G83" s="8" t="inlineStr">
        <is>
          <t>RECORDS-AT-HAND</t>
        </is>
      </c>
      <c r="H83" s="6" t="inlineStr">
        <is>
          <t>K14 Source &amp; vendor verification</t>
        </is>
      </c>
      <c r="I83" s="6" t="inlineStr">
        <is>
          <t>G4 Before claims</t>
        </is>
      </c>
      <c r="J83" s="6" t="inlineStr">
        <is>
          <t>Normal</t>
        </is>
      </c>
      <c r="K83" s="6" t="n">
        <v>82</v>
      </c>
      <c r="L83" s="6" t="inlineStr">
        <is>
          <t>W2 Desk work (no model runs)</t>
        </is>
      </c>
      <c r="M83" s="6" t="inlineStr">
        <is>
          <t>S11</t>
        </is>
      </c>
      <c r="N83" s="6" t="inlineStr">
        <is>
          <t>You (Phase 1 records)</t>
        </is>
      </c>
      <c r="O83" s="6" t="inlineStr">
        <is>
          <t>Lead drafts the fix; you approve</t>
        </is>
      </c>
      <c r="P83" s="6" t="inlineStr">
        <is>
          <t>No</t>
        </is>
      </c>
      <c r="Q83" s="6" t="inlineStr">
        <is>
          <t>Source check</t>
        </is>
      </c>
      <c r="R83" s="6" t="inlineStr">
        <is>
          <t>Sub-item</t>
        </is>
      </c>
      <c r="S83" s="6" t="inlineStr">
        <is>
          <t>C-E01</t>
        </is>
      </c>
      <c r="T83" s="6" t="inlineStr">
        <is>
          <t>SRC-06 E05: unknown whether the earlier body incorporated the MCP-Bench distractor-server result (audit-history question).</t>
        </is>
      </c>
      <c r="U83" s="6" t="inlineStr">
        <is>
          <t>Outside the repo.</t>
        </is>
      </c>
      <c r="V83" s="6" t="inlineStr">
        <is>
          <t>Original record and paper checked; audit-history recorded.</t>
        </is>
      </c>
      <c r="W83" s="6" t="inlineStr"/>
      <c r="X83" s="6" t="inlineStr"/>
      <c r="Y83" s="6" t="inlineStr"/>
      <c r="Z83" s="6" t="inlineStr"/>
      <c r="AA83" s="6" t="inlineStr"/>
      <c r="AB83" s="6" t="inlineStr">
        <is>
          <t>RECORD+SOURCE</t>
        </is>
      </c>
      <c r="AC83" s="6" t="inlineStr">
        <is>
          <t>n/a (sub-item)</t>
        </is>
      </c>
      <c r="AD83" s="6" t="inlineStr">
        <is>
          <t>NEW (SRC-11 sub-row)</t>
        </is>
      </c>
      <c r="AE83" s="6" t="inlineStr">
        <is>
          <t>2026-10-19</t>
        </is>
      </c>
      <c r="AF83" s="6" t="inlineStr">
        <is>
          <t>Concerns the independent Phase 1 body (outside repo); r3-mcpbench is stored</t>
        </is>
      </c>
      <c r="AG83" s="6" t="inlineStr"/>
      <c r="AH83" s="6" t="inlineStr">
        <is>
          <t>No (AUTH-016 covers web fetches for this item)</t>
        </is>
      </c>
      <c r="AI83" s="6" t="inlineStr"/>
      <c r="AJ83" s="6" t="inlineStr">
        <is>
          <t>SRC-11 section D1</t>
        </is>
      </c>
      <c r="AK83" s="6" t="inlineStr">
        <is>
          <t>SRC-06 E05</t>
        </is>
      </c>
      <c r="AL83" s="6" t="inlineStr">
        <is>
          <t>S11</t>
        </is>
      </c>
    </row>
    <row r="84" ht="300" customHeight="1">
      <c r="A84" s="5" t="inlineStr">
        <is>
          <t>C-E01/E07</t>
        </is>
      </c>
      <c r="B84" s="6" t="inlineStr">
        <is>
          <t>Scaffolding paper body unavailable; token/schema figures unverified</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84</v>
      </c>
      <c r="L84" s="6" t="inlineStr">
        <is>
          <t>W2 Desk work (no model runs)</t>
        </is>
      </c>
      <c r="M84" s="6" t="inlineStr">
        <is>
          <t>S11</t>
        </is>
      </c>
      <c r="N84" s="6" t="inlineStr">
        <is>
          <t>Lead + steward</t>
        </is>
      </c>
      <c r="O84" s="6" t="inlineStr">
        <is>
          <t>Read Table 4 / cache share and Section 2.10 (stored text); they may bear on C-S01, C-S02, C-S03</t>
        </is>
      </c>
      <c r="P84" s="6" t="inlineStr">
        <is>
          <t>Yes - stored text, unread</t>
        </is>
      </c>
      <c r="Q84" s="6" t="inlineStr">
        <is>
          <t>Source check</t>
        </is>
      </c>
      <c r="R84" s="6" t="inlineStr">
        <is>
          <t>Sub-item</t>
        </is>
      </c>
      <c r="S84" s="6" t="inlineStr">
        <is>
          <t>C-E01</t>
        </is>
      </c>
      <c r="T84" s="6" t="inlineStr">
        <is>
          <t>SRC-06 E07: the scaffolding paper body was unavailable to the prior audit; cited token and schema figures are unverified.</t>
        </is>
      </c>
      <c r="U84" s="6" t="inlineStr">
        <is>
          <t>The scaffolding paper body IS stored and readable (1,451 lines; the ledger wording 'body unavailable' is not right). Measurement: every request routed through a proxy recording input tokens, cached tokens ('billed at a reduced rate'), tool calls and schemas per request; dollar figures modelled at OpenRouter list rates captured 3 Aug 2026, 'not a bill' (EXT-0122). One task (six git operations), 7 scaffoldings, 5 models; CLI-only runs of the two no-MCP scaffoldings 5.0x to 28x cheaper; 13 paired MCP-to-CLI ratios 0.43x to 29x; failed MCP runs 12.9% of spend vs 2.2% CLI (EXT-0114). Median failed run 181,806 input tokens vs 81,510 for a completed run (EXT-0129). Schemas per request: Codex, qwen-code, Claude Code and opencode send all 44 GitHub tool descriptions on every request; Claude Code sends 74 schemas; Hermes sends 7 (2 are a gateway pair; the other 42 fetched on demand). Table 5 (completed runs only): 7 schemas / 70,836 median tokens / 4 runs vs 44 / 216,986 / 12, a factor of 3.1, which the authors call confounded and 'a mechanism worth testing' (EXT-0126). Not read: Table 4 and the cache-share column, Section 2.10, the definition of the 5.0x-28x cells. These whole-run medians are not a tool-definition share (C-S01) and say nothing on deferral's effect on provider usage or caching (C-S03).</t>
        </is>
      </c>
      <c r="V84" s="6" t="inlineStr">
        <is>
          <t>Figures located in the stored text, or marked unverifiable.</t>
        </is>
      </c>
      <c r="W84" s="6" t="inlineStr"/>
      <c r="X84" s="6" t="inlineStr"/>
      <c r="Y84" s="6" t="inlineStr"/>
      <c r="Z84" s="6" t="inlineStr"/>
      <c r="AA84" s="6" t="inlineStr"/>
      <c r="AB84" s="6" t="inlineStr">
        <is>
          <t>SOURCE</t>
        </is>
      </c>
      <c r="AC84" s="6" t="inlineStr">
        <is>
          <t>n/a (sub-item)</t>
        </is>
      </c>
      <c r="AD84" s="6" t="inlineStr">
        <is>
          <t>NEW (SRC-11 sub-row)</t>
        </is>
      </c>
      <c r="AE84" s="6" t="inlineStr">
        <is>
          <t>2026-10-19</t>
        </is>
      </c>
      <c r="AF84" s="6" t="inlineStr">
        <is>
          <t>FND-0011 (findings/SUM-0013); EXT-0114, EXT-0122, EXT-0126, EXT-0129</t>
        </is>
      </c>
      <c r="AG84" s="6" t="inlineStr"/>
      <c r="AH84" s="6" t="inlineStr">
        <is>
          <t>No (AUTH-016 covers web fetches for this item)</t>
        </is>
      </c>
      <c r="AI84" s="6" t="inlineStr"/>
      <c r="AJ84" s="6" t="inlineStr">
        <is>
          <t>SRC-11 section D1</t>
        </is>
      </c>
      <c r="AK84" s="6" t="inlineStr">
        <is>
          <t>SRC-06 E07</t>
        </is>
      </c>
      <c r="AL84" s="6" t="inlineStr">
        <is>
          <t>S11</t>
        </is>
      </c>
    </row>
    <row r="85" ht="53" customHeight="1">
      <c r="A85" s="5" t="inlineStr">
        <is>
          <t>C-E01/E08</t>
        </is>
      </c>
      <c r="B85" s="6" t="inlineStr">
        <is>
          <t>CAPC lazy-tools scope, ToolMenuBench sizes, ProMCP figures not fully verified</t>
        </is>
      </c>
      <c r="C85" s="6" t="inlineStr">
        <is>
          <t>PARTLY ANSWERED</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85</v>
      </c>
      <c r="L85" s="6" t="inlineStr">
        <is>
          <t>W2 Desk work (no model runs)</t>
        </is>
      </c>
      <c r="M85" s="6" t="inlineStr">
        <is>
          <t>S11</t>
        </is>
      </c>
      <c r="N85" s="6" t="inlineStr">
        <is>
          <t>Lead + steward</t>
        </is>
      </c>
      <c r="O85" s="6" t="inlineStr">
        <is>
          <t>Read the decisive passage; fetch only if not stored</t>
        </is>
      </c>
      <c r="P85" s="6" t="inlineStr">
        <is>
          <t>Partly</t>
        </is>
      </c>
      <c r="Q85" s="6" t="inlineStr">
        <is>
          <t>Source check</t>
        </is>
      </c>
      <c r="R85" s="6" t="inlineStr">
        <is>
          <t>Sub-item</t>
        </is>
      </c>
      <c r="S85" s="6" t="inlineStr">
        <is>
          <t>C-E01</t>
        </is>
      </c>
      <c r="T85" s="6" t="inlineStr">
        <is>
          <t>SRC-06 E08: CAPC lazy-tools scope, ToolMenuBench sizes and ProMCP figures are not fully verified.</t>
        </is>
      </c>
      <c r="U85" s="6" t="inlineStr">
        <is>
          <t>ToolMenuBench and ProMCP rows were read by the steward/lead; CAPC is stored but unread.</t>
        </is>
      </c>
      <c r="V85" s="6" t="inlineStr">
        <is>
          <t>Each table/setting checked separately.</t>
        </is>
      </c>
      <c r="W85" s="6" t="inlineStr"/>
      <c r="X85" s="6" t="inlineStr"/>
      <c r="Y85" s="6" t="inlineStr"/>
      <c r="Z85" s="6" t="inlineStr"/>
      <c r="AA85" s="6" t="inlineStr"/>
      <c r="AB85" s="6" t="inlineStr">
        <is>
          <t>SOURCE</t>
        </is>
      </c>
      <c r="AC85" s="6" t="inlineStr">
        <is>
          <t>n/a (sub-item)</t>
        </is>
      </c>
      <c r="AD85" s="6" t="inlineStr">
        <is>
          <t>NEW (SRC-11 sub-row)</t>
        </is>
      </c>
      <c r="AE85" s="6" t="inlineStr">
        <is>
          <t>2026-10-19</t>
        </is>
      </c>
      <c r="AF85" s="6" t="inlineStr">
        <is>
          <t>stored r2-capability-minimization-2606-13884 (unread), r3-toolmenubench (EXT-0028 read), r3-promcp (SUM-0004 read)</t>
        </is>
      </c>
      <c r="AG85" s="6" t="inlineStr"/>
      <c r="AH85" s="6" t="inlineStr">
        <is>
          <t>No (AUTH-016 covers web fetches for this item)</t>
        </is>
      </c>
      <c r="AI85" s="6" t="inlineStr"/>
      <c r="AJ85" s="6" t="inlineStr">
        <is>
          <t>SRC-11 section D1</t>
        </is>
      </c>
      <c r="AK85" s="6" t="inlineStr">
        <is>
          <t>SRC-06 E08</t>
        </is>
      </c>
      <c r="AL85" s="6" t="inlineStr">
        <is>
          <t>S11</t>
        </is>
      </c>
    </row>
    <row r="86" ht="53" customHeight="1">
      <c r="A86" s="5" t="inlineStr">
        <is>
          <t>C-E01/E09</t>
        </is>
      </c>
      <c r="B86" s="6" t="inlineStr">
        <is>
          <t>Frozen Copilot cache-hit row mixes serving and client telemetry</t>
        </is>
      </c>
      <c r="C86" s="6" t="inlineStr">
        <is>
          <t>OPEN</t>
        </is>
      </c>
      <c r="D86" s="6">
        <f>IFERROR(INDEX(Lists!$B$2:$B$14,MATCH(C86,Lists!$A$2:$A$14,0)),"?")</f>
        <v/>
      </c>
      <c r="E86" s="6">
        <f>IF(COUNTIFS(Links!$B$2:$B$600,A86,Links!$E$2:$E$600,"Yes")&gt;0,"REVISE","")</f>
        <v/>
      </c>
      <c r="F86" s="6">
        <f>COUNTIFS(Links!$B$2:$B$600,A86,Links!$D$2:$D$600,"No",Links!$C$2:$C$600,"&lt;&gt;INFORMS")</f>
        <v/>
      </c>
      <c r="G86" s="8" t="inlineStr">
        <is>
          <t>RECORDS-AT-HAND</t>
        </is>
      </c>
      <c r="H86" s="6" t="inlineStr">
        <is>
          <t>K14 Source &amp; vendor verification</t>
        </is>
      </c>
      <c r="I86" s="6" t="inlineStr">
        <is>
          <t>G4 Before claims</t>
        </is>
      </c>
      <c r="J86" s="6" t="inlineStr">
        <is>
          <t>Normal</t>
        </is>
      </c>
      <c r="K86" s="6" t="n">
        <v>86</v>
      </c>
      <c r="L86" s="6" t="inlineStr">
        <is>
          <t>W2 Desk work (no model runs)</t>
        </is>
      </c>
      <c r="M86" s="6" t="inlineStr">
        <is>
          <t>S11</t>
        </is>
      </c>
      <c r="N86" s="6" t="inlineStr">
        <is>
          <t>You</t>
        </is>
      </c>
      <c r="O86" s="6" t="inlineStr">
        <is>
          <t>Lead drafts the fix; you approve</t>
        </is>
      </c>
      <c r="P86" s="6" t="inlineStr">
        <is>
          <t>No</t>
        </is>
      </c>
      <c r="Q86" s="6" t="inlineStr">
        <is>
          <t>Source check</t>
        </is>
      </c>
      <c r="R86" s="6" t="inlineStr">
        <is>
          <t>Sub-item</t>
        </is>
      </c>
      <c r="S86" s="6" t="inlineStr">
        <is>
          <t>C-E01</t>
        </is>
      </c>
      <c r="T86" s="6" t="inlineStr">
        <is>
          <t>SRC-06 E09: the frozen dossier's Copilot cache-hit row mixes serving and client telemetry; a correction exists elsewhere, not in the frozen record.</t>
        </is>
      </c>
      <c r="U86" s="6" t="inlineStr">
        <is>
          <t>Outside the repo.</t>
        </is>
      </c>
      <c r="V86" s="6" t="inlineStr">
        <is>
          <t>Dated correction issued alongside the frozen artefact.</t>
        </is>
      </c>
      <c r="W86" s="6" t="inlineStr"/>
      <c r="X86" s="6" t="inlineStr"/>
      <c r="Y86" s="6" t="inlineStr"/>
      <c r="Z86" s="6" t="inlineStr"/>
      <c r="AA86" s="6" t="inlineStr"/>
      <c r="AB86" s="6" t="inlineStr">
        <is>
          <t>RECORD+SOURCE</t>
        </is>
      </c>
      <c r="AC86" s="6" t="inlineStr">
        <is>
          <t>n/a (sub-item)</t>
        </is>
      </c>
      <c r="AD86" s="6" t="inlineStr">
        <is>
          <t>NEW (SRC-11 sub-row)</t>
        </is>
      </c>
      <c r="AE86" s="6" t="inlineStr">
        <is>
          <t>2026-10-19</t>
        </is>
      </c>
      <c r="AF86" s="6" t="inlineStr">
        <is>
          <t>Phase 1 dossier outside repo; stored s4-copilottraces-2608-00101 and r4-github-copilot-fewer-tools</t>
        </is>
      </c>
      <c r="AG86" s="6" t="inlineStr"/>
      <c r="AH86" s="6" t="inlineStr">
        <is>
          <t>No (AUTH-016 covers web fetches for this item)</t>
        </is>
      </c>
      <c r="AI86" s="6" t="inlineStr"/>
      <c r="AJ86" s="6" t="inlineStr">
        <is>
          <t>SRC-11 section D1</t>
        </is>
      </c>
      <c r="AK86" s="6" t="inlineStr">
        <is>
          <t>SRC-06 E09</t>
        </is>
      </c>
      <c r="AL86" s="6" t="inlineStr">
        <is>
          <t>S11</t>
        </is>
      </c>
    </row>
    <row r="87" ht="53" customHeight="1">
      <c r="A87" s="5" t="inlineStr">
        <is>
          <t>C-E01/E10</t>
        </is>
      </c>
      <c r="B87" s="6" t="inlineStr">
        <is>
          <t>Phase 1 frozen dossier retains later-contradicted claims</t>
        </is>
      </c>
      <c r="C87" s="6" t="inlineStr">
        <is>
          <t>OPEN</t>
        </is>
      </c>
      <c r="D87" s="6">
        <f>IFERROR(INDEX(Lists!$B$2:$B$14,MATCH(C87,Lists!$A$2:$A$14,0)),"?")</f>
        <v/>
      </c>
      <c r="E87" s="6">
        <f>IF(COUNTIFS(Links!$B$2:$B$600,A87,Links!$E$2:$E$600,"Yes")&gt;0,"REVISE","")</f>
        <v/>
      </c>
      <c r="F87" s="6">
        <f>COUNTIFS(Links!$B$2:$B$600,A87,Links!$D$2:$D$600,"No",Links!$C$2:$C$600,"&lt;&gt;INFORMS")</f>
        <v/>
      </c>
      <c r="G87" s="8" t="inlineStr">
        <is>
          <t>RECORDS-AT-HAND</t>
        </is>
      </c>
      <c r="H87" s="6" t="inlineStr">
        <is>
          <t>K14 Source &amp; vendor verification</t>
        </is>
      </c>
      <c r="I87" s="6" t="inlineStr">
        <is>
          <t>G4 Before claims</t>
        </is>
      </c>
      <c r="J87" s="6" t="inlineStr">
        <is>
          <t>Normal</t>
        </is>
      </c>
      <c r="K87" s="6" t="n">
        <v>87</v>
      </c>
      <c r="L87" s="6" t="inlineStr">
        <is>
          <t>W2 Desk work (no model runs)</t>
        </is>
      </c>
      <c r="M87" s="6" t="inlineStr">
        <is>
          <t>S11</t>
        </is>
      </c>
      <c r="N87" s="6" t="inlineStr">
        <is>
          <t>You</t>
        </is>
      </c>
      <c r="O87" s="6" t="inlineStr">
        <is>
          <t>Lead drafts the fix; you approve</t>
        </is>
      </c>
      <c r="P87" s="6" t="inlineStr">
        <is>
          <t>No</t>
        </is>
      </c>
      <c r="Q87" s="6" t="inlineStr">
        <is>
          <t>Source check</t>
        </is>
      </c>
      <c r="R87" s="6" t="inlineStr">
        <is>
          <t>Sub-item</t>
        </is>
      </c>
      <c r="S87" s="6" t="inlineStr">
        <is>
          <t>C-E01</t>
        </is>
      </c>
      <c r="T87" s="6" t="inlineStr">
        <is>
          <t>SRC-06 E10: the frozen Phase 1 dossier retains claims later contradicted or unsupported (trajectory-only, caching, 56.7%, 85%, paraphrased 'verbatim' quotes, MCPVerse wording, version drift).</t>
        </is>
      </c>
      <c r="U87" s="6" t="inlineStr">
        <is>
          <t>Outside the repo.</t>
        </is>
      </c>
      <c r="V87" s="6" t="inlineStr">
        <is>
          <t>Explicit errata linked to each statement; frozen original preserved.</t>
        </is>
      </c>
      <c r="W87" s="6" t="inlineStr"/>
      <c r="X87" s="6" t="inlineStr"/>
      <c r="Y87" s="6" t="inlineStr"/>
      <c r="Z87" s="6" t="inlineStr"/>
      <c r="AA87" s="6" t="inlineStr"/>
      <c r="AB87" s="6" t="inlineStr">
        <is>
          <t>RECORD+SOURCE</t>
        </is>
      </c>
      <c r="AC87" s="6" t="inlineStr">
        <is>
          <t>n/a (sub-item)</t>
        </is>
      </c>
      <c r="AD87" s="6" t="inlineStr">
        <is>
          <t>NEW (SRC-11 sub-row)</t>
        </is>
      </c>
      <c r="AE87" s="6" t="inlineStr">
        <is>
          <t>2026-10-19</t>
        </is>
      </c>
      <c r="AF87" s="6" t="inlineStr">
        <is>
          <t>Outside repo</t>
        </is>
      </c>
      <c r="AG87" s="6" t="inlineStr"/>
      <c r="AH87" s="6" t="inlineStr">
        <is>
          <t>No (AUTH-016 covers web fetches for this item)</t>
        </is>
      </c>
      <c r="AI87" s="6" t="inlineStr"/>
      <c r="AJ87" s="6" t="inlineStr">
        <is>
          <t>SRC-11 section D1</t>
        </is>
      </c>
      <c r="AK87" s="6" t="inlineStr">
        <is>
          <t>SRC-06 E10</t>
        </is>
      </c>
      <c r="AL87" s="6" t="inlineStr">
        <is>
          <t>S11</t>
        </is>
      </c>
    </row>
    <row r="88" ht="53" customHeight="1">
      <c r="A88" s="5" t="inlineStr">
        <is>
          <t>C-E02</t>
        </is>
      </c>
      <c r="B88" s="6" t="inlineStr">
        <is>
          <t>Fifteen groups of unread, partial, snippet-only or unreadable sources; historical 'not found' searches were...</t>
        </is>
      </c>
      <c r="C88" s="6" t="inlineStr">
        <is>
          <t>PARTLY ANSWERED</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88</v>
      </c>
      <c r="L88" s="6" t="inlineStr">
        <is>
          <t>W2 Desk work (no model runs)</t>
        </is>
      </c>
      <c r="M88" s="6" t="inlineStr">
        <is>
          <t>S11</t>
        </is>
      </c>
      <c r="N88" s="6" t="inlineStr">
        <is>
          <t>Lead + steward</t>
        </is>
      </c>
      <c r="O88" s="6" t="inlineStr">
        <is>
          <t>Read the stored text first (tools/origin_extract.py)</t>
        </is>
      </c>
      <c r="P88" s="6" t="inlineStr">
        <is>
          <t>Yes - stored text, unread</t>
        </is>
      </c>
      <c r="Q88" s="6" t="inlineStr">
        <is>
          <t>Source check</t>
        </is>
      </c>
      <c r="R88" s="6" t="inlineStr">
        <is>
          <t>Item</t>
        </is>
      </c>
      <c r="S88" s="6" t="inlineStr"/>
      <c r="T88" s="6" t="inlineStr">
        <is>
          <t>Fifteen groups of unread, partial, snippet-only or unreadable sources; historical 'not found' searches were bounded.</t>
        </is>
      </c>
      <c r="U88" s="6" t="inlineStr">
        <is>
          <t>E20, E22, E31 partly addressed (provider pages, BFCL data, MCP-Zero/ScaleMCP/MemTool bodies); others not touched.</t>
        </is>
      </c>
      <c r="V88" s="6" t="inlineStr">
        <is>
          <t>Pivotal originals read; non-pivotal ones deferred with a reason and trigger.</t>
        </is>
      </c>
      <c r="W88" s="6" t="inlineStr"/>
      <c r="X88" s="6" t="inlineStr">
        <is>
          <t>C-D01, C-D08</t>
        </is>
      </c>
      <c r="Y88" s="6" t="inlineStr"/>
      <c r="Z88" s="6" t="inlineStr">
        <is>
          <t>LITERATURE-DIRECTED, ACCEPT-LIMITATION</t>
        </is>
      </c>
      <c r="AA88" s="6" t="inlineStr"/>
      <c r="AB88" s="6" t="inlineStr">
        <is>
          <t>SOURCE+ACCESS+RECORD</t>
        </is>
      </c>
      <c r="AC88" s="6" t="inlineStr">
        <is>
          <t>OPEN</t>
        </is>
      </c>
      <c r="AD88" s="6" t="inlineStr">
        <is>
          <t>NARROWED</t>
        </is>
      </c>
      <c r="AE88" s="6" t="inlineStr">
        <is>
          <t>2026-10-19</t>
        </is>
      </c>
      <c r="AF88" s="6" t="inlineStr">
        <is>
          <t>v4-05 section 5; SUM-0005</t>
        </is>
      </c>
      <c r="AG88" s="6" t="inlineStr">
        <is>
          <t>When a skipped source becomes pivotal or a paper version changes</t>
        </is>
      </c>
      <c r="AH88" s="6" t="inlineStr">
        <is>
          <t>No (AUTH-016 covers web fetches for this item)</t>
        </is>
      </c>
      <c r="AI88" s="6" t="inlineStr"/>
      <c r="AJ88" s="6" t="inlineStr">
        <is>
          <t>SRC-11 canonical</t>
        </is>
      </c>
      <c r="AK88" s="6" t="inlineStr">
        <is>
          <t>SRC-06 E20-E34, SRC-07 28</t>
        </is>
      </c>
      <c r="AL88" s="6" t="inlineStr">
        <is>
          <t>S11</t>
        </is>
      </c>
    </row>
    <row r="89" ht="53" customHeight="1">
      <c r="A89" s="5" t="inlineStr">
        <is>
          <t>C-E02/CACHEPAPERS</t>
        </is>
      </c>
      <c r="B89" s="6" t="inlineStr">
        <is>
          <t>Cache-aware compression and routing papers stored but unread</t>
        </is>
      </c>
      <c r="C89" s="6" t="inlineStr">
        <is>
          <t>OPEN</t>
        </is>
      </c>
      <c r="D89" s="6">
        <f>IFERROR(INDEX(Lists!$B$2:$B$14,MATCH(C89,Lists!$A$2:$A$14,0)),"?")</f>
        <v/>
      </c>
      <c r="E89" s="6">
        <f>IF(COUNTIFS(Links!$B$2:$B$600,A89,Links!$E$2:$E$600,"Yes")&gt;0,"REVISE","")</f>
        <v/>
      </c>
      <c r="F89" s="6">
        <f>COUNTIFS(Links!$B$2:$B$600,A89,Links!$D$2:$D$600,"No",Links!$C$2:$C$600,"&lt;&gt;INFORMS")</f>
        <v/>
      </c>
      <c r="G89" s="14" t="inlineStr">
        <is>
          <t>SOURCE-REREAD</t>
        </is>
      </c>
      <c r="H89" s="6" t="inlineStr">
        <is>
          <t>K14 Source &amp; vendor verification</t>
        </is>
      </c>
      <c r="I89" s="6" t="inlineStr">
        <is>
          <t>G4 Before claims</t>
        </is>
      </c>
      <c r="J89" s="6" t="inlineStr">
        <is>
          <t>Normal</t>
        </is>
      </c>
      <c r="K89" s="6" t="n">
        <v>89</v>
      </c>
      <c r="L89" s="6" t="inlineStr">
        <is>
          <t>W2 Desk work (no model runs)</t>
        </is>
      </c>
      <c r="M89" s="6" t="inlineStr">
        <is>
          <t>S11</t>
        </is>
      </c>
      <c r="N89" s="6" t="inlineStr">
        <is>
          <t>Lead + fresh reviewer</t>
        </is>
      </c>
      <c r="O89" s="6" t="inlineStr">
        <is>
          <t>Read the stored text first (tools/origin_extract.py)</t>
        </is>
      </c>
      <c r="P89" s="6" t="inlineStr">
        <is>
          <t>Yes - stored text, unread</t>
        </is>
      </c>
      <c r="Q89" s="6" t="inlineStr">
        <is>
          <t>Record fix</t>
        </is>
      </c>
      <c r="R89" s="6" t="inlineStr">
        <is>
          <t>Sub-item</t>
        </is>
      </c>
      <c r="S89" s="6" t="inlineStr">
        <is>
          <t>C-E02</t>
        </is>
      </c>
      <c r="T89" s="6" t="inlineStr">
        <is>
          <t>v4-04 section 7: the cache-aware compression and routing papers (stored s4-cacheaware-compress-2607-15516, s4-cacherouter-2608-22708) are unread (CacheRouter's numbers were taken from SUM-0007).</t>
        </is>
      </c>
      <c r="U89" s="6" t="inlineStr">
        <is>
          <t>Recorded as open in its source; not examined further in this review.</t>
        </is>
      </c>
      <c r="V89" s="6" t="inlineStr">
        <is>
          <t>Read for what they say about tool-definition caching.</t>
        </is>
      </c>
      <c r="W89" s="6" t="inlineStr"/>
      <c r="X89" s="6" t="inlineStr"/>
      <c r="Y89" s="6" t="inlineStr"/>
      <c r="Z89" s="6" t="inlineStr"/>
      <c r="AA89" s="6" t="inlineStr"/>
      <c r="AB89" s="6" t="inlineStr">
        <is>
          <t>RECORD+SOURCE</t>
        </is>
      </c>
      <c r="AC89" s="6" t="inlineStr">
        <is>
          <t>n/a (sub-item)</t>
        </is>
      </c>
      <c r="AD89" s="6" t="inlineStr">
        <is>
          <t>NEW (repo sweep)</t>
        </is>
      </c>
      <c r="AE89" s="6" t="inlineStr">
        <is>
          <t>2026-10-19</t>
        </is>
      </c>
      <c r="AF89" s="6" t="inlineStr">
        <is>
          <t>v4-04 section 7; sources.json</t>
        </is>
      </c>
      <c r="AG89" s="6" t="inlineStr"/>
      <c r="AH89" s="6" t="inlineStr">
        <is>
          <t>No (AUTH-016 covers web fetches for this item)</t>
        </is>
      </c>
      <c r="AI89" s="6" t="inlineStr"/>
      <c r="AJ89" s="6" t="inlineStr">
        <is>
          <t>repo: v4-03 section 6 / RV-0005 / RV-0007</t>
        </is>
      </c>
      <c r="AK89" s="6" t="inlineStr"/>
      <c r="AL89" s="6" t="inlineStr">
        <is>
          <t>S11</t>
        </is>
      </c>
    </row>
    <row r="90" ht="53" customHeight="1">
      <c r="A90" s="5" t="inlineStr">
        <is>
          <t>C-E02/E21</t>
        </is>
      </c>
      <c r="B90" s="6" t="inlineStr">
        <is>
          <t>Hajdas post, Cursor cap docs, Claude Code changelog not opened; 55K attribution</t>
        </is>
      </c>
      <c r="C90" s="6" t="inlineStr">
        <is>
          <t>OPEN</t>
        </is>
      </c>
      <c r="D90" s="6">
        <f>IFERROR(INDEX(Lists!$B$2:$B$14,MATCH(C90,Lists!$A$2:$A$14,0)),"?")</f>
        <v/>
      </c>
      <c r="E90" s="6">
        <f>IF(COUNTIFS(Links!$B$2:$B$600,A90,Links!$E$2:$E$600,"Yes")&gt;0,"REVISE","")</f>
        <v/>
      </c>
      <c r="F90" s="6">
        <f>COUNTIFS(Links!$B$2:$B$600,A90,Links!$D$2:$D$600,"No",Links!$C$2:$C$600,"&lt;&gt;INFORMS")</f>
        <v/>
      </c>
      <c r="G90" s="14" t="inlineStr">
        <is>
          <t>SOURCE-REREAD</t>
        </is>
      </c>
      <c r="H90" s="6" t="inlineStr">
        <is>
          <t>K14 Source &amp; vendor verification</t>
        </is>
      </c>
      <c r="I90" s="6" t="inlineStr">
        <is>
          <t>G4 Before claims</t>
        </is>
      </c>
      <c r="J90" s="6" t="inlineStr">
        <is>
          <t>Normal</t>
        </is>
      </c>
      <c r="K90" s="6" t="n">
        <v>91</v>
      </c>
      <c r="L90" s="6" t="inlineStr">
        <is>
          <t>W2 Desk work (no model runs)</t>
        </is>
      </c>
      <c r="M90" s="6" t="inlineStr">
        <is>
          <t>S11</t>
        </is>
      </c>
      <c r="N90" s="6" t="inlineStr">
        <is>
          <t>Lead + steward</t>
        </is>
      </c>
      <c r="O90" s="6" t="inlineStr">
        <is>
          <t>Read the decisive passage; fetch only if not stored</t>
        </is>
      </c>
      <c r="P90" s="6" t="inlineStr">
        <is>
          <t>Partly</t>
        </is>
      </c>
      <c r="Q90" s="6" t="inlineStr">
        <is>
          <t>Source check</t>
        </is>
      </c>
      <c r="R90" s="6" t="inlineStr">
        <is>
          <t>Sub-item</t>
        </is>
      </c>
      <c r="S90" s="6" t="inlineStr">
        <is>
          <t>C-E02</t>
        </is>
      </c>
      <c r="T90" s="6" t="inlineStr">
        <is>
          <t>SRC-06 E21: the Hajdas post, Cursor cap docs and Claude Code changelog were not opened; the 55K attribution is uncertain.</t>
        </is>
      </c>
      <c r="U90" s="6" t="inlineStr">
        <is>
          <t>Claude Code MCP docs stored; the other three not in the repo.</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sources.json r4-claude-code-mcp (Claude Code MCP docs, 117 KB) stored; Hajdas post, Cursor docs, changelog not stored</t>
        </is>
      </c>
      <c r="AG90" s="6" t="inlineStr"/>
      <c r="AH90" s="6" t="inlineStr">
        <is>
          <t>No (AUTH-016 covers web fetches for this item)</t>
        </is>
      </c>
      <c r="AI90" s="6" t="inlineStr"/>
      <c r="AJ90" s="6" t="inlineStr">
        <is>
          <t>SRC-11 section D2</t>
        </is>
      </c>
      <c r="AK90" s="6" t="inlineStr">
        <is>
          <t>SRC-06 E21</t>
        </is>
      </c>
      <c r="AL90" s="6" t="inlineStr">
        <is>
          <t>S11</t>
        </is>
      </c>
    </row>
    <row r="91" ht="153" customHeight="1">
      <c r="A91" s="5" t="inlineStr">
        <is>
          <t>C-E02/E22</t>
        </is>
      </c>
      <c r="B91" s="6" t="inlineStr">
        <is>
          <t>Anthropic programmatic-tool docs partial; prompt-cache tail, pricing, MCP pages not read in full</t>
        </is>
      </c>
      <c r="C91" s="6" t="inlineStr">
        <is>
          <t>PARTLY ANSWERED</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92</v>
      </c>
      <c r="L91" s="6" t="inlineStr">
        <is>
          <t>W2 Desk work (no model runs)</t>
        </is>
      </c>
      <c r="M91" s="6" t="inlineStr">
        <is>
          <t>S11</t>
        </is>
      </c>
      <c r="N91" s="6" t="inlineStr">
        <is>
          <t>Lead + steward</t>
        </is>
      </c>
      <c r="O91" s="6" t="inlineStr">
        <is>
          <t>Read the stored text first (tools/origin_extract.py)</t>
        </is>
      </c>
      <c r="P91" s="6" t="inlineStr">
        <is>
          <t>Yes - stored text, unread</t>
        </is>
      </c>
      <c r="Q91" s="6" t="inlineStr">
        <is>
          <t>Source check</t>
        </is>
      </c>
      <c r="R91" s="6" t="inlineStr">
        <is>
          <t>Sub-item</t>
        </is>
      </c>
      <c r="S91" s="6" t="inlineStr">
        <is>
          <t>C-E02</t>
        </is>
      </c>
      <c r="T91" s="6" t="inlineStr">
        <is>
          <t>SRC-06 E22: Anthropic programmatic docs partial; prompt-cache tail, pricing and MCP pages not read in full.</t>
        </is>
      </c>
      <c r="U91"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t>
        </is>
      </c>
      <c r="V91" s="6" t="inlineStr">
        <is>
          <t>Original read; claims it affects revised or marked unverified.</t>
        </is>
      </c>
      <c r="W91" s="6" t="inlineStr"/>
      <c r="X91" s="6" t="inlineStr"/>
      <c r="Y91" s="6" t="inlineStr"/>
      <c r="Z91" s="6" t="inlineStr"/>
      <c r="AA91" s="6" t="inlineStr"/>
      <c r="AB91" s="6" t="inlineStr">
        <is>
          <t>SOURCE+ACCESS</t>
        </is>
      </c>
      <c r="AC91" s="6" t="inlineStr">
        <is>
          <t>n/a (sub-item)</t>
        </is>
      </c>
      <c r="AD91" s="6" t="inlineStr">
        <is>
          <t>NEW (SRC-11 sub-row)</t>
        </is>
      </c>
      <c r="AE91" s="6" t="inlineStr">
        <is>
          <t>2026-10-19</t>
        </is>
      </c>
      <c r="AF91" s="6" t="inlineStr">
        <is>
          <t>FND-0008 (findings/SUM-0010); EXT-0143, EXT-0144</t>
        </is>
      </c>
      <c r="AG91" s="6" t="inlineStr"/>
      <c r="AH91" s="6" t="inlineStr">
        <is>
          <t>No (AUTH-016 covers web fetches for this item)</t>
        </is>
      </c>
      <c r="AI91" s="6" t="inlineStr"/>
      <c r="AJ91" s="6" t="inlineStr">
        <is>
          <t>SRC-11 section D2</t>
        </is>
      </c>
      <c r="AK91" s="6" t="inlineStr">
        <is>
          <t>SRC-06 E22</t>
        </is>
      </c>
      <c r="AL91" s="6" t="inlineStr">
        <is>
          <t>S11</t>
        </is>
      </c>
    </row>
    <row r="92" ht="53" customHeight="1">
      <c r="A92" s="5" t="inlineStr">
        <is>
          <t>C-E02/E23</t>
        </is>
      </c>
      <c r="B92" s="6" t="inlineStr">
        <is>
          <t>CE-MCP figures, ToolRet Figure 6, ToolShed trade-off not rendered</t>
        </is>
      </c>
      <c r="C92" s="6" t="inlineStr">
        <is>
          <t>OPEN</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G4 Before claims</t>
        </is>
      </c>
      <c r="J92" s="6" t="inlineStr">
        <is>
          <t>Normal</t>
        </is>
      </c>
      <c r="K92" s="6" t="n">
        <v>93</v>
      </c>
      <c r="L92" s="6" t="inlineStr">
        <is>
          <t>W2 Desk work (no model runs)</t>
        </is>
      </c>
      <c r="M92" s="6" t="inlineStr">
        <is>
          <t>S11</t>
        </is>
      </c>
      <c r="N92" s="6" t="inlineStr">
        <is>
          <t>Lead + steward</t>
        </is>
      </c>
      <c r="O92" s="6" t="inlineStr">
        <is>
          <t>Read the decisive passage; fetch only if not stored</t>
        </is>
      </c>
      <c r="P92" s="6" t="inlineStr">
        <is>
          <t>Partly</t>
        </is>
      </c>
      <c r="Q92" s="6" t="inlineStr">
        <is>
          <t>Source check</t>
        </is>
      </c>
      <c r="R92" s="6" t="inlineStr">
        <is>
          <t>Sub-item</t>
        </is>
      </c>
      <c r="S92" s="6" t="inlineStr">
        <is>
          <t>C-E02</t>
        </is>
      </c>
      <c r="T92" s="6" t="inlineStr">
        <is>
          <t>SRC-06 E23: CE-MCP figures, ToolRet Figure 6 and the ToolShed trade-off were not rendered.</t>
        </is>
      </c>
      <c r="U92" s="6" t="inlineStr">
        <is>
          <t>Text stored; figures need page rendering (raw PDFs are not in the repo).</t>
        </is>
      </c>
      <c r="V92" s="6" t="inlineStr">
        <is>
          <t>Original read; claims it affects revised or marked unverified.</t>
        </is>
      </c>
      <c r="W92" s="6" t="inlineStr"/>
      <c r="X92" s="6" t="inlineStr"/>
      <c r="Y92" s="6" t="inlineStr">
        <is>
          <t>Q-U22</t>
        </is>
      </c>
      <c r="Z92" s="6" t="inlineStr"/>
      <c r="AA92" s="6" t="inlineStr"/>
      <c r="AB92" s="6" t="inlineStr">
        <is>
          <t>SOURCE+ACCESS</t>
        </is>
      </c>
      <c r="AC92" s="6" t="inlineStr">
        <is>
          <t>n/a (sub-item)</t>
        </is>
      </c>
      <c r="AD92" s="6" t="inlineStr">
        <is>
          <t>NEW (SRC-11 sub-row)</t>
        </is>
      </c>
      <c r="AE92" s="6" t="inlineStr">
        <is>
          <t>2026-10-19</t>
        </is>
      </c>
      <c r="AF92" s="6" t="inlineStr">
        <is>
          <t>stored r2-ce-mcp-2602-15945, r3-toolret, s4-toolshed-2410-14594 (38 pp; scanned-page warning)</t>
        </is>
      </c>
      <c r="AG92" s="6" t="inlineStr"/>
      <c r="AH92" s="6" t="inlineStr">
        <is>
          <t>No (AUTH-016 covers web fetches for this item)</t>
        </is>
      </c>
      <c r="AI92" s="6" t="inlineStr"/>
      <c r="AJ92" s="6" t="inlineStr">
        <is>
          <t>SRC-11 section D2</t>
        </is>
      </c>
      <c r="AK92" s="6" t="inlineStr">
        <is>
          <t>SRC-06 E23</t>
        </is>
      </c>
      <c r="AL92" s="6" t="inlineStr">
        <is>
          <t>S11</t>
        </is>
      </c>
    </row>
    <row r="93" ht="53" customHeight="1">
      <c r="A93" s="5" t="inlineStr">
        <is>
          <t>C-E02/E24</t>
        </is>
      </c>
      <c r="B93" s="6" t="inlineStr">
        <is>
          <t>Speakeasy tables and Composio/Zapier/Pipedream/Smithery measurements missing</t>
        </is>
      </c>
      <c r="C93" s="6" t="inlineStr">
        <is>
          <t>PARTLY ANSWERED</t>
        </is>
      </c>
      <c r="D93" s="6">
        <f>IFERROR(INDEX(Lists!$B$2:$B$14,MATCH(C93,Lists!$A$2:$A$14,0)),"?")</f>
        <v/>
      </c>
      <c r="E93" s="6">
        <f>IF(COUNTIFS(Links!$B$2:$B$600,A93,Links!$E$2:$E$600,"Yes")&gt;0,"REVISE","")</f>
        <v/>
      </c>
      <c r="F93" s="6">
        <f>COUNTIFS(Links!$B$2:$B$600,A93,Links!$D$2:$D$600,"No",Links!$C$2:$C$600,"&lt;&gt;INFORMS")</f>
        <v/>
      </c>
      <c r="G93" s="16" t="inlineStr">
        <is>
          <t>AUTHOR-OR-VENDOR</t>
        </is>
      </c>
      <c r="H93" s="6" t="inlineStr">
        <is>
          <t>K14 Source &amp; vendor verification</t>
        </is>
      </c>
      <c r="I93" s="6" t="inlineStr">
        <is>
          <t>G4 Before claims</t>
        </is>
      </c>
      <c r="J93" s="6" t="inlineStr">
        <is>
          <t>Normal</t>
        </is>
      </c>
      <c r="K93" s="6" t="n">
        <v>94</v>
      </c>
      <c r="L93" s="6" t="inlineStr">
        <is>
          <t>W2 Desk work (no model runs)</t>
        </is>
      </c>
      <c r="M93" s="6" t="inlineStr">
        <is>
          <t>S11</t>
        </is>
      </c>
      <c r="N93" s="6" t="inlineStr">
        <is>
          <t>Lead + steward</t>
        </is>
      </c>
      <c r="O93" s="6" t="inlineStr">
        <is>
          <t>Ask once, set a reply date</t>
        </is>
      </c>
      <c r="P93" s="6" t="inlineStr">
        <is>
          <t>Partly</t>
        </is>
      </c>
      <c r="Q93" s="6" t="inlineStr">
        <is>
          <t>Source check</t>
        </is>
      </c>
      <c r="R93" s="6" t="inlineStr">
        <is>
          <t>Sub-item</t>
        </is>
      </c>
      <c r="S93" s="6" t="inlineStr">
        <is>
          <t>C-E02</t>
        </is>
      </c>
      <c r="T93" s="6" t="inlineStr">
        <is>
          <t>SRC-06 E24: Speakeasy tables and Composio/Zapier/Pipedream/Smithery measurements were missing from fetched pages.</t>
        </is>
      </c>
      <c r="U93" s="6" t="inlineStr">
        <is>
          <t>The Speakeasy table is present in the stored text (used in v4-01); the other four vendors are not in the repo.</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stored r4-speakeasy-dynamic-toolsets2 (12 KB; strategy/toolset-size table at line 187); the other vendors not stored</t>
        </is>
      </c>
      <c r="AG93" s="6" t="inlineStr"/>
      <c r="AH93" s="6" t="inlineStr">
        <is>
          <t>No (AUTH-016 covers web fetches for this item)</t>
        </is>
      </c>
      <c r="AI93" s="6" t="inlineStr"/>
      <c r="AJ93" s="6" t="inlineStr">
        <is>
          <t>SRC-11 section D2</t>
        </is>
      </c>
      <c r="AK93" s="6" t="inlineStr">
        <is>
          <t>SRC-06 E24</t>
        </is>
      </c>
      <c r="AL93" s="6" t="inlineStr">
        <is>
          <t>S11</t>
        </is>
      </c>
    </row>
    <row r="94" ht="53" customHeight="1">
      <c r="A94" s="5" t="inlineStr">
        <is>
          <t>C-E02/E25</t>
        </is>
      </c>
      <c r="B94" s="6" t="inlineStr">
        <is>
          <t>Claude Code deferral bug reports known by title only</t>
        </is>
      </c>
      <c r="C94" s="6" t="inlineStr">
        <is>
          <t>OPEN</t>
        </is>
      </c>
      <c r="D94" s="6">
        <f>IFERROR(INDEX(Lists!$B$2:$B$14,MATCH(C94,Lists!$A$2:$A$14,0)),"?")</f>
        <v/>
      </c>
      <c r="E94" s="6">
        <f>IF(COUNTIFS(Links!$B$2:$B$600,A94,Links!$E$2:$E$600,"Yes")&gt;0,"REVISE","")</f>
        <v/>
      </c>
      <c r="F94" s="6">
        <f>COUNTIFS(Links!$B$2:$B$600,A94,Links!$D$2:$D$600,"No",Links!$C$2:$C$600,"&lt;&gt;INFORMS")</f>
        <v/>
      </c>
      <c r="G94" s="16" t="inlineStr">
        <is>
          <t>AUTHOR-OR-VENDOR</t>
        </is>
      </c>
      <c r="H94" s="6" t="inlineStr">
        <is>
          <t>K14 Source &amp; vendor verification</t>
        </is>
      </c>
      <c r="I94" s="6" t="inlineStr">
        <is>
          <t>G4 Before claims</t>
        </is>
      </c>
      <c r="J94" s="6" t="inlineStr">
        <is>
          <t>Normal</t>
        </is>
      </c>
      <c r="K94" s="6" t="n">
        <v>95</v>
      </c>
      <c r="L94" s="6" t="inlineStr">
        <is>
          <t>W2 Desk work (no model runs)</t>
        </is>
      </c>
      <c r="M94" s="6" t="inlineStr">
        <is>
          <t>S11</t>
        </is>
      </c>
      <c r="N94" s="6" t="inlineStr">
        <is>
          <t>Reporters / lead</t>
        </is>
      </c>
      <c r="O94" s="6" t="inlineStr">
        <is>
          <t>Ask once, set a reply date</t>
        </is>
      </c>
      <c r="P94" s="6" t="inlineStr">
        <is>
          <t>No</t>
        </is>
      </c>
      <c r="Q94" s="6" t="inlineStr">
        <is>
          <t>Source check</t>
        </is>
      </c>
      <c r="R94" s="6" t="inlineStr">
        <is>
          <t>Sub-item</t>
        </is>
      </c>
      <c r="S94" s="6" t="inlineStr">
        <is>
          <t>C-E02</t>
        </is>
      </c>
      <c r="T94" s="6" t="inlineStr">
        <is>
          <t>SRC-06 E25: Claude Code deferral bug reports known by titles only; the cache-read inflation anecdote is unverified.</t>
        </is>
      </c>
      <c r="U94" s="6" t="inlineStr">
        <is>
          <t>Not stored.</t>
        </is>
      </c>
      <c r="V94" s="6" t="inlineStr">
        <is>
          <t>Original read; claims it affects revised or marked unverified.</t>
        </is>
      </c>
      <c r="W94" s="6" t="inlineStr"/>
      <c r="X94" s="6" t="inlineStr"/>
      <c r="Y94" s="6" t="inlineStr"/>
      <c r="Z94" s="6" t="inlineStr"/>
      <c r="AA94" s="6" t="inlineStr"/>
      <c r="AB94" s="6" t="inlineStr">
        <is>
          <t>SOURCE+ACCESS</t>
        </is>
      </c>
      <c r="AC94" s="6" t="inlineStr">
        <is>
          <t>n/a (sub-item)</t>
        </is>
      </c>
      <c r="AD94" s="6" t="inlineStr">
        <is>
          <t>NEW (SRC-11 sub-row)</t>
        </is>
      </c>
      <c r="AE94" s="6" t="inlineStr">
        <is>
          <t>2026-10-19</t>
        </is>
      </c>
      <c r="AF94" s="6" t="inlineStr">
        <is>
          <t>not in sources.json</t>
        </is>
      </c>
      <c r="AG94" s="6" t="inlineStr"/>
      <c r="AH94" s="6" t="inlineStr">
        <is>
          <t>No (AUTH-016 covers web fetches for this item)</t>
        </is>
      </c>
      <c r="AI94" s="6" t="inlineStr"/>
      <c r="AJ94" s="6" t="inlineStr">
        <is>
          <t>SRC-11 section D2</t>
        </is>
      </c>
      <c r="AK94" s="6" t="inlineStr">
        <is>
          <t>SRC-06 E25</t>
        </is>
      </c>
      <c r="AL94" s="6" t="inlineStr">
        <is>
          <t>S11</t>
        </is>
      </c>
    </row>
    <row r="95" ht="65.5" customHeight="1">
      <c r="A95" s="5" t="inlineStr">
        <is>
          <t>C-E02/E26</t>
        </is>
      </c>
      <c r="B95" s="6" t="inlineStr">
        <is>
          <t>ToolHop repo 404, Schlapbach PDF unreadable, other agent docs not fetched</t>
        </is>
      </c>
      <c r="C95" s="6" t="inlineStr">
        <is>
          <t>OPEN</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96</v>
      </c>
      <c r="L95" s="6" t="inlineStr">
        <is>
          <t>W2 Desk work (no model runs)</t>
        </is>
      </c>
      <c r="M95" s="6" t="inlineStr">
        <is>
          <t>S11</t>
        </is>
      </c>
      <c r="N95" s="6" t="inlineStr">
        <is>
          <t>Lead + steward</t>
        </is>
      </c>
      <c r="O95" s="6" t="inlineStr">
        <is>
          <t>Read the decisive passage; fetch only if not stored</t>
        </is>
      </c>
      <c r="P95" s="6" t="inlineStr">
        <is>
          <t>Partly</t>
        </is>
      </c>
      <c r="Q95" s="6" t="inlineStr">
        <is>
          <t>Source check</t>
        </is>
      </c>
      <c r="R95" s="6" t="inlineStr">
        <is>
          <t>Sub-item</t>
        </is>
      </c>
      <c r="S95" s="6" t="inlineStr">
        <is>
          <t>C-E02</t>
        </is>
      </c>
      <c r="T95" s="6" t="inlineStr">
        <is>
          <t>SRC-06 E26: ToolHop repo 404, Schlapbach PDF unreadable, other agent docs not fetched.</t>
        </is>
      </c>
      <c r="U95" s="6" t="inlineStr">
        <is>
          <t>Agent-framework docs are stored; ToolHop and Schlapbach are not.</t>
        </is>
      </c>
      <c r="V95" s="6" t="inlineStr">
        <is>
          <t>Original read; claims it affects revised or marked unverified.</t>
        </is>
      </c>
      <c r="W95" s="6" t="inlineStr"/>
      <c r="X95" s="6" t="inlineStr"/>
      <c r="Y95" s="6" t="inlineStr"/>
      <c r="Z95" s="6" t="inlineStr"/>
      <c r="AA95" s="6" t="inlineStr"/>
      <c r="AB95" s="6" t="inlineStr">
        <is>
          <t>SOURCE+ACCESS</t>
        </is>
      </c>
      <c r="AC95" s="6" t="inlineStr">
        <is>
          <t>n/a (sub-item)</t>
        </is>
      </c>
      <c r="AD95" s="6" t="inlineStr">
        <is>
          <t>NEW (SRC-11 sub-row)</t>
        </is>
      </c>
      <c r="AE95" s="6" t="inlineStr">
        <is>
          <t>2026-10-19</t>
        </is>
      </c>
      <c r="AF95" s="6" t="inlineStr">
        <is>
          <t>stored r4-openai-agents-sdk-mcp, r4-adk-mcp-tools, r4-sk-function-choice, r4-spring-tool-search-*, r4-langgraph-bigtool-readme, r4-llamaindex-retrieval-agent; ToolHop and Schlapbach not stored</t>
        </is>
      </c>
      <c r="AG95" s="6" t="inlineStr"/>
      <c r="AH95" s="6" t="inlineStr">
        <is>
          <t>No (AUTH-016 covers web fetches for this item)</t>
        </is>
      </c>
      <c r="AI95" s="6" t="inlineStr"/>
      <c r="AJ95" s="6" t="inlineStr">
        <is>
          <t>SRC-11 section D2</t>
        </is>
      </c>
      <c r="AK95" s="6" t="inlineStr">
        <is>
          <t>SRC-06 E26</t>
        </is>
      </c>
      <c r="AL95" s="6" t="inlineStr">
        <is>
          <t>S11</t>
        </is>
      </c>
    </row>
    <row r="96" ht="53" customHeight="1">
      <c r="A96" s="5" t="inlineStr">
        <is>
          <t>C-E02/E27</t>
        </is>
      </c>
      <c r="B96" s="6" t="inlineStr">
        <is>
          <t>TheMCPCompany v2, scaffolding paper, ACL paper PDFs unreadable in prior tools</t>
        </is>
      </c>
      <c r="C96" s="6" t="inlineStr">
        <is>
          <t>PARTLY ANSWERED</t>
        </is>
      </c>
      <c r="D96" s="6">
        <f>IFERROR(INDEX(Lists!$B$2:$B$14,MATCH(C96,Lists!$A$2:$A$14,0)),"?")</f>
        <v/>
      </c>
      <c r="E96" s="6">
        <f>IF(COUNTIFS(Links!$B$2:$B$600,A96,Links!$E$2:$E$600,"Yes")&gt;0,"REVISE","")</f>
        <v/>
      </c>
      <c r="F96" s="6">
        <f>COUNTIFS(Links!$B$2:$B$600,A96,Links!$D$2:$D$600,"No",Links!$C$2:$C$600,"&lt;&gt;INFORMS")</f>
        <v/>
      </c>
      <c r="G96" s="14" t="inlineStr">
        <is>
          <t>SOURCE-REREAD</t>
        </is>
      </c>
      <c r="H96" s="6" t="inlineStr">
        <is>
          <t>K14 Source &amp; vendor verification</t>
        </is>
      </c>
      <c r="I96" s="6" t="inlineStr">
        <is>
          <t>G4 Before claims</t>
        </is>
      </c>
      <c r="J96" s="6" t="inlineStr">
        <is>
          <t>Normal</t>
        </is>
      </c>
      <c r="K96" s="6" t="n">
        <v>97</v>
      </c>
      <c r="L96" s="6" t="inlineStr">
        <is>
          <t>W2 Desk work (no model runs)</t>
        </is>
      </c>
      <c r="M96" s="6" t="inlineStr">
        <is>
          <t>S11</t>
        </is>
      </c>
      <c r="N96" s="6" t="inlineStr">
        <is>
          <t>Lead + steward</t>
        </is>
      </c>
      <c r="O96" s="6" t="inlineStr">
        <is>
          <t>Read the stored text first (tools/origin_extract.py)</t>
        </is>
      </c>
      <c r="P96" s="6" t="inlineStr">
        <is>
          <t>Yes - stored text, unread</t>
        </is>
      </c>
      <c r="Q96" s="6" t="inlineStr">
        <is>
          <t>Source check</t>
        </is>
      </c>
      <c r="R96" s="6" t="inlineStr">
        <is>
          <t>Sub-item</t>
        </is>
      </c>
      <c r="S96" s="6" t="inlineStr">
        <is>
          <t>C-E02</t>
        </is>
      </c>
      <c r="T96" s="6" t="inlineStr">
        <is>
          <t>SRC-06 E27: TheMCPCompany v2, the scaffolding paper and the ACL paper PDFs were unreadable in prior tools.</t>
        </is>
      </c>
      <c r="U96" s="6" t="inlineStr">
        <is>
          <t>TheMCPCompany v2 and ProMCP are readable and were read; the scaffolding paper is stored but unread.</t>
        </is>
      </c>
      <c r="V96" s="6" t="inlineStr">
        <is>
          <t>Original read; claims it affects revised or marked unverified.</t>
        </is>
      </c>
      <c r="W96" s="6" t="inlineStr"/>
      <c r="X96" s="6" t="inlineStr"/>
      <c r="Y96" s="6" t="inlineStr"/>
      <c r="Z96" s="6" t="inlineStr"/>
      <c r="AA96" s="6" t="inlineStr"/>
      <c r="AB96" s="6" t="inlineStr">
        <is>
          <t>SOURCE+ACCESS</t>
        </is>
      </c>
      <c r="AC96" s="6" t="inlineStr">
        <is>
          <t>n/a (sub-item)</t>
        </is>
      </c>
      <c r="AD96" s="6" t="inlineStr">
        <is>
          <t>NEW (SRC-11 sub-row)</t>
        </is>
      </c>
      <c r="AE96" s="6" t="inlineStr">
        <is>
          <t>2026-10-19</t>
        </is>
      </c>
      <c r="AF96" s="6" t="inlineStr">
        <is>
          <t>stored s4-themcpcompany (158 KB), lit arxiv-2510.19286 (v2, read by steward), r4-scaffolding-mcp-vs-cli, r3-promcp (SUM-0004 read)</t>
        </is>
      </c>
      <c r="AG96" s="6" t="inlineStr"/>
      <c r="AH96" s="6" t="inlineStr">
        <is>
          <t>No (AUTH-016 covers web fetches for this item)</t>
        </is>
      </c>
      <c r="AI96" s="6" t="inlineStr"/>
      <c r="AJ96" s="6" t="inlineStr">
        <is>
          <t>SRC-11 section D2</t>
        </is>
      </c>
      <c r="AK96" s="6" t="inlineStr">
        <is>
          <t>SRC-06 E27</t>
        </is>
      </c>
      <c r="AL96" s="6" t="inlineStr">
        <is>
          <t>S11</t>
        </is>
      </c>
    </row>
    <row r="97" ht="53" customHeight="1">
      <c r="A97" s="5" t="inlineStr">
        <is>
          <t>C-E02/E28</t>
        </is>
      </c>
      <c r="B97" s="6" t="inlineStr">
        <is>
          <t>Earlier MCP-Zero versions, MSR 16-tool assertion, tool_removal primitive not verified</t>
        </is>
      </c>
      <c r="C97" s="6" t="inlineStr">
        <is>
          <t>OPEN</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98</v>
      </c>
      <c r="L97" s="6" t="inlineStr">
        <is>
          <t>W2 Desk work (no model runs)</t>
        </is>
      </c>
      <c r="M97" s="6" t="inlineStr">
        <is>
          <t>S11</t>
        </is>
      </c>
      <c r="N97" s="6" t="inlineStr">
        <is>
          <t>Lead + steward</t>
        </is>
      </c>
      <c r="O97" s="6" t="inlineStr">
        <is>
          <t>Read the decisive passage; fetch only if not stored</t>
        </is>
      </c>
      <c r="P97" s="6" t="inlineStr">
        <is>
          <t>Partly</t>
        </is>
      </c>
      <c r="Q97" s="6" t="inlineStr">
        <is>
          <t>Source check</t>
        </is>
      </c>
      <c r="R97" s="6" t="inlineStr">
        <is>
          <t>Sub-item</t>
        </is>
      </c>
      <c r="S97" s="6" t="inlineStr">
        <is>
          <t>C-E02</t>
        </is>
      </c>
      <c r="T97" s="6" t="inlineStr">
        <is>
          <t>SRC-06 E28: earlier MCP-Zero versions, the MSR 16-tool/window assertion and the tool_removal primitive were not verified.</t>
        </is>
      </c>
      <c r="U97" s="6" t="inlineStr">
        <is>
          <t>Current MCP-Zero text read; earlier versions and MSR not in the repo.</t>
        </is>
      </c>
      <c r="V97" s="6" t="inlineStr">
        <is>
          <t>Original read; claims it affects revised or marked unverified.</t>
        </is>
      </c>
      <c r="W97" s="6" t="inlineStr"/>
      <c r="X97" s="6" t="inlineStr"/>
      <c r="Y97" s="6" t="inlineStr"/>
      <c r="Z97" s="6" t="inlineStr"/>
      <c r="AA97" s="6" t="inlineStr"/>
      <c r="AB97" s="6" t="inlineStr">
        <is>
          <t>SOURCE+ACCESS</t>
        </is>
      </c>
      <c r="AC97" s="6" t="inlineStr">
        <is>
          <t>n/a (sub-item)</t>
        </is>
      </c>
      <c r="AD97" s="6" t="inlineStr">
        <is>
          <t>NEW (SRC-11 sub-row)</t>
        </is>
      </c>
      <c r="AE97" s="6" t="inlineStr">
        <is>
          <t>2026-10-19</t>
        </is>
      </c>
      <c r="AF97" s="6" t="inlineStr">
        <is>
          <t>stored s4-mcpzero-2506-01056 (current text, read by steward under AUTH-011); other versions and the MSR assertion not stored</t>
        </is>
      </c>
      <c r="AG97" s="6" t="inlineStr"/>
      <c r="AH97" s="6" t="inlineStr">
        <is>
          <t>No (AUTH-016 covers web fetches for this item)</t>
        </is>
      </c>
      <c r="AI97" s="6" t="inlineStr"/>
      <c r="AJ97" s="6" t="inlineStr">
        <is>
          <t>SRC-11 section D2</t>
        </is>
      </c>
      <c r="AK97" s="6" t="inlineStr">
        <is>
          <t>SRC-06 E28</t>
        </is>
      </c>
      <c r="AL97" s="6" t="inlineStr">
        <is>
          <t>S11</t>
        </is>
      </c>
    </row>
    <row r="98" ht="65.5" customHeight="1">
      <c r="A98" s="5" t="inlineStr">
        <is>
          <t>C-E02/E29</t>
        </is>
      </c>
      <c r="B98" s="6" t="inlineStr">
        <is>
          <t>Tables/figures garbled for ToolRet, Re-Invoke, ComplexMCP, Shi, ToolTweak, MCP-SafetyBench, LiveMCPBench, Token Reduction</t>
        </is>
      </c>
      <c r="C98" s="6" t="inlineStr">
        <is>
          <t>OPEN</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99</v>
      </c>
      <c r="L98" s="6" t="inlineStr">
        <is>
          <t>W2 Desk work (no model runs)</t>
        </is>
      </c>
      <c r="M98" s="6" t="inlineStr">
        <is>
          <t>S11</t>
        </is>
      </c>
      <c r="N98" s="6" t="inlineStr">
        <is>
          <t>Lead + steward</t>
        </is>
      </c>
      <c r="O98" s="6" t="inlineStr">
        <is>
          <t>Read the decisive passage; fetch only if not stored</t>
        </is>
      </c>
      <c r="P98" s="6" t="inlineStr">
        <is>
          <t>Partly</t>
        </is>
      </c>
      <c r="Q98" s="6" t="inlineStr">
        <is>
          <t>Source check</t>
        </is>
      </c>
      <c r="R98" s="6" t="inlineStr">
        <is>
          <t>Sub-item</t>
        </is>
      </c>
      <c r="S98" s="6" t="inlineStr">
        <is>
          <t>C-E02</t>
        </is>
      </c>
      <c r="T98" s="6" t="inlineStr">
        <is>
          <t>SRC-06 E29: tables/figures of ToolRet, Re-Invoke, ComplexMCP, Shi, ToolTweak, MCP-SafetyBench, LiveMCPBench and Token Reduction were garbled; only MCPVerse was rendered visually.</t>
        </is>
      </c>
      <c r="U98" s="6" t="inlineStr">
        <is>
          <t>Text is stored; garbled tables need page images, and the repo holds no raw PDFs.</t>
        </is>
      </c>
      <c r="V98" s="6" t="inlineStr">
        <is>
          <t>Original read; claims it affects revised or marked unverified.</t>
        </is>
      </c>
      <c r="W98" s="6" t="inlineStr"/>
      <c r="X98" s="6" t="inlineStr"/>
      <c r="Y98" s="6" t="inlineStr">
        <is>
          <t>Q-U22</t>
        </is>
      </c>
      <c r="Z98" s="6" t="inlineStr"/>
      <c r="AA98" s="6" t="inlineStr"/>
      <c r="AB98" s="6" t="inlineStr">
        <is>
          <t>SOURCE+ACCESS</t>
        </is>
      </c>
      <c r="AC98" s="6" t="inlineStr">
        <is>
          <t>n/a (sub-item)</t>
        </is>
      </c>
      <c r="AD98" s="6" t="inlineStr">
        <is>
          <t>NEW (SRC-11 sub-row)</t>
        </is>
      </c>
      <c r="AE98" s="6" t="inlineStr">
        <is>
          <t>2026-10-19</t>
        </is>
      </c>
      <c r="AF98" s="6" t="inlineStr">
        <is>
          <t>all eight stored (r3-toolret, r1-reinvoke, r3-complexmcp, s3-shi-toolhijacker, s3-tooltweak, s3-mcpsafetybench, r3-livemcpbench, r3-tokennotcost); ComplexMCP and Token Reduction rows read via EXT-0026/0075/0016</t>
        </is>
      </c>
      <c r="AG98" s="6" t="inlineStr"/>
      <c r="AH98" s="6" t="inlineStr">
        <is>
          <t>No (AUTH-016 covers web fetches for this item)</t>
        </is>
      </c>
      <c r="AI98" s="6" t="inlineStr"/>
      <c r="AJ98" s="6" t="inlineStr">
        <is>
          <t>SRC-11 section D2</t>
        </is>
      </c>
      <c r="AK98" s="6" t="inlineStr">
        <is>
          <t>SRC-06 E29</t>
        </is>
      </c>
      <c r="AL98" s="6" t="inlineStr">
        <is>
          <t>S11</t>
        </is>
      </c>
    </row>
    <row r="99" ht="53" customHeight="1">
      <c r="A99" s="5" t="inlineStr">
        <is>
          <t>C-E02/E30</t>
        </is>
      </c>
      <c r="B99" s="6" t="inlineStr">
        <is>
          <t>Eight listed prior-art leads never fetched</t>
        </is>
      </c>
      <c r="C99" s="6" t="inlineStr">
        <is>
          <t>OPEN</t>
        </is>
      </c>
      <c r="D99" s="6">
        <f>IFERROR(INDEX(Lists!$B$2:$B$14,MATCH(C99,Lists!$A$2:$A$14,0)),"?")</f>
        <v/>
      </c>
      <c r="E99" s="6">
        <f>IF(COUNTIFS(Links!$B$2:$B$600,A99,Links!$E$2:$E$600,"Yes")&gt;0,"REVISE","")</f>
        <v/>
      </c>
      <c r="F99" s="6">
        <f>COUNTIFS(Links!$B$2:$B$600,A99,Links!$D$2:$D$600,"No",Links!$C$2:$C$600,"&lt;&gt;INFORMS")</f>
        <v/>
      </c>
      <c r="G99" s="11" t="inlineStr">
        <is>
          <t>LITERATURE-DIRECTED</t>
        </is>
      </c>
      <c r="H99" s="6" t="inlineStr">
        <is>
          <t>K14 Source &amp; vendor verification</t>
        </is>
      </c>
      <c r="I99" s="6" t="inlineStr">
        <is>
          <t>G4 Before claims</t>
        </is>
      </c>
      <c r="J99" s="6" t="inlineStr">
        <is>
          <t>Normal</t>
        </is>
      </c>
      <c r="K99" s="6" t="n">
        <v>100</v>
      </c>
      <c r="L99" s="6" t="inlineStr">
        <is>
          <t>W2 Desk work (no model runs)</t>
        </is>
      </c>
      <c r="M99" s="6" t="inlineStr">
        <is>
          <t>S11</t>
        </is>
      </c>
      <c r="N99" s="6" t="inlineStr">
        <is>
          <t>You (supply the list) then lead</t>
        </is>
      </c>
      <c r="O99" s="6" t="inlineStr">
        <is>
          <t>Directed search (needs scope)</t>
        </is>
      </c>
      <c r="P99" s="6" t="inlineStr">
        <is>
          <t>No</t>
        </is>
      </c>
      <c r="Q99" s="6" t="inlineStr">
        <is>
          <t>Source check</t>
        </is>
      </c>
      <c r="R99" s="6" t="inlineStr">
        <is>
          <t>Sub-item</t>
        </is>
      </c>
      <c r="S99" s="6" t="inlineStr">
        <is>
          <t>C-E02</t>
        </is>
      </c>
      <c r="T99" s="6" t="inlineStr">
        <is>
          <t>SRC-06 E30: eight listed prior-art leads were never fetched by the earlier body.</t>
        </is>
      </c>
      <c r="U99" s="6" t="inlineStr">
        <is>
          <t>Names not available from SRC-11; cannot check against the repo.</t>
        </is>
      </c>
      <c r="V99" s="6" t="inlineStr">
        <is>
          <t>Original read; claims it affects revised or marked unverified.</t>
        </is>
      </c>
      <c r="W99" s="6" t="inlineStr"/>
      <c r="X99" s="6" t="inlineStr"/>
      <c r="Y99" s="6" t="inlineStr">
        <is>
          <t>Q-U23</t>
        </is>
      </c>
      <c r="Z99" s="6" t="inlineStr"/>
      <c r="AA99" s="6" t="inlineStr"/>
      <c r="AB99" s="6" t="inlineStr">
        <is>
          <t>SOURCE+ACCESS</t>
        </is>
      </c>
      <c r="AC99" s="6" t="inlineStr">
        <is>
          <t>n/a (sub-item)</t>
        </is>
      </c>
      <c r="AD99" s="6" t="inlineStr">
        <is>
          <t>NEW (SRC-11 sub-row)</t>
        </is>
      </c>
      <c r="AE99" s="6" t="inlineStr">
        <is>
          <t>2026-10-19</t>
        </is>
      </c>
      <c r="AF99" s="6" t="inlineStr">
        <is>
          <t>the list is in SRC-08 (not in .workspace)</t>
        </is>
      </c>
      <c r="AG99" s="6" t="inlineStr"/>
      <c r="AH99" s="6" t="inlineStr">
        <is>
          <t>No (AUTH-016 covers web fetches for this item)</t>
        </is>
      </c>
      <c r="AI99" s="6" t="inlineStr"/>
      <c r="AJ99" s="6" t="inlineStr">
        <is>
          <t>SRC-11 section D2</t>
        </is>
      </c>
      <c r="AK99" s="6" t="inlineStr">
        <is>
          <t>SRC-06 E30</t>
        </is>
      </c>
      <c r="AL99" s="6" t="inlineStr">
        <is>
          <t>S11</t>
        </is>
      </c>
    </row>
    <row r="100" ht="78" customHeight="1">
      <c r="A100" s="5" t="inlineStr">
        <is>
          <t>C-E02/E31</t>
        </is>
      </c>
      <c r="B100" s="6" t="inlineStr">
        <is>
          <t>ScaleMCP/MemTool/Toolshed/Manus/HAL/tau-bench and Spring AI/langgraph-bigtool: follow-up status unclear</t>
        </is>
      </c>
      <c r="C100" s="6" t="inlineStr">
        <is>
          <t>PARTLY ANSWERED</t>
        </is>
      </c>
      <c r="D100" s="6">
        <f>IFERROR(INDEX(Lists!$B$2:$B$14,MATCH(C100,Lists!$A$2:$A$14,0)),"?")</f>
        <v/>
      </c>
      <c r="E100" s="6">
        <f>IF(COUNTIFS(Links!$B$2:$B$600,A100,Links!$E$2:$E$600,"Yes")&gt;0,"REVISE","")</f>
        <v/>
      </c>
      <c r="F100" s="6">
        <f>COUNTIFS(Links!$B$2:$B$600,A100,Links!$D$2:$D$600,"No",Links!$C$2:$C$600,"&lt;&gt;INFORMS")</f>
        <v/>
      </c>
      <c r="G100" s="14" t="inlineStr">
        <is>
          <t>SOURCE-REREAD</t>
        </is>
      </c>
      <c r="H100" s="6" t="inlineStr">
        <is>
          <t>K14 Source &amp; vendor verification</t>
        </is>
      </c>
      <c r="I100" s="6" t="inlineStr">
        <is>
          <t>G4 Before claims</t>
        </is>
      </c>
      <c r="J100" s="6" t="inlineStr">
        <is>
          <t>Normal</t>
        </is>
      </c>
      <c r="K100" s="6" t="n">
        <v>101</v>
      </c>
      <c r="L100" s="6" t="inlineStr">
        <is>
          <t>W2 Desk work (no model runs)</t>
        </is>
      </c>
      <c r="M100" s="6" t="inlineStr">
        <is>
          <t>S11</t>
        </is>
      </c>
      <c r="N100" s="6" t="inlineStr">
        <is>
          <t>Lead + steward</t>
        </is>
      </c>
      <c r="O100" s="6" t="inlineStr">
        <is>
          <t>Read the decisive passage; fetch only if not stored</t>
        </is>
      </c>
      <c r="P100" s="6" t="inlineStr">
        <is>
          <t>Partly</t>
        </is>
      </c>
      <c r="Q100" s="6" t="inlineStr">
        <is>
          <t>Source check</t>
        </is>
      </c>
      <c r="R100" s="6" t="inlineStr">
        <is>
          <t>Sub-item</t>
        </is>
      </c>
      <c r="S100" s="6" t="inlineStr">
        <is>
          <t>C-E02</t>
        </is>
      </c>
      <c r="T100" s="6" t="inlineStr">
        <is>
          <t>SRC-06 E31: ScaleMCP, MemTool, Toolshed, Manus, HAL and tau-bench groups and Spring AI / langgraph-bigtool code; follow-up status is unclear.</t>
        </is>
      </c>
      <c r="U100" s="6" t="inlineStr">
        <is>
          <t>Fetched 2026-10-13 and stored; ScaleMCP, MCP-Zero and MemTool were read by the steward; the rest are stored with unknown read status.</t>
        </is>
      </c>
      <c r="V100" s="6" t="inlineStr">
        <is>
          <t>Original read; claims it affects revised or marked unverified.</t>
        </is>
      </c>
      <c r="W100" s="6" t="inlineStr"/>
      <c r="X100" s="6" t="inlineStr"/>
      <c r="Y100" s="6" t="inlineStr"/>
      <c r="Z100" s="6" t="inlineStr"/>
      <c r="AA100" s="6" t="inlineStr"/>
      <c r="AB100" s="6" t="inlineStr">
        <is>
          <t>SOURCE+ACCESS</t>
        </is>
      </c>
      <c r="AC100" s="6" t="inlineStr">
        <is>
          <t>n/a (sub-item)</t>
        </is>
      </c>
      <c r="AD100" s="6" t="inlineStr">
        <is>
          <t>NEW (SRC-11 sub-row)</t>
        </is>
      </c>
      <c r="AE100" s="6" t="inlineStr">
        <is>
          <t>2026-10-19</t>
        </is>
      </c>
      <c r="AF100" s="6" t="inlineStr">
        <is>
          <t>all stored: s4-scalemcp-2505-06416, s4-memtool-2507-21428, s4-toolshed-2410-14594, s4-manus-context-eng, s4-hal-2510-11977, s4-taubench-2406-12045, r4-spring-tool-search-*, r4-langgraph-bigtool-readme, s4-bigtool-graph-py; SUM-0005 read ScaleMCP/MCP-Zero/MemTool</t>
        </is>
      </c>
      <c r="AG100" s="6" t="inlineStr"/>
      <c r="AH100" s="6" t="inlineStr">
        <is>
          <t>No (AUTH-016 covers web fetches for this item)</t>
        </is>
      </c>
      <c r="AI100" s="6" t="inlineStr"/>
      <c r="AJ100" s="6" t="inlineStr">
        <is>
          <t>SRC-11 section D2</t>
        </is>
      </c>
      <c r="AK100" s="6" t="inlineStr">
        <is>
          <t>SRC-06 E31</t>
        </is>
      </c>
      <c r="AL100" s="6" t="inlineStr">
        <is>
          <t>S11</t>
        </is>
      </c>
    </row>
    <row r="101" ht="53" customHeight="1">
      <c r="A101" s="5" t="inlineStr">
        <is>
          <t>C-E02/E32</t>
        </is>
      </c>
      <c r="B101" s="6" t="inlineStr">
        <is>
          <t>95 near-miss stored texts: abstracts read, ~12 read deeper</t>
        </is>
      </c>
      <c r="C101" s="6" t="inlineStr">
        <is>
          <t>OPEN</t>
        </is>
      </c>
      <c r="D101" s="6">
        <f>IFERROR(INDEX(Lists!$B$2:$B$14,MATCH(C101,Lists!$A$2:$A$14,0)),"?")</f>
        <v/>
      </c>
      <c r="E101" s="6">
        <f>IF(COUNTIFS(Links!$B$2:$B$600,A101,Links!$E$2:$E$600,"Yes")&gt;0,"REVISE","")</f>
        <v/>
      </c>
      <c r="F101" s="6">
        <f>COUNTIFS(Links!$B$2:$B$600,A101,Links!$D$2:$D$600,"No",Links!$C$2:$C$600,"&lt;&gt;INFORMS")</f>
        <v/>
      </c>
      <c r="G101" s="14" t="inlineStr">
        <is>
          <t>SOURCE-REREAD</t>
        </is>
      </c>
      <c r="H101" s="6" t="inlineStr">
        <is>
          <t>K14 Source &amp; vendor verification</t>
        </is>
      </c>
      <c r="I101" s="6" t="inlineStr">
        <is>
          <t>G4 Before claims</t>
        </is>
      </c>
      <c r="J101" s="6" t="inlineStr">
        <is>
          <t>Normal</t>
        </is>
      </c>
      <c r="K101" s="6" t="n">
        <v>102</v>
      </c>
      <c r="L101" s="6" t="inlineStr">
        <is>
          <t>W2 Desk work (no model runs)</t>
        </is>
      </c>
      <c r="M101" s="6" t="inlineStr">
        <is>
          <t>S11</t>
        </is>
      </c>
      <c r="N101" s="6" t="inlineStr">
        <is>
          <t>Lead + steward</t>
        </is>
      </c>
      <c r="O101" s="6" t="inlineStr">
        <is>
          <t>Read the decisive passage; fetch only if not stored</t>
        </is>
      </c>
      <c r="P101" s="6" t="inlineStr">
        <is>
          <t>Partly</t>
        </is>
      </c>
      <c r="Q101" s="6" t="inlineStr">
        <is>
          <t>Source check</t>
        </is>
      </c>
      <c r="R101" s="6" t="inlineStr">
        <is>
          <t>Sub-item</t>
        </is>
      </c>
      <c r="S101" s="6" t="inlineStr">
        <is>
          <t>C-E02</t>
        </is>
      </c>
      <c r="T101" s="6" t="inlineStr">
        <is>
          <t>SRC-06 E32: 95 near-miss stored texts had abstracts read; only about 12 were read deeper.</t>
        </is>
      </c>
      <c r="U101" s="6" t="inlineStr">
        <is>
          <t>Only some near-miss texts are in this repo's source set.</t>
        </is>
      </c>
      <c r="V101" s="6" t="inlineStr">
        <is>
          <t>Decisive ones prioritised; broad absence claims not made.</t>
        </is>
      </c>
      <c r="W101" s="6" t="inlineStr"/>
      <c r="X101" s="6" t="inlineStr"/>
      <c r="Y101" s="6" t="inlineStr"/>
      <c r="Z101" s="6" t="inlineStr"/>
      <c r="AA101" s="6" t="inlineStr"/>
      <c r="AB101" s="6" t="inlineStr">
        <is>
          <t>SOURCE+ACCESS</t>
        </is>
      </c>
      <c r="AC101" s="6" t="inlineStr">
        <is>
          <t>n/a (sub-item)</t>
        </is>
      </c>
      <c r="AD101" s="6" t="inlineStr">
        <is>
          <t>NEW (SRC-11 sub-row)</t>
        </is>
      </c>
      <c r="AE101" s="6" t="inlineStr">
        <is>
          <t>2026-10-19</t>
        </is>
      </c>
      <c r="AF101" s="6" t="inlineStr">
        <is>
          <t>sources.json holds 239 manifests (about 20 'ch-s2-*' near-miss entries)</t>
        </is>
      </c>
      <c r="AG101" s="6" t="inlineStr"/>
      <c r="AH101" s="6" t="inlineStr">
        <is>
          <t>No (AUTH-016 covers web fetches for this item)</t>
        </is>
      </c>
      <c r="AI101" s="6" t="inlineStr"/>
      <c r="AJ101" s="6" t="inlineStr">
        <is>
          <t>SRC-11 section D2</t>
        </is>
      </c>
      <c r="AK101" s="6" t="inlineStr">
        <is>
          <t>SRC-06 E32</t>
        </is>
      </c>
      <c r="AL101" s="6" t="inlineStr">
        <is>
          <t>S11</t>
        </is>
      </c>
    </row>
    <row r="102" ht="53" customHeight="1">
      <c r="A102" s="5" t="inlineStr">
        <is>
          <t>C-E02/E33</t>
        </is>
      </c>
      <c r="B102" s="6" t="inlineStr">
        <is>
          <t>Historical web fetches were model-generated extracts; 'verbatim' may be paraphrase</t>
        </is>
      </c>
      <c r="C102" s="6" t="inlineStr">
        <is>
          <t>OPEN</t>
        </is>
      </c>
      <c r="D102" s="6">
        <f>IFERROR(INDEX(Lists!$B$2:$B$14,MATCH(C102,Lists!$A$2:$A$14,0)),"?")</f>
        <v/>
      </c>
      <c r="E102" s="6">
        <f>IF(COUNTIFS(Links!$B$2:$B$600,A102,Links!$E$2:$E$600,"Yes")&gt;0,"REVISE","")</f>
        <v/>
      </c>
      <c r="F102" s="6">
        <f>COUNTIFS(Links!$B$2:$B$600,A102,Links!$D$2:$D$600,"No",Links!$C$2:$C$600,"&lt;&gt;INFORMS")</f>
        <v/>
      </c>
      <c r="G102" s="14" t="inlineStr">
        <is>
          <t>SOURCE-REREAD</t>
        </is>
      </c>
      <c r="H102" s="6" t="inlineStr">
        <is>
          <t>K14 Source &amp; vendor verification</t>
        </is>
      </c>
      <c r="I102" s="6" t="inlineStr">
        <is>
          <t>G4 Before claims</t>
        </is>
      </c>
      <c r="J102" s="6" t="inlineStr">
        <is>
          <t>Normal</t>
        </is>
      </c>
      <c r="K102" s="6" t="n">
        <v>103</v>
      </c>
      <c r="L102" s="6" t="inlineStr">
        <is>
          <t>W2 Desk work (no model runs)</t>
        </is>
      </c>
      <c r="M102" s="6" t="inlineStr">
        <is>
          <t>S11</t>
        </is>
      </c>
      <c r="N102" s="6" t="inlineStr">
        <is>
          <t>Lead + steward</t>
        </is>
      </c>
      <c r="O102" s="6" t="inlineStr">
        <is>
          <t>Read the decisive passage; fetch only if not stored</t>
        </is>
      </c>
      <c r="P102" s="6" t="inlineStr">
        <is>
          <t>Partly</t>
        </is>
      </c>
      <c r="Q102" s="6" t="inlineStr">
        <is>
          <t>Source check</t>
        </is>
      </c>
      <c r="R102" s="6" t="inlineStr">
        <is>
          <t>Sub-item</t>
        </is>
      </c>
      <c r="S102" s="6" t="inlineStr">
        <is>
          <t>C-E02</t>
        </is>
      </c>
      <c r="T102" s="6" t="inlineStr">
        <is>
          <t>SRC-06 E33: historical web fetches were model-generated extracts, so 'verbatim' quotes may be paraphrase.</t>
        </is>
      </c>
      <c r="U102" s="6" t="inlineStr">
        <is>
          <t>Stored PDFs are raw text-layer extracts (verbatim); web-page extractor to be confirmed per source.</t>
        </is>
      </c>
      <c r="V102" s="6" t="inlineStr">
        <is>
          <t>Raw original used before any direct quote.</t>
        </is>
      </c>
      <c r="W102" s="6" t="inlineStr"/>
      <c r="X102" s="6" t="inlineStr"/>
      <c r="Y102" s="6" t="inlineStr"/>
      <c r="Z102" s="6" t="inlineStr"/>
      <c r="AA102" s="6" t="inlineStr"/>
      <c r="AB102" s="6" t="inlineStr">
        <is>
          <t>SOURCE+ACCESS</t>
        </is>
      </c>
      <c r="AC102" s="6" t="inlineStr">
        <is>
          <t>n/a (sub-item)</t>
        </is>
      </c>
      <c r="AD102" s="6" t="inlineStr">
        <is>
          <t>NEW (SRC-11 sub-row)</t>
        </is>
      </c>
      <c r="AE102" s="6" t="inlineStr">
        <is>
          <t>2026-10-19</t>
        </is>
      </c>
      <c r="AF102" s="6" t="inlineStr">
        <is>
          <t>sources.json extractor field per source (pdftotext for PDFs); stored text hashes</t>
        </is>
      </c>
      <c r="AG102" s="6" t="inlineStr"/>
      <c r="AH102" s="6" t="inlineStr">
        <is>
          <t>No (AUTH-016 covers web fetches for this item)</t>
        </is>
      </c>
      <c r="AI102" s="6" t="inlineStr"/>
      <c r="AJ102" s="6" t="inlineStr">
        <is>
          <t>SRC-11 section D2</t>
        </is>
      </c>
      <c r="AK102" s="6" t="inlineStr">
        <is>
          <t>SRC-06 E33</t>
        </is>
      </c>
      <c r="AL102" s="6" t="inlineStr">
        <is>
          <t>S11</t>
        </is>
      </c>
    </row>
    <row r="103" ht="53" customHeight="1">
      <c r="A103" s="5" t="inlineStr">
        <is>
          <t>C-E02/E34</t>
        </is>
      </c>
      <c r="B103" s="6" t="inlineStr">
        <is>
          <t>Historical 'not found' claims used only 2-3 queries</t>
        </is>
      </c>
      <c r="C103" s="6" t="inlineStr">
        <is>
          <t>PARTLY ANSWERED</t>
        </is>
      </c>
      <c r="D103" s="6">
        <f>IFERROR(INDEX(Lists!$B$2:$B$14,MATCH(C103,Lists!$A$2:$A$14,0)),"?")</f>
        <v/>
      </c>
      <c r="E103" s="6">
        <f>IF(COUNTIFS(Links!$B$2:$B$600,A103,Links!$E$2:$E$600,"Yes")&gt;0,"REVISE","")</f>
        <v/>
      </c>
      <c r="F103" s="6">
        <f>COUNTIFS(Links!$B$2:$B$600,A103,Links!$D$2:$D$600,"No",Links!$C$2:$C$600,"&lt;&gt;INFORMS")</f>
        <v/>
      </c>
      <c r="G103" s="11" t="inlineStr">
        <is>
          <t>LITERATURE-DIRECTED</t>
        </is>
      </c>
      <c r="H103" s="6" t="inlineStr">
        <is>
          <t>K14 Source &amp; vendor verification</t>
        </is>
      </c>
      <c r="I103" s="6" t="inlineStr">
        <is>
          <t>G4 Before claims</t>
        </is>
      </c>
      <c r="J103" s="6" t="inlineStr">
        <is>
          <t>Normal</t>
        </is>
      </c>
      <c r="K103" s="6" t="n">
        <v>104</v>
      </c>
      <c r="L103" s="6" t="inlineStr">
        <is>
          <t>W2 Desk work (no model runs)</t>
        </is>
      </c>
      <c r="M103" s="6" t="inlineStr">
        <is>
          <t>S11</t>
        </is>
      </c>
      <c r="N103" s="6" t="inlineStr">
        <is>
          <t>Lead + steward</t>
        </is>
      </c>
      <c r="O103" s="6" t="inlineStr">
        <is>
          <t>Directed search (needs scope)</t>
        </is>
      </c>
      <c r="P103" s="6" t="inlineStr">
        <is>
          <t>Partly</t>
        </is>
      </c>
      <c r="Q103" s="6" t="inlineStr">
        <is>
          <t>Source check</t>
        </is>
      </c>
      <c r="R103" s="6" t="inlineStr">
        <is>
          <t>Sub-item</t>
        </is>
      </c>
      <c r="S103" s="6" t="inlineStr">
        <is>
          <t>C-E02</t>
        </is>
      </c>
      <c r="T103" s="6" t="inlineStr">
        <is>
          <t>SRC-06 E34: historical 'not found' claims used only 2-3 queries and missed stored sources.</t>
        </is>
      </c>
      <c r="U103" s="6" t="inlineStr">
        <is>
          <t>The convention 'not found, never does not exist' is adopted; a search log exists for the AUTH-011/013 topics only.</t>
        </is>
      </c>
      <c r="V103" s="6" t="inlineStr">
        <is>
          <t>Each absence claim carries a bounded search log.</t>
        </is>
      </c>
      <c r="W103" s="6" t="inlineStr"/>
      <c r="X103" s="6" t="inlineStr"/>
      <c r="Y103" s="6" t="inlineStr"/>
      <c r="Z103" s="6" t="inlineStr"/>
      <c r="AA103" s="6" t="inlineStr"/>
      <c r="AB103" s="6" t="inlineStr">
        <is>
          <t>SOURCE+ACCESS</t>
        </is>
      </c>
      <c r="AC103" s="6" t="inlineStr">
        <is>
          <t>n/a (sub-item)</t>
        </is>
      </c>
      <c r="AD103" s="6" t="inlineStr">
        <is>
          <t>NEW (SRC-11 sub-row)</t>
        </is>
      </c>
      <c r="AE103" s="6" t="inlineStr">
        <is>
          <t>2026-10-19</t>
        </is>
      </c>
      <c r="AF103" s="6" t="inlineStr">
        <is>
          <t>CAVEATS row 1; v4-05 header ('not found in these texts and the stored set'); literature README (27 searches logged)</t>
        </is>
      </c>
      <c r="AG103" s="6" t="inlineStr"/>
      <c r="AH103" s="6" t="inlineStr">
        <is>
          <t>No (AUTH-016 covers web fetches for this item)</t>
        </is>
      </c>
      <c r="AI103" s="6" t="inlineStr"/>
      <c r="AJ103" s="6" t="inlineStr">
        <is>
          <t>SRC-11 section D2</t>
        </is>
      </c>
      <c r="AK103" s="6" t="inlineStr">
        <is>
          <t>SRC-06 E34</t>
        </is>
      </c>
      <c r="AL103" s="6" t="inlineStr">
        <is>
          <t>S11</t>
        </is>
      </c>
    </row>
    <row r="104" ht="53" customHeight="1">
      <c r="A104" s="5" t="inlineStr">
        <is>
          <t>C-E02/STEWARDUNREAD</t>
        </is>
      </c>
      <c r="B104" s="6" t="inlineStr">
        <is>
          <t>Steward did not read appendices of TheMCPCompany, LiveMCPBench, When2Call, SING, the cache study</t>
        </is>
      </c>
      <c r="C104" s="6" t="inlineStr">
        <is>
          <t>OPEN</t>
        </is>
      </c>
      <c r="D104" s="6">
        <f>IFERROR(INDEX(Lists!$B$2:$B$14,MATCH(C104,Lists!$A$2:$A$14,0)),"?")</f>
        <v/>
      </c>
      <c r="E104" s="6">
        <f>IF(COUNTIFS(Links!$B$2:$B$600,A104,Links!$E$2:$E$600,"Yes")&gt;0,"REVISE","")</f>
        <v/>
      </c>
      <c r="F104" s="6">
        <f>COUNTIFS(Links!$B$2:$B$600,A104,Links!$D$2:$D$600,"No",Links!$C$2:$C$600,"&lt;&gt;INFORMS")</f>
        <v/>
      </c>
      <c r="G104" s="14" t="inlineStr">
        <is>
          <t>SOURCE-REREAD</t>
        </is>
      </c>
      <c r="H104" s="6" t="inlineStr">
        <is>
          <t>K14 Source &amp; vendor verification</t>
        </is>
      </c>
      <c r="I104" s="6" t="inlineStr">
        <is>
          <t>G4 Before claims</t>
        </is>
      </c>
      <c r="J104" s="6" t="inlineStr">
        <is>
          <t>Normal</t>
        </is>
      </c>
      <c r="K104" s="6" t="n">
        <v>105</v>
      </c>
      <c r="L104" s="6" t="inlineStr">
        <is>
          <t>W2 Desk work (no model runs)</t>
        </is>
      </c>
      <c r="M104" s="6" t="inlineStr">
        <is>
          <t>S11</t>
        </is>
      </c>
      <c r="N104" s="6" t="inlineStr">
        <is>
          <t>Lead + fresh reviewer</t>
        </is>
      </c>
      <c r="O104" s="6" t="inlineStr">
        <is>
          <t>Read the stored text first (tools/origin_extract.py)</t>
        </is>
      </c>
      <c r="P104" s="6" t="inlineStr">
        <is>
          <t>Yes - stored text, unread</t>
        </is>
      </c>
      <c r="Q104" s="6" t="inlineStr">
        <is>
          <t>Record fix</t>
        </is>
      </c>
      <c r="R104" s="6" t="inlineStr">
        <is>
          <t>Sub-item</t>
        </is>
      </c>
      <c r="S104" s="6" t="inlineStr">
        <is>
          <t>C-E02</t>
        </is>
      </c>
      <c r="T104" s="6" t="inlineStr">
        <is>
          <t>v4-05 section 5: TheMCPCompany trajectories and appendices, LiveMCPBench appendices other than cited, When2Call appendices, SING appendices (prompts) and the cache-study appendices were not read.</t>
        </is>
      </c>
      <c r="U104" s="6" t="inlineStr">
        <is>
          <t>Recorded as open in its source; not examined further in this review.</t>
        </is>
      </c>
      <c r="V104" s="6" t="inlineStr">
        <is>
          <t>Read if a claim depends on them.</t>
        </is>
      </c>
      <c r="W104" s="6" t="inlineStr"/>
      <c r="X104" s="6" t="inlineStr"/>
      <c r="Y104" s="6" t="inlineStr"/>
      <c r="Z104" s="6" t="inlineStr"/>
      <c r="AA104" s="6" t="inlineStr"/>
      <c r="AB104" s="6" t="inlineStr">
        <is>
          <t>RECORD+SOURCE</t>
        </is>
      </c>
      <c r="AC104" s="6" t="inlineStr">
        <is>
          <t>n/a (sub-item)</t>
        </is>
      </c>
      <c r="AD104" s="6" t="inlineStr">
        <is>
          <t>NEW (repo sweep)</t>
        </is>
      </c>
      <c r="AE104" s="6" t="inlineStr">
        <is>
          <t>2026-10-19</t>
        </is>
      </c>
      <c r="AF104" s="6" t="inlineStr">
        <is>
          <t>v4-05 section 5</t>
        </is>
      </c>
      <c r="AG104" s="6" t="inlineStr"/>
      <c r="AH104" s="6" t="inlineStr">
        <is>
          <t>No (AUTH-016 covers web fetches for this item)</t>
        </is>
      </c>
      <c r="AI104" s="6" t="inlineStr"/>
      <c r="AJ104" s="6" t="inlineStr">
        <is>
          <t>repo: v4-03 section 6 / RV-0005 / RV-0007</t>
        </is>
      </c>
      <c r="AK104" s="6" t="inlineStr"/>
      <c r="AL104" s="6" t="inlineStr">
        <is>
          <t>S11</t>
        </is>
      </c>
    </row>
    <row r="105" ht="53" customHeight="1">
      <c r="A105" s="5" t="inlineStr">
        <is>
          <t>C-X09</t>
        </is>
      </c>
      <c r="B105" s="6" t="inlineStr">
        <is>
          <t>Re-read decisive papers/tables or ask authors (the check behind C-E01..E03 and C-S19).</t>
        </is>
      </c>
      <c r="C105" s="6" t="inlineStr">
        <is>
          <t>PARTLY ANSWERED</t>
        </is>
      </c>
      <c r="D105" s="6">
        <f>IFERROR(INDEX(Lists!$B$2:$B$14,MATCH(C105,Lists!$A$2:$A$14,0)),"?")</f>
        <v/>
      </c>
      <c r="E105" s="6">
        <f>IF(COUNTIFS(Links!$B$2:$B$600,A105,Links!$E$2:$E$600,"Yes")&gt;0,"REVISE","")</f>
        <v/>
      </c>
      <c r="F105" s="6">
        <f>COUNTIFS(Links!$B$2:$B$600,A105,Links!$D$2:$D$600,"No",Links!$C$2:$C$600,"&lt;&gt;INFORMS")</f>
        <v/>
      </c>
      <c r="G105" s="14" t="inlineStr">
        <is>
          <t>SOURCE-REREAD</t>
        </is>
      </c>
      <c r="H105" s="6" t="inlineStr">
        <is>
          <t>K14 Source &amp; vendor verification</t>
        </is>
      </c>
      <c r="I105" s="6" t="inlineStr">
        <is>
          <t>G4 Before claims</t>
        </is>
      </c>
      <c r="J105" s="6" t="inlineStr">
        <is>
          <t>Normal</t>
        </is>
      </c>
      <c r="K105" s="6" t="n">
        <v>107</v>
      </c>
      <c r="L105" s="6" t="inlineStr">
        <is>
          <t>W2 Desk work (no model runs)</t>
        </is>
      </c>
      <c r="M105" s="6" t="inlineStr">
        <is>
          <t>S11</t>
        </is>
      </c>
      <c r="N105" s="6" t="inlineStr">
        <is>
          <t>Lead + steward</t>
        </is>
      </c>
      <c r="O105" s="6" t="inlineStr">
        <is>
          <t>Read the stored text first (tools/origin_extract.py)</t>
        </is>
      </c>
      <c r="P105" s="6" t="inlineStr">
        <is>
          <t>Yes - stored text, unread</t>
        </is>
      </c>
      <c r="Q105" s="6" t="inlineStr">
        <is>
          <t>Test</t>
        </is>
      </c>
      <c r="R105" s="6" t="inlineStr">
        <is>
          <t>Check</t>
        </is>
      </c>
      <c r="S105" s="6" t="inlineStr"/>
      <c r="T105" s="6" t="inlineStr">
        <is>
          <t>Re-read decisive papers/tables or ask authors (the check behind C-E01..E03 and C-S19).</t>
        </is>
      </c>
      <c r="U105" s="6" t="inlineStr">
        <is>
          <t>Steward read many decisive bodies (TheMCPCompany, LiveMCPBench, SING, MCP-Zero, ScaleMCP, MemTool, When2Call, cache study); MCPVerse is a lead reading only; no author contacted.</t>
        </is>
      </c>
      <c r="V105" s="6" t="inlineStr">
        <is>
          <t>Pivotal sources read and cited with version; authors asked where needed.</t>
        </is>
      </c>
      <c r="W105" s="6" t="inlineStr"/>
      <c r="X105" s="6" t="inlineStr">
        <is>
          <t>C-D01</t>
        </is>
      </c>
      <c r="Y105" s="6" t="inlineStr"/>
      <c r="Z105" s="6" t="inlineStr">
        <is>
          <t>AUTHOR-OR-VENDOR</t>
        </is>
      </c>
      <c r="AA105" s="6" t="inlineStr"/>
      <c r="AB105" s="6" t="inlineStr">
        <is>
          <t>SOURCE</t>
        </is>
      </c>
      <c r="AC105" s="6" t="inlineStr">
        <is>
          <t>PARTLY DONE - OPEN</t>
        </is>
      </c>
      <c r="AD105" s="6" t="inlineStr">
        <is>
          <t>NARROWED</t>
        </is>
      </c>
      <c r="AE105" s="6" t="inlineStr">
        <is>
          <t>2026-10-19</t>
        </is>
      </c>
      <c r="AF105" s="6" t="inlineStr">
        <is>
          <t>SUM-0005..0009</t>
        </is>
      </c>
      <c r="AG105" s="6" t="inlineStr"/>
      <c r="AH105" s="6" t="inlineStr">
        <is>
          <t>No (AUTH-016 covers web fetches for this item)</t>
        </is>
      </c>
      <c r="AI105" s="6" t="inlineStr"/>
      <c r="AJ105" s="6" t="inlineStr">
        <is>
          <t>SRC-11 canonical</t>
        </is>
      </c>
      <c r="AK105" s="6" t="inlineStr">
        <is>
          <t>SRC-06 X09</t>
        </is>
      </c>
      <c r="AL105" s="6" t="inlineStr">
        <is>
          <t>S11</t>
        </is>
      </c>
    </row>
    <row r="106" ht="40.5" customHeight="1">
      <c r="A106" s="5" t="inlineStr">
        <is>
          <t>C-S05</t>
        </is>
      </c>
      <c r="B106" s="6" t="inlineStr">
        <is>
          <t>Vendor tool-search gain (49% to 74%) has no public method or sample and is unreplicated.</t>
        </is>
      </c>
      <c r="C106" s="6" t="inlineStr">
        <is>
          <t>NOT LOCATED</t>
        </is>
      </c>
      <c r="D106" s="6">
        <f>IFERROR(INDEX(Lists!$B$2:$B$14,MATCH(C106,Lists!$A$2:$A$14,0)),"?")</f>
        <v/>
      </c>
      <c r="E106" s="6">
        <f>IF(COUNTIFS(Links!$B$2:$B$600,A106,Links!$E$2:$E$600,"Yes")&gt;0,"REVISE","")</f>
        <v/>
      </c>
      <c r="F106" s="6">
        <f>COUNTIFS(Links!$B$2:$B$600,A106,Links!$D$2:$D$600,"No",Links!$C$2:$C$600,"&lt;&gt;INFORMS")</f>
        <v/>
      </c>
      <c r="G106" s="16" t="inlineStr">
        <is>
          <t>AUTHOR-OR-VENDOR</t>
        </is>
      </c>
      <c r="H106" s="6" t="inlineStr">
        <is>
          <t>K14 Source &amp; vendor verification</t>
        </is>
      </c>
      <c r="I106" s="6" t="inlineStr">
        <is>
          <t>G4 Before claims</t>
        </is>
      </c>
      <c r="J106" s="6" t="inlineStr">
        <is>
          <t>Normal</t>
        </is>
      </c>
      <c r="K106" s="6" t="n">
        <v>109</v>
      </c>
      <c r="L106" s="6" t="inlineStr">
        <is>
          <t>W2 Desk work (no model runs)</t>
        </is>
      </c>
      <c r="M106" s="6" t="inlineStr">
        <is>
          <t>S12</t>
        </is>
      </c>
      <c r="N106" s="6" t="inlineStr">
        <is>
          <t>Vendor (or an independent benchmark)</t>
        </is>
      </c>
      <c r="O106" s="6" t="inlineStr">
        <is>
          <t>Ask once, set a reply date</t>
        </is>
      </c>
      <c r="P106" s="6" t="inlineStr">
        <is>
          <t>No</t>
        </is>
      </c>
      <c r="Q106" s="6" t="inlineStr">
        <is>
          <t>Source check</t>
        </is>
      </c>
      <c r="R106" s="6" t="inlineStr">
        <is>
          <t>Item</t>
        </is>
      </c>
      <c r="S106" s="6" t="inlineStr"/>
      <c r="T106" s="6" t="inlineStr">
        <is>
          <t>Vendor tool-search gain (49% to 74%) has no public method or sample and is unreplicated.</t>
        </is>
      </c>
      <c r="U106" s="6" t="inlineStr">
        <is>
          <t>Three differently worded searches found no third-party measurement (not located is not 'does not exist').</t>
        </is>
      </c>
      <c r="V106" s="6" t="inlineStr">
        <is>
          <t>Method/data supplied, or recorded as 'not provided' and cited as a vendor claim.</t>
        </is>
      </c>
      <c r="W106" s="6" t="inlineStr"/>
      <c r="X106" s="6" t="inlineStr">
        <is>
          <t>C-S02</t>
        </is>
      </c>
      <c r="Y106" s="6" t="inlineStr"/>
      <c r="Z106" s="6" t="inlineStr">
        <is>
          <t>TEST-PILOT</t>
        </is>
      </c>
      <c r="AA106" s="6" t="inlineStr">
        <is>
          <t>K11 End-to-end comparison</t>
        </is>
      </c>
      <c r="AB106" s="6" t="inlineStr">
        <is>
          <t>SOURCE+DATA</t>
        </is>
      </c>
      <c r="AC106" s="6" t="inlineStr">
        <is>
          <t>OPEN</t>
        </is>
      </c>
      <c r="AD106" s="6" t="inlineStr">
        <is>
          <t>NOT LOCATED</t>
        </is>
      </c>
      <c r="AE106" s="6" t="inlineStr">
        <is>
          <t>2026-10-19</t>
        </is>
      </c>
      <c r="AF106" s="6" t="inlineStr">
        <is>
          <t>v4-05 section 1B and saturation note; EXT-0074</t>
        </is>
      </c>
      <c r="AG106" s="6" t="inlineStr"/>
      <c r="AH106" s="6" t="inlineStr">
        <is>
          <t>No for the ask</t>
        </is>
      </c>
      <c r="AI106" s="6" t="inlineStr"/>
      <c r="AJ106" s="6" t="inlineStr">
        <is>
          <t>SRC-11 canonical</t>
        </is>
      </c>
      <c r="AK106" s="6" t="inlineStr">
        <is>
          <t>SRC-06 S09</t>
        </is>
      </c>
      <c r="AL106" s="6" t="inlineStr">
        <is>
          <t>S12</t>
        </is>
      </c>
    </row>
    <row r="107" ht="40.5" customHeight="1">
      <c r="A107" s="5" t="inlineStr">
        <is>
          <t>C-S19</t>
        </is>
      </c>
      <c r="B107" s="6" t="inlineStr">
        <is>
          <t>MCPVerse v1/v2 discrepancies (score shift, copied v2 Table 4 cells, denominators, pool, reproduction, nativ...</t>
        </is>
      </c>
      <c r="C107" s="6" t="inlineStr">
        <is>
          <t>PARTLY ANSWERED</t>
        </is>
      </c>
      <c r="D107" s="6">
        <f>IFERROR(INDEX(Lists!$B$2:$B$14,MATCH(C107,Lists!$A$2:$A$14,0)),"?")</f>
        <v/>
      </c>
      <c r="E107" s="6">
        <f>IF(COUNTIFS(Links!$B$2:$B$600,A107,Links!$E$2:$E$600,"Yes")&gt;0,"REVISE","")</f>
        <v/>
      </c>
      <c r="F107" s="6">
        <f>COUNTIFS(Links!$B$2:$B$600,A107,Links!$D$2:$D$600,"No",Links!$C$2:$C$600,"&lt;&gt;INFORMS")</f>
        <v/>
      </c>
      <c r="G107" s="16" t="inlineStr">
        <is>
          <t>AUTHOR-OR-VENDOR</t>
        </is>
      </c>
      <c r="H107" s="6" t="inlineStr">
        <is>
          <t>K14 Source &amp; vendor verification</t>
        </is>
      </c>
      <c r="I107" s="6" t="inlineStr">
        <is>
          <t>G5 Housekeeping / no block</t>
        </is>
      </c>
      <c r="J107" s="6" t="inlineStr">
        <is>
          <t>Low</t>
        </is>
      </c>
      <c r="K107" s="6" t="n">
        <v>110</v>
      </c>
      <c r="L107" s="6" t="inlineStr">
        <is>
          <t>W2 Desk work (no model runs)</t>
        </is>
      </c>
      <c r="M107" s="6" t="inlineStr">
        <is>
          <t>S12</t>
        </is>
      </c>
      <c r="N107" s="6" t="inlineStr">
        <is>
          <t>Authors; or defer</t>
        </is>
      </c>
      <c r="O107" s="6" t="inlineStr">
        <is>
          <t>Ask once, set a reply date</t>
        </is>
      </c>
      <c r="P107" s="6" t="inlineStr">
        <is>
          <t>Yes - stored text, unread</t>
        </is>
      </c>
      <c r="Q107" s="6" t="inlineStr">
        <is>
          <t>Source check</t>
        </is>
      </c>
      <c r="R107" s="6" t="inlineStr">
        <is>
          <t>Item</t>
        </is>
      </c>
      <c r="S107" s="6" t="inlineStr"/>
      <c r="T107" s="6" t="inlineStr">
        <is>
          <t>MCPVerse v1/v2 discrepancies (score shift, copied v2 Table 4 cells, denominators, pool, reproduction, native vs prompt calling).</t>
        </is>
      </c>
      <c r="U107" s="6" t="inlineStr">
        <is>
          <t>One unverified lead reading of the PDFs exists (AUTH-008); v4 files do not cite MCPVerse, so it is not pivotal to v4.</t>
        </is>
      </c>
      <c r="V107" s="6" t="inlineStr">
        <is>
          <t>Author reply or 'author unavailable' recorded; defer unless it becomes a cited premise.</t>
        </is>
      </c>
      <c r="W107" s="6" t="inlineStr"/>
      <c r="X107" s="6" t="inlineStr"/>
      <c r="Y107" s="6" t="inlineStr"/>
      <c r="Z107" s="6" t="inlineStr">
        <is>
          <t>SOURCE-REREAD, ACCEPT-LIMITATION</t>
        </is>
      </c>
      <c r="AA107" s="6" t="inlineStr"/>
      <c r="AB107" s="6" t="inlineStr">
        <is>
          <t>SOURCE+AUTHOR+DATA</t>
        </is>
      </c>
      <c r="AC107" s="6" t="inlineStr">
        <is>
          <t>PARTLY ANSWERED - OPEN</t>
        </is>
      </c>
      <c r="AD107" s="6" t="inlineStr">
        <is>
          <t>UNCHANGED</t>
        </is>
      </c>
      <c r="AE107" s="6" t="inlineStr">
        <is>
          <t>2026-10-19</t>
        </is>
      </c>
      <c r="AF107" s="6" t="inlineStr">
        <is>
          <t>WD AUTH-008; grep of design/package-v4</t>
        </is>
      </c>
      <c r="AG107" s="6" t="inlineStr">
        <is>
          <t>If MCPVerse becomes a cited premise</t>
        </is>
      </c>
      <c r="AH107" s="6" t="inlineStr">
        <is>
          <t>No</t>
        </is>
      </c>
      <c r="AI107" s="6" t="inlineStr"/>
      <c r="AJ107" s="6" t="inlineStr">
        <is>
          <t>SRC-11 canonical</t>
        </is>
      </c>
      <c r="AK107" s="6" t="inlineStr">
        <is>
          <t>SRC-06 S40-S46, SRC-07 23, SRC-07 24</t>
        </is>
      </c>
      <c r="AL107" s="6" t="inlineStr">
        <is>
          <t>S12</t>
        </is>
      </c>
    </row>
    <row r="108" ht="53" customHeight="1">
      <c r="A108" s="5" t="inlineStr">
        <is>
          <t>C-S19/S40</t>
        </is>
      </c>
      <c r="B108" s="6" t="inlineStr">
        <is>
          <t>Cause of the v1/v2 Claude score shift (judge change insufficient)</t>
        </is>
      </c>
      <c r="C108" s="6" t="inlineStr">
        <is>
          <t>PARTLY ANSWERED</t>
        </is>
      </c>
      <c r="D108" s="6">
        <f>IFERROR(INDEX(Lists!$B$2:$B$14,MATCH(C108,Lists!$A$2:$A$14,0)),"?")</f>
        <v/>
      </c>
      <c r="E108" s="6">
        <f>IF(COUNTIFS(Links!$B$2:$B$600,A108,Links!$E$2:$E$600,"Yes")&gt;0,"REVISE","")</f>
        <v/>
      </c>
      <c r="F108" s="6">
        <f>COUNTIFS(Links!$B$2:$B$600,A108,Links!$D$2:$D$600,"No",Links!$C$2:$C$600,"&lt;&gt;INFORMS")</f>
        <v/>
      </c>
      <c r="G108" s="16" t="inlineStr">
        <is>
          <t>AUTHOR-OR-VENDOR</t>
        </is>
      </c>
      <c r="H108" s="6" t="inlineStr">
        <is>
          <t>K14 Source &amp; vendor verification</t>
        </is>
      </c>
      <c r="I108" s="6" t="inlineStr">
        <is>
          <t>G5 Housekeeping / no block</t>
        </is>
      </c>
      <c r="J108" s="6" t="inlineStr">
        <is>
          <t>Low</t>
        </is>
      </c>
      <c r="K108" s="6" t="n">
        <v>111</v>
      </c>
      <c r="L108" s="6" t="inlineStr">
        <is>
          <t>W2 Desk work (no model runs)</t>
        </is>
      </c>
      <c r="M108" s="6" t="inlineStr">
        <is>
          <t>S12</t>
        </is>
      </c>
      <c r="N108" s="6" t="inlineStr">
        <is>
          <t>Authors / team</t>
        </is>
      </c>
      <c r="O108" s="6" t="inlineStr">
        <is>
          <t>Ask once, set a reply date</t>
        </is>
      </c>
      <c r="P108" s="6" t="inlineStr">
        <is>
          <t>Partly</t>
        </is>
      </c>
      <c r="Q108" s="6" t="inlineStr">
        <is>
          <t>Source check</t>
        </is>
      </c>
      <c r="R108" s="6" t="inlineStr">
        <is>
          <t>Sub-item</t>
        </is>
      </c>
      <c r="S108" s="6" t="inlineStr">
        <is>
          <t>C-S19</t>
        </is>
      </c>
      <c r="T108" s="6" t="inlineStr">
        <is>
          <t>SRC-06 S40 / SRC-07 23: a judge change does not explain the v1/v2 Claude shift; the actual cause (protocol, task/model mix, reruns) is open.</t>
        </is>
      </c>
      <c r="U108" s="6" t="inlineStr">
        <is>
          <t>Magnitude of the shift reproduced in one unverified lead reading; cause unknown.</t>
        </is>
      </c>
      <c r="V108" s="6" t="inlineStr">
        <is>
          <t>Authors / raw logs / reproduction.</t>
        </is>
      </c>
      <c r="W108" s="6" t="inlineStr"/>
      <c r="X108" s="6" t="inlineStr"/>
      <c r="Y108" s="6" t="inlineStr"/>
      <c r="Z108" s="6" t="inlineStr"/>
      <c r="AA108" s="6" t="inlineStr"/>
      <c r="AB108" s="6" t="inlineStr">
        <is>
          <t>SOURCE+AUTHOR</t>
        </is>
      </c>
      <c r="AC108" s="6" t="inlineStr">
        <is>
          <t>n/a (sub-item)</t>
        </is>
      </c>
      <c r="AD108" s="6" t="inlineStr">
        <is>
          <t>NEW (SRC-11 sub-row)</t>
        </is>
      </c>
      <c r="AE108" s="6" t="inlineStr">
        <is>
          <t>2026-10-19</t>
        </is>
      </c>
      <c r="AF108" s="6" t="inlineStr">
        <is>
          <t>WD AUTH-008 (lead reading: v2 Claude-4-Sonnet Standard 62.4 to Max-Scale 44.2 ~ -18; v1 61.01 to 57.77 ~ -3); stored r3-mcpverse (v2), s4h-b1-mcpverse-v1</t>
        </is>
      </c>
      <c r="AG108" s="6" t="inlineStr"/>
      <c r="AH108" s="6" t="inlineStr">
        <is>
          <t>No</t>
        </is>
      </c>
      <c r="AI108" s="6" t="inlineStr"/>
      <c r="AJ108" s="6" t="inlineStr">
        <is>
          <t>SRC-11 section D3</t>
        </is>
      </c>
      <c r="AK108" s="6" t="inlineStr">
        <is>
          <t>SRC-06 S40</t>
        </is>
      </c>
      <c r="AL108" s="6" t="inlineStr">
        <is>
          <t>S12</t>
        </is>
      </c>
    </row>
    <row r="109" ht="28" customHeight="1">
      <c r="A109" s="5" t="inlineStr">
        <is>
          <t>C-S19/S41</t>
        </is>
      </c>
      <c r="B109" s="6" t="inlineStr">
        <is>
          <t>Copied cells in v2 Table 4 (Claude/Gemini)</t>
        </is>
      </c>
      <c r="C109" s="6" t="inlineStr">
        <is>
          <t>PARTLY ANSWERED</t>
        </is>
      </c>
      <c r="D109" s="6">
        <f>IFERROR(INDEX(Lists!$B$2:$B$14,MATCH(C109,Lists!$A$2:$A$14,0)),"?")</f>
        <v/>
      </c>
      <c r="E109" s="6">
        <f>IF(COUNTIFS(Links!$B$2:$B$600,A109,Links!$E$2:$E$600,"Yes")&gt;0,"REVISE","")</f>
        <v/>
      </c>
      <c r="F109" s="6">
        <f>COUNTIFS(Links!$B$2:$B$600,A109,Links!$D$2:$D$600,"No",Links!$C$2:$C$600,"&lt;&gt;INFORMS")</f>
        <v/>
      </c>
      <c r="G109" s="16" t="inlineStr">
        <is>
          <t>AUTHOR-OR-VENDOR</t>
        </is>
      </c>
      <c r="H109" s="6" t="inlineStr">
        <is>
          <t>K14 Source &amp; vendor verification</t>
        </is>
      </c>
      <c r="I109" s="6" t="inlineStr">
        <is>
          <t>G5 Housekeeping / no block</t>
        </is>
      </c>
      <c r="J109" s="6" t="inlineStr">
        <is>
          <t>Low</t>
        </is>
      </c>
      <c r="K109" s="6" t="n">
        <v>112</v>
      </c>
      <c r="L109" s="6" t="inlineStr">
        <is>
          <t>W2 Desk work (no model runs)</t>
        </is>
      </c>
      <c r="M109" s="6" t="inlineStr">
        <is>
          <t>S12</t>
        </is>
      </c>
      <c r="N109" s="6" t="inlineStr">
        <is>
          <t>Authors / team</t>
        </is>
      </c>
      <c r="O109" s="6" t="inlineStr">
        <is>
          <t>Ask once, set a reply date</t>
        </is>
      </c>
      <c r="P109" s="6" t="inlineStr">
        <is>
          <t>Partly</t>
        </is>
      </c>
      <c r="Q109" s="6" t="inlineStr">
        <is>
          <t>Source check</t>
        </is>
      </c>
      <c r="R109" s="6" t="inlineStr">
        <is>
          <t>Sub-item</t>
        </is>
      </c>
      <c r="S109" s="6" t="inlineStr">
        <is>
          <t>C-S19</t>
        </is>
      </c>
      <c r="T109" s="6" t="inlineStr">
        <is>
          <t>SRC-06 S41 / SRC-07 24: apparent copied cells identified; the correct v2 Table 4 Claude/Gemini cells are unknown.</t>
        </is>
      </c>
      <c r="U109" s="6" t="inlineStr">
        <is>
          <t>Consistent with SRC-11; one reader (the lead), page images outside the repo.</t>
        </is>
      </c>
      <c r="V109" s="6" t="inlineStr">
        <is>
          <t>Authors / raw logs / reproduction.</t>
        </is>
      </c>
      <c r="W109" s="6" t="inlineStr"/>
      <c r="X109" s="6" t="inlineStr"/>
      <c r="Y109" s="6" t="inlineStr"/>
      <c r="Z109" s="6" t="inlineStr"/>
      <c r="AA109" s="6" t="inlineStr"/>
      <c r="AB109" s="6" t="inlineStr">
        <is>
          <t>SOURCE+AUTHOR</t>
        </is>
      </c>
      <c r="AC109" s="6" t="inlineStr">
        <is>
          <t>n/a (sub-item)</t>
        </is>
      </c>
      <c r="AD109" s="6" t="inlineStr">
        <is>
          <t>NEW (SRC-11 sub-row)</t>
        </is>
      </c>
      <c r="AE109" s="6" t="inlineStr">
        <is>
          <t>2026-10-19</t>
        </is>
      </c>
      <c r="AF109" s="6" t="inlineStr">
        <is>
          <t>WD AUTH-008 (v2 Table 4 repeats Qwen3-235B-2507 Oct/Std values 44.8/53.2 in the Claude row)</t>
        </is>
      </c>
      <c r="AG109" s="6" t="inlineStr"/>
      <c r="AH109" s="6" t="inlineStr">
        <is>
          <t>No</t>
        </is>
      </c>
      <c r="AI109" s="6" t="inlineStr"/>
      <c r="AJ109" s="6" t="inlineStr">
        <is>
          <t>SRC-11 section D3</t>
        </is>
      </c>
      <c r="AK109" s="6" t="inlineStr">
        <is>
          <t>SRC-06 S41</t>
        </is>
      </c>
      <c r="AL109" s="6" t="inlineStr">
        <is>
          <t>S12</t>
        </is>
      </c>
    </row>
    <row r="110" ht="40.5" customHeight="1">
      <c r="A110" s="5" t="inlineStr">
        <is>
          <t>C-S19/S42</t>
        </is>
      </c>
      <c r="B110" s="6" t="inlineStr">
        <is>
          <t>Printed per-level counts and 250-vs-311 mismatch</t>
        </is>
      </c>
      <c r="C110" s="6" t="inlineStr">
        <is>
          <t>OPEN</t>
        </is>
      </c>
      <c r="D110" s="6">
        <f>IFERROR(INDEX(Lists!$B$2:$B$14,MATCH(C110,Lists!$A$2:$A$14,0)),"?")</f>
        <v/>
      </c>
      <c r="E110" s="6">
        <f>IF(COUNTIFS(Links!$B$2:$B$600,A110,Links!$E$2:$E$600,"Yes")&gt;0,"REVISE","")</f>
        <v/>
      </c>
      <c r="F110" s="6">
        <f>COUNTIFS(Links!$B$2:$B$600,A110,Links!$D$2:$D$600,"No",Links!$C$2:$C$600,"&lt;&gt;INFORMS")</f>
        <v/>
      </c>
      <c r="G110" s="14" t="inlineStr">
        <is>
          <t>SOURCE-REREAD</t>
        </is>
      </c>
      <c r="H110" s="6" t="inlineStr">
        <is>
          <t>K14 Source &amp; vendor verification</t>
        </is>
      </c>
      <c r="I110" s="6" t="inlineStr">
        <is>
          <t>G5 Housekeeping / no block</t>
        </is>
      </c>
      <c r="J110" s="6" t="inlineStr">
        <is>
          <t>Low</t>
        </is>
      </c>
      <c r="K110" s="6" t="n">
        <v>113</v>
      </c>
      <c r="L110" s="6" t="inlineStr">
        <is>
          <t>W2 Desk work (no model runs)</t>
        </is>
      </c>
      <c r="M110" s="6" t="inlineStr">
        <is>
          <t>S12</t>
        </is>
      </c>
      <c r="N110" s="6" t="inlineStr">
        <is>
          <t>Authors / team</t>
        </is>
      </c>
      <c r="O110" s="6" t="inlineStr">
        <is>
          <t>Read the decisive passage; fetch only if not stored</t>
        </is>
      </c>
      <c r="P110" s="6" t="inlineStr">
        <is>
          <t>Partly</t>
        </is>
      </c>
      <c r="Q110" s="6" t="inlineStr">
        <is>
          <t>Source check</t>
        </is>
      </c>
      <c r="R110" s="6" t="inlineStr">
        <is>
          <t>Sub-item</t>
        </is>
      </c>
      <c r="S110" s="6" t="inlineStr">
        <is>
          <t>C-S19</t>
        </is>
      </c>
      <c r="T110" s="6" t="inlineStr">
        <is>
          <t>SRC-06 S42: printed per-level counts and a 250-vs-311 mismatch; denominators unknown.</t>
        </is>
      </c>
      <c r="U110" s="6" t="inlineStr">
        <is>
          <t>Text states 250; the counts need page rendering.</t>
        </is>
      </c>
      <c r="V110" s="6" t="inlineStr">
        <is>
          <t>Authors / raw logs / reproduction.</t>
        </is>
      </c>
      <c r="W110" s="6" t="inlineStr"/>
      <c r="X110" s="6" t="inlineStr"/>
      <c r="Y110" s="6" t="inlineStr">
        <is>
          <t>Q-U22</t>
        </is>
      </c>
      <c r="Z110" s="6" t="inlineStr"/>
      <c r="AA110" s="6" t="inlineStr"/>
      <c r="AB110" s="6" t="inlineStr">
        <is>
          <t>SOURCE+AUTHOR</t>
        </is>
      </c>
      <c r="AC110" s="6" t="inlineStr">
        <is>
          <t>n/a (sub-item)</t>
        </is>
      </c>
      <c r="AD110" s="6" t="inlineStr">
        <is>
          <t>NEW (SRC-11 sub-row)</t>
        </is>
      </c>
      <c r="AE110" s="6" t="inlineStr">
        <is>
          <t>2026-10-19</t>
        </is>
      </c>
      <c r="AF110" s="6" t="inlineStr">
        <is>
          <t>stored v1 line 193 and v2 line 228 both state 250 tasks; per-level counts are in Figure 2 (an image, not in the text layer)</t>
        </is>
      </c>
      <c r="AG110" s="6" t="inlineStr"/>
      <c r="AH110" s="6" t="inlineStr">
        <is>
          <t>No</t>
        </is>
      </c>
      <c r="AI110" s="6" t="inlineStr"/>
      <c r="AJ110" s="6" t="inlineStr">
        <is>
          <t>SRC-11 section D3</t>
        </is>
      </c>
      <c r="AK110" s="6" t="inlineStr">
        <is>
          <t>SRC-06 S42</t>
        </is>
      </c>
      <c r="AL110" s="6" t="inlineStr">
        <is>
          <t>S12</t>
        </is>
      </c>
    </row>
    <row r="111" ht="28" customHeight="1">
      <c r="A111" s="5" t="inlineStr">
        <is>
          <t>C-S19/S43</t>
        </is>
      </c>
      <c r="B111" s="6" t="inlineStr">
        <is>
          <t>Retrieve pool (32/65) and retrieve-mode judge behaviour</t>
        </is>
      </c>
      <c r="C111" s="6" t="inlineStr">
        <is>
          <t>OPEN</t>
        </is>
      </c>
      <c r="D111" s="6">
        <f>IFERROR(INDEX(Lists!$B$2:$B$14,MATCH(C111,Lists!$A$2:$A$14,0)),"?")</f>
        <v/>
      </c>
      <c r="E111" s="6">
        <f>IF(COUNTIFS(Links!$B$2:$B$600,A111,Links!$E$2:$E$600,"Yes")&gt;0,"REVISE","")</f>
        <v/>
      </c>
      <c r="F111" s="6">
        <f>COUNTIFS(Links!$B$2:$B$600,A111,Links!$D$2:$D$600,"No",Links!$C$2:$C$600,"&lt;&gt;INFORMS")</f>
        <v/>
      </c>
      <c r="G111" s="14" t="inlineStr">
        <is>
          <t>SOURCE-REREAD</t>
        </is>
      </c>
      <c r="H111" s="6" t="inlineStr">
        <is>
          <t>K14 Source &amp; vendor verification</t>
        </is>
      </c>
      <c r="I111" s="6" t="inlineStr">
        <is>
          <t>G5 Housekeeping / no block</t>
        </is>
      </c>
      <c r="J111" s="6" t="inlineStr">
        <is>
          <t>Low</t>
        </is>
      </c>
      <c r="K111" s="6" t="n">
        <v>114</v>
      </c>
      <c r="L111" s="6" t="inlineStr">
        <is>
          <t>W2 Desk work (no model runs)</t>
        </is>
      </c>
      <c r="M111" s="6" t="inlineStr">
        <is>
          <t>S12</t>
        </is>
      </c>
      <c r="N111" s="6" t="inlineStr">
        <is>
          <t>Authors / team</t>
        </is>
      </c>
      <c r="O111" s="6" t="inlineStr">
        <is>
          <t>Read the stored text first (tools/origin_extract.py)</t>
        </is>
      </c>
      <c r="P111" s="6" t="inlineStr">
        <is>
          <t>Yes - stored text, unread</t>
        </is>
      </c>
      <c r="Q111" s="6" t="inlineStr">
        <is>
          <t>Source check</t>
        </is>
      </c>
      <c r="R111" s="6" t="inlineStr">
        <is>
          <t>Sub-item</t>
        </is>
      </c>
      <c r="S111" s="6" t="inlineStr">
        <is>
          <t>C-S19</t>
        </is>
      </c>
      <c r="T111" s="6" t="inlineStr">
        <is>
          <t>SRC-06 S43: the retrieve pool (32/65) and retrieve-mode judge behaviour are unknown.</t>
        </is>
      </c>
      <c r="U111" s="6" t="inlineStr">
        <is>
          <t>Text stored; not read here.</t>
        </is>
      </c>
      <c r="V111" s="6" t="inlineStr">
        <is>
          <t>Authors / raw logs / reproduction.</t>
        </is>
      </c>
      <c r="W111" s="6" t="inlineStr"/>
      <c r="X111" s="6" t="inlineStr"/>
      <c r="Y111" s="6" t="inlineStr"/>
      <c r="Z111" s="6" t="inlineStr"/>
      <c r="AA111" s="6" t="inlineStr"/>
      <c r="AB111" s="6" t="inlineStr">
        <is>
          <t>SOURCE+AUTHOR</t>
        </is>
      </c>
      <c r="AC111" s="6" t="inlineStr">
        <is>
          <t>n/a (sub-item)</t>
        </is>
      </c>
      <c r="AD111" s="6" t="inlineStr">
        <is>
          <t>NEW (SRC-11 sub-row)</t>
        </is>
      </c>
      <c r="AE111" s="6" t="inlineStr">
        <is>
          <t>2026-10-19</t>
        </is>
      </c>
      <c r="AF111" s="6" t="inlineStr">
        <is>
          <t>stored r3-mcpverse (58 KB text)</t>
        </is>
      </c>
      <c r="AG111" s="6" t="inlineStr"/>
      <c r="AH111" s="6" t="inlineStr">
        <is>
          <t>No</t>
        </is>
      </c>
      <c r="AI111" s="6" t="inlineStr"/>
      <c r="AJ111" s="6" t="inlineStr">
        <is>
          <t>SRC-11 section D3</t>
        </is>
      </c>
      <c r="AK111" s="6" t="inlineStr">
        <is>
          <t>SRC-06 S43</t>
        </is>
      </c>
      <c r="AL111" s="6" t="inlineStr">
        <is>
          <t>S12</t>
        </is>
      </c>
    </row>
    <row r="112" ht="28" customHeight="1">
      <c r="A112" s="5" t="inlineStr">
        <is>
          <t>C-S19/S44</t>
        </is>
      </c>
      <c r="B112" s="6" t="inlineStr">
        <is>
          <t>Does the released repo reproduce the paper numbers?</t>
        </is>
      </c>
      <c r="C112" s="6" t="inlineStr">
        <is>
          <t>OPEN</t>
        </is>
      </c>
      <c r="D112" s="6">
        <f>IFERROR(INDEX(Lists!$B$2:$B$14,MATCH(C112,Lists!$A$2:$A$14,0)),"?")</f>
        <v/>
      </c>
      <c r="E112" s="6">
        <f>IF(COUNTIFS(Links!$B$2:$B$600,A112,Links!$E$2:$E$600,"Yes")&gt;0,"REVISE","")</f>
        <v/>
      </c>
      <c r="F112" s="6">
        <f>COUNTIFS(Links!$B$2:$B$600,A112,Links!$D$2:$D$600,"No",Links!$C$2:$C$600,"&lt;&gt;INFORMS")</f>
        <v/>
      </c>
      <c r="G112" s="17" t="inlineStr">
        <is>
          <t>TEST-PILOT</t>
        </is>
      </c>
      <c r="H112" s="6" t="inlineStr">
        <is>
          <t>K14 Source &amp; vendor verification</t>
        </is>
      </c>
      <c r="I112" s="6" t="inlineStr">
        <is>
          <t>G5 Housekeeping / no block</t>
        </is>
      </c>
      <c r="J112" s="6" t="inlineStr">
        <is>
          <t>Low</t>
        </is>
      </c>
      <c r="K112" s="6" t="n">
        <v>115</v>
      </c>
      <c r="L112" s="6" t="inlineStr">
        <is>
          <t>W2 Desk work (no model runs)</t>
        </is>
      </c>
      <c r="M112" s="6" t="inlineStr">
        <is>
          <t>S12</t>
        </is>
      </c>
      <c r="N112" s="6" t="inlineStr">
        <is>
          <t>Authors / team</t>
        </is>
      </c>
      <c r="O112" s="6" t="inlineStr">
        <is>
          <t>Needs an AUTH and a protocol</t>
        </is>
      </c>
      <c r="P112" s="6" t="inlineStr">
        <is>
          <t>No</t>
        </is>
      </c>
      <c r="Q112" s="6" t="inlineStr">
        <is>
          <t>Source check</t>
        </is>
      </c>
      <c r="R112" s="6" t="inlineStr">
        <is>
          <t>Sub-item</t>
        </is>
      </c>
      <c r="S112" s="6" t="inlineStr">
        <is>
          <t>C-S19</t>
        </is>
      </c>
      <c r="T112" s="6" t="inlineStr">
        <is>
          <t>SRC-06 S44: whether the released repository reproduces the paper's numbers is unknown (no reproduction in reviewed material).</t>
        </is>
      </c>
      <c r="U112" s="6" t="inlineStr">
        <is>
          <t>No reproduction anywhere in the repo.</t>
        </is>
      </c>
      <c r="V112" s="6" t="inlineStr">
        <is>
          <t>Authors / raw logs / reproduction.</t>
        </is>
      </c>
      <c r="W112" s="6" t="inlineStr"/>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needs code download</t>
        </is>
      </c>
      <c r="AG112" s="6" t="inlineStr"/>
      <c r="AH112" s="6" t="inlineStr">
        <is>
          <t>No</t>
        </is>
      </c>
      <c r="AI112" s="6" t="inlineStr"/>
      <c r="AJ112" s="6" t="inlineStr">
        <is>
          <t>SRC-11 section D3</t>
        </is>
      </c>
      <c r="AK112" s="6" t="inlineStr">
        <is>
          <t>SRC-06 S44</t>
        </is>
      </c>
      <c r="AL112" s="6" t="inlineStr">
        <is>
          <t>S12</t>
        </is>
      </c>
    </row>
    <row r="113" ht="40.5" customHeight="1">
      <c r="A113" s="5" t="inlineStr">
        <is>
          <t>C-S19/S45</t>
        </is>
      </c>
      <c r="B113" s="6" t="inlineStr">
        <is>
          <t>Other contradictions (two vs three models, appendix references); 140k/147k not v2-specific</t>
        </is>
      </c>
      <c r="C113" s="6" t="inlineStr">
        <is>
          <t>PARTLY ANSWERED</t>
        </is>
      </c>
      <c r="D113" s="6">
        <f>IFERROR(INDEX(Lists!$B$2:$B$14,MATCH(C113,Lists!$A$2:$A$14,0)),"?")</f>
        <v/>
      </c>
      <c r="E113" s="6">
        <f>IF(COUNTIFS(Links!$B$2:$B$600,A113,Links!$E$2:$E$600,"Yes")&gt;0,"REVISE","")</f>
        <v/>
      </c>
      <c r="F113" s="6">
        <f>COUNTIFS(Links!$B$2:$B$600,A113,Links!$D$2:$D$600,"No",Links!$C$2:$C$600,"&lt;&gt;INFORMS")</f>
        <v/>
      </c>
      <c r="G113" s="16" t="inlineStr">
        <is>
          <t>AUTHOR-OR-VENDOR</t>
        </is>
      </c>
      <c r="H113" s="6" t="inlineStr">
        <is>
          <t>K14 Source &amp; vendor verification</t>
        </is>
      </c>
      <c r="I113" s="6" t="inlineStr">
        <is>
          <t>G5 Housekeeping / no block</t>
        </is>
      </c>
      <c r="J113" s="6" t="inlineStr">
        <is>
          <t>Low</t>
        </is>
      </c>
      <c r="K113" s="6" t="n">
        <v>116</v>
      </c>
      <c r="L113" s="6" t="inlineStr">
        <is>
          <t>W2 Desk work (no model runs)</t>
        </is>
      </c>
      <c r="M113" s="6" t="inlineStr">
        <is>
          <t>S12</t>
        </is>
      </c>
      <c r="N113" s="6" t="inlineStr">
        <is>
          <t>Authors / team</t>
        </is>
      </c>
      <c r="O113" s="6" t="inlineStr">
        <is>
          <t>Ask once, set a reply date</t>
        </is>
      </c>
      <c r="P113" s="6" t="inlineStr">
        <is>
          <t>Partly</t>
        </is>
      </c>
      <c r="Q113" s="6" t="inlineStr">
        <is>
          <t>Source check</t>
        </is>
      </c>
      <c r="R113" s="6" t="inlineStr">
        <is>
          <t>Sub-item</t>
        </is>
      </c>
      <c r="S113" s="6" t="inlineStr">
        <is>
          <t>C-S19</t>
        </is>
      </c>
      <c r="T113" s="6" t="inlineStr">
        <is>
          <t>SRC-06 S45: the 140k/147k discrepancy is not v2-specific and one Claude row is internally consistent; other contradictions remain.</t>
        </is>
      </c>
      <c r="U113" s="6" t="inlineStr">
        <is>
          <t>As reported in SRC-11; not re-checked here.</t>
        </is>
      </c>
      <c r="V113" s="6" t="inlineStr">
        <is>
          <t>Authors / raw logs / reproduction.</t>
        </is>
      </c>
      <c r="W113" s="6" t="inlineStr"/>
      <c r="X113" s="6" t="inlineStr"/>
      <c r="Y113" s="6" t="inlineStr"/>
      <c r="Z113" s="6" t="inlineStr"/>
      <c r="AA113" s="6" t="inlineStr"/>
      <c r="AB113" s="6" t="inlineStr">
        <is>
          <t>SOURCE+AUTHOR</t>
        </is>
      </c>
      <c r="AC113" s="6" t="inlineStr">
        <is>
          <t>n/a (sub-item)</t>
        </is>
      </c>
      <c r="AD113" s="6" t="inlineStr">
        <is>
          <t>NEW (SRC-11 sub-row)</t>
        </is>
      </c>
      <c r="AE113" s="6" t="inlineStr">
        <is>
          <t>2026-10-19</t>
        </is>
      </c>
      <c r="AF113" s="6" t="inlineStr">
        <is>
          <t>SRC-11 D3</t>
        </is>
      </c>
      <c r="AG113" s="6" t="inlineStr"/>
      <c r="AH113" s="6" t="inlineStr">
        <is>
          <t>No</t>
        </is>
      </c>
      <c r="AI113" s="6" t="inlineStr"/>
      <c r="AJ113" s="6" t="inlineStr">
        <is>
          <t>SRC-11 section D3</t>
        </is>
      </c>
      <c r="AK113" s="6" t="inlineStr">
        <is>
          <t>SRC-06 S45</t>
        </is>
      </c>
      <c r="AL113" s="6" t="inlineStr">
        <is>
          <t>S12</t>
        </is>
      </c>
    </row>
    <row r="114" ht="28" customHeight="1">
      <c r="A114" s="5" t="inlineStr">
        <is>
          <t>C-S19/S46</t>
        </is>
      </c>
      <c r="B114" s="6" t="inlineStr">
        <is>
          <t>Native vs prompt calling: frozen report's 'workaround' wording</t>
        </is>
      </c>
      <c r="C114" s="6" t="inlineStr">
        <is>
          <t>OPEN</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K14 Source &amp; vendor verification</t>
        </is>
      </c>
      <c r="I114" s="6" t="inlineStr">
        <is>
          <t>G5 Housekeeping / no block</t>
        </is>
      </c>
      <c r="J114" s="6" t="inlineStr">
        <is>
          <t>Low</t>
        </is>
      </c>
      <c r="K114" s="6" t="n">
        <v>117</v>
      </c>
      <c r="L114" s="6" t="inlineStr">
        <is>
          <t>W2 Desk work (no model runs)</t>
        </is>
      </c>
      <c r="M114" s="6" t="inlineStr">
        <is>
          <t>S12</t>
        </is>
      </c>
      <c r="N114" s="6" t="inlineStr">
        <is>
          <t>Authors / team</t>
        </is>
      </c>
      <c r="O114" s="6" t="inlineStr">
        <is>
          <t>Lead drafts the fix; you approve</t>
        </is>
      </c>
      <c r="P114" s="6" t="inlineStr">
        <is>
          <t>No</t>
        </is>
      </c>
      <c r="Q114" s="6" t="inlineStr">
        <is>
          <t>Source check</t>
        </is>
      </c>
      <c r="R114" s="6" t="inlineStr">
        <is>
          <t>Sub-item</t>
        </is>
      </c>
      <c r="S114" s="6" t="inlineStr">
        <is>
          <t>C-S19</t>
        </is>
      </c>
      <c r="T114" s="6" t="inlineStr">
        <is>
          <t>SRC-06 S46: native versus prompt calling is a different treatment; the frozen report's 'workaround' wording needs correcting.</t>
        </is>
      </c>
      <c r="U114" s="6" t="inlineStr">
        <is>
          <t>Outside the repo.</t>
        </is>
      </c>
      <c r="V114" s="6" t="inlineStr">
        <is>
          <t>Authors / raw logs / reproduction.</t>
        </is>
      </c>
      <c r="W114" s="6" t="inlineStr"/>
      <c r="X114" s="6" t="inlineStr"/>
      <c r="Y114" s="6" t="inlineStr"/>
      <c r="Z114" s="6" t="inlineStr"/>
      <c r="AA114" s="6" t="inlineStr"/>
      <c r="AB114" s="6" t="inlineStr">
        <is>
          <t>RECORD</t>
        </is>
      </c>
      <c r="AC114" s="6" t="inlineStr">
        <is>
          <t>n/a (sub-item)</t>
        </is>
      </c>
      <c r="AD114" s="6" t="inlineStr">
        <is>
          <t>NEW (SRC-11 sub-row)</t>
        </is>
      </c>
      <c r="AE114" s="6" t="inlineStr">
        <is>
          <t>2026-10-19</t>
        </is>
      </c>
      <c r="AF114" s="6" t="inlineStr">
        <is>
          <t>Phase 1 report outside repo</t>
        </is>
      </c>
      <c r="AG114" s="6" t="inlineStr"/>
      <c r="AH114" s="6" t="inlineStr">
        <is>
          <t>No</t>
        </is>
      </c>
      <c r="AI114" s="6" t="inlineStr"/>
      <c r="AJ114" s="6" t="inlineStr">
        <is>
          <t>SRC-11 section D3</t>
        </is>
      </c>
      <c r="AK114" s="6" t="inlineStr">
        <is>
          <t>SRC-06 S46</t>
        </is>
      </c>
      <c r="AL114" s="6" t="inlineStr">
        <is>
          <t>S12</t>
        </is>
      </c>
    </row>
    <row r="115" ht="40.5" customHeight="1">
      <c r="A115" s="5" t="inlineStr">
        <is>
          <t>AS-01</t>
        </is>
      </c>
      <c r="B115" s="6" t="inlineStr">
        <is>
          <t>Supervisor assertion A1: Semantic search with a strong encoder always beats keyword search</t>
        </is>
      </c>
      <c r="C115" s="6" t="inlineStr">
        <is>
          <t>OPEN</t>
        </is>
      </c>
      <c r="D115" s="6">
        <f>IFERROR(INDEX(Lists!$B$2:$B$14,MATCH(C115,Lists!$A$2:$A$14,0)),"?")</f>
        <v/>
      </c>
      <c r="E115" s="6">
        <f>IF(COUNTIFS(Links!$B$2:$B$600,A115,Links!$E$2:$E$600,"Yes")&gt;0,"REVISE","")</f>
        <v/>
      </c>
      <c r="F115" s="6">
        <f>COUNTIFS(Links!$B$2:$B$600,A115,Links!$D$2:$D$600,"No",Links!$C$2:$C$600,"&lt;&gt;INFORMS")</f>
        <v/>
      </c>
      <c r="G115" s="11" t="inlineStr">
        <is>
          <t>LITERATURE-DIRECTED</t>
        </is>
      </c>
      <c r="H115" s="6" t="inlineStr">
        <is>
          <t>K14 Source &amp; vendor verification</t>
        </is>
      </c>
      <c r="I115" s="6" t="inlineStr">
        <is>
          <t>G4 Before claims</t>
        </is>
      </c>
      <c r="J115" s="6" t="inlineStr">
        <is>
          <t>Normal</t>
        </is>
      </c>
      <c r="K115" s="6" t="n">
        <v>118</v>
      </c>
      <c r="L115" s="6" t="inlineStr">
        <is>
          <t>W2 Desk work (no model runs)</t>
        </is>
      </c>
      <c r="M115" s="6" t="inlineStr">
        <is>
          <t>S13</t>
        </is>
      </c>
      <c r="N115" s="6" t="inlineStr">
        <is>
          <t>Lead / team</t>
        </is>
      </c>
      <c r="O115" s="6" t="inlineStr">
        <is>
          <t>Directed search (needs scope)</t>
        </is>
      </c>
      <c r="P115" s="6" t="inlineStr">
        <is>
          <t>No</t>
        </is>
      </c>
      <c r="Q115" s="6" t="inlineStr">
        <is>
          <t>Claim to test</t>
        </is>
      </c>
      <c r="R115" s="6" t="inlineStr">
        <is>
          <t>Item</t>
        </is>
      </c>
      <c r="S115" s="6" t="inlineStr"/>
      <c r="T115" s="6" t="inlineStr">
        <is>
          <t>REQ-A1 A1: Semantic search with a strong encoder always beats keyword search. Lexical vs dense vs hybrid is task- and data-dependent; testable in the literature.</t>
        </is>
      </c>
      <c r="U115" s="6" t="inlineStr">
        <is>
          <t>Recorded as the supervisor's position, to test, not to assume.</t>
        </is>
      </c>
      <c r="V115" s="6" t="inlineStr">
        <is>
          <t>Lexical vs dense vs hybrid is task- and data-dependent; testable in the literature.</t>
        </is>
      </c>
      <c r="W115" s="6" t="inlineStr"/>
      <c r="X115" s="6" t="inlineStr"/>
      <c r="Y115" s="6" t="inlineStr"/>
      <c r="Z115" s="6" t="inlineStr"/>
      <c r="AA115" s="6" t="inlineStr"/>
      <c r="AB115" s="6" t="inlineStr">
        <is>
          <t>SOURCE</t>
        </is>
      </c>
      <c r="AC115" s="6" t="inlineStr">
        <is>
          <t>n/a (REGISTER E)</t>
        </is>
      </c>
      <c r="AD115" s="6" t="inlineStr">
        <is>
          <t>NEW (repo sweep)</t>
        </is>
      </c>
      <c r="AE115" s="6" t="inlineStr">
        <is>
          <t>2026-10-19</t>
        </is>
      </c>
      <c r="AF115" s="6" t="inlineStr">
        <is>
          <t>evidence/extracts/EXT-0004.md; REGISTER section E</t>
        </is>
      </c>
      <c r="AG115" s="6" t="inlineStr"/>
      <c r="AH115" s="6" t="inlineStr">
        <is>
          <t>No</t>
        </is>
      </c>
      <c r="AI115" s="6" t="inlineStr"/>
      <c r="AJ115" s="6" t="inlineStr">
        <is>
          <t>repo: REGISTER section E / EXT-0004</t>
        </is>
      </c>
      <c r="AK115" s="6" t="inlineStr">
        <is>
          <t>REQ-A1 A1</t>
        </is>
      </c>
      <c r="AL115" s="6" t="inlineStr">
        <is>
          <t>S11</t>
        </is>
      </c>
    </row>
    <row r="116" ht="28" customHeight="1">
      <c r="A116" s="5" t="inlineStr">
        <is>
          <t>AS-03</t>
        </is>
      </c>
      <c r="B116" s="6" t="inlineStr">
        <is>
          <t>Supervisor assertion A3: Keyword and symbolic search 'will never work here'</t>
        </is>
      </c>
      <c r="C116" s="6" t="inlineStr">
        <is>
          <t>OPEN</t>
        </is>
      </c>
      <c r="D116" s="6">
        <f>IFERROR(INDEX(Lists!$B$2:$B$14,MATCH(C116,Lists!$A$2:$A$14,0)),"?")</f>
        <v/>
      </c>
      <c r="E116" s="6">
        <f>IF(COUNTIFS(Links!$B$2:$B$600,A116,Links!$E$2:$E$600,"Yes")&gt;0,"REVISE","")</f>
        <v/>
      </c>
      <c r="F116" s="6">
        <f>COUNTIFS(Links!$B$2:$B$600,A116,Links!$D$2:$D$600,"No",Links!$C$2:$C$600,"&lt;&gt;INFORMS")</f>
        <v/>
      </c>
      <c r="G116" s="11" t="inlineStr">
        <is>
          <t>LITERATURE-DIRECTED</t>
        </is>
      </c>
      <c r="H116" s="6" t="inlineStr">
        <is>
          <t>K14 Source &amp; vendor verification</t>
        </is>
      </c>
      <c r="I116" s="6" t="inlineStr">
        <is>
          <t>G5 Housekeeping / no block</t>
        </is>
      </c>
      <c r="J116" s="6" t="inlineStr">
        <is>
          <t>Low</t>
        </is>
      </c>
      <c r="K116" s="6" t="n">
        <v>119</v>
      </c>
      <c r="L116" s="6" t="inlineStr">
        <is>
          <t>W2 Desk work (no model runs)</t>
        </is>
      </c>
      <c r="M116" s="6" t="inlineStr">
        <is>
          <t>S13</t>
        </is>
      </c>
      <c r="N116" s="6" t="inlineStr">
        <is>
          <t>Lead / team</t>
        </is>
      </c>
      <c r="O116" s="6" t="inlineStr">
        <is>
          <t>Directed search (needs scope)</t>
        </is>
      </c>
      <c r="P116" s="6" t="inlineStr">
        <is>
          <t>No</t>
        </is>
      </c>
      <c r="Q116" s="6" t="inlineStr">
        <is>
          <t>Claim to test</t>
        </is>
      </c>
      <c r="R116" s="6" t="inlineStr">
        <is>
          <t>Item</t>
        </is>
      </c>
      <c r="S116" s="6" t="inlineStr"/>
      <c r="T116" s="6" t="inlineStr">
        <is>
          <t>REQ-A1 A3: Keyword and symbolic search 'will never work here'. Conflicts with A1's framing (T2).</t>
        </is>
      </c>
      <c r="U116" s="6" t="inlineStr">
        <is>
          <t>Recorded as the supervisor's position, to test, not to assume.</t>
        </is>
      </c>
      <c r="V116" s="6" t="inlineStr">
        <is>
          <t>Conflicts with A1's framing (T2).</t>
        </is>
      </c>
      <c r="W116" s="6" t="inlineStr"/>
      <c r="X116" s="6" t="inlineStr"/>
      <c r="Y116" s="6" t="inlineStr"/>
      <c r="Z116" s="6" t="inlineStr"/>
      <c r="AA116" s="6" t="inlineStr"/>
      <c r="AB116" s="6" t="inlineStr">
        <is>
          <t>SOURCE</t>
        </is>
      </c>
      <c r="AC116" s="6" t="inlineStr">
        <is>
          <t>n/a (REGISTER E)</t>
        </is>
      </c>
      <c r="AD116" s="6" t="inlineStr">
        <is>
          <t>NEW (repo sweep)</t>
        </is>
      </c>
      <c r="AE116" s="6" t="inlineStr">
        <is>
          <t>2026-10-19</t>
        </is>
      </c>
      <c r="AF116" s="6" t="inlineStr">
        <is>
          <t>evidence/extracts/EXT-0004.md; REGISTER section E</t>
        </is>
      </c>
      <c r="AG116" s="6" t="inlineStr"/>
      <c r="AH116" s="6" t="inlineStr">
        <is>
          <t>No</t>
        </is>
      </c>
      <c r="AI116" s="6" t="inlineStr"/>
      <c r="AJ116" s="6" t="inlineStr">
        <is>
          <t>repo: REGISTER section E / EXT-0004</t>
        </is>
      </c>
      <c r="AK116" s="6" t="inlineStr">
        <is>
          <t>REQ-A1 A3</t>
        </is>
      </c>
      <c r="AL116" s="6" t="inlineStr">
        <is>
          <t>S11</t>
        </is>
      </c>
    </row>
    <row r="117" ht="40.5" customHeight="1">
      <c r="A117" s="5" t="inlineStr">
        <is>
          <t>AS-04</t>
        </is>
      </c>
      <c r="B117" s="6" t="inlineStr">
        <is>
          <t>Supervisor assertion A4: Tool use works because descriptions give the LLM an assumption about behaviour</t>
        </is>
      </c>
      <c r="C117" s="6" t="inlineStr">
        <is>
          <t>OPEN</t>
        </is>
      </c>
      <c r="D117" s="6">
        <f>IFERROR(INDEX(Lists!$B$2:$B$14,MATCH(C117,Lists!$A$2:$A$14,0)),"?")</f>
        <v/>
      </c>
      <c r="E117" s="6">
        <f>IF(COUNTIFS(Links!$B$2:$B$600,A117,Links!$E$2:$E$600,"Yes")&gt;0,"REVISE","")</f>
        <v/>
      </c>
      <c r="F117" s="6">
        <f>COUNTIFS(Links!$B$2:$B$600,A117,Links!$D$2:$D$600,"No",Links!$C$2:$C$600,"&lt;&gt;INFORMS")</f>
        <v/>
      </c>
      <c r="G117" s="11" t="inlineStr">
        <is>
          <t>LITERATURE-DIRECTED</t>
        </is>
      </c>
      <c r="H117" s="6" t="inlineStr">
        <is>
          <t>K14 Source &amp; vendor verification</t>
        </is>
      </c>
      <c r="I117" s="6" t="inlineStr">
        <is>
          <t>G5 Housekeeping / no block</t>
        </is>
      </c>
      <c r="J117" s="6" t="inlineStr">
        <is>
          <t>Low</t>
        </is>
      </c>
      <c r="K117" s="6" t="n">
        <v>120</v>
      </c>
      <c r="L117" s="6" t="inlineStr">
        <is>
          <t>W2 Desk work (no model runs)</t>
        </is>
      </c>
      <c r="M117" s="6" t="inlineStr">
        <is>
          <t>S13</t>
        </is>
      </c>
      <c r="N117" s="6" t="inlineStr">
        <is>
          <t>Lead / team</t>
        </is>
      </c>
      <c r="O117" s="6" t="inlineStr">
        <is>
          <t>Directed search (needs scope)</t>
        </is>
      </c>
      <c r="P117" s="6" t="inlineStr">
        <is>
          <t>No</t>
        </is>
      </c>
      <c r="Q117" s="6" t="inlineStr">
        <is>
          <t>Claim to test</t>
        </is>
      </c>
      <c r="R117" s="6" t="inlineStr">
        <is>
          <t>Item</t>
        </is>
      </c>
      <c r="S117" s="6" t="inlineStr"/>
      <c r="T117" s="6" t="inlineStr">
        <is>
          <t>REQ-A1 A4: Tool use works because descriptions give the LLM an assumption about behaviour. Plausible; testable (misleading-description studies).</t>
        </is>
      </c>
      <c r="U117" s="6" t="inlineStr">
        <is>
          <t>Recorded as the supervisor's position, to test, not to assume.</t>
        </is>
      </c>
      <c r="V117" s="6" t="inlineStr">
        <is>
          <t>Plausible; testable (misleading-description studies).</t>
        </is>
      </c>
      <c r="W117" s="6" t="inlineStr"/>
      <c r="X117" s="6" t="inlineStr"/>
      <c r="Y117" s="6" t="inlineStr"/>
      <c r="Z117" s="6" t="inlineStr"/>
      <c r="AA117" s="6" t="inlineStr"/>
      <c r="AB117" s="6" t="inlineStr">
        <is>
          <t>SOURCE</t>
        </is>
      </c>
      <c r="AC117" s="6" t="inlineStr">
        <is>
          <t>n/a (REGISTER E)</t>
        </is>
      </c>
      <c r="AD117" s="6" t="inlineStr">
        <is>
          <t>NEW (repo sweep)</t>
        </is>
      </c>
      <c r="AE117" s="6" t="inlineStr">
        <is>
          <t>2026-10-19</t>
        </is>
      </c>
      <c r="AF117" s="6" t="inlineStr">
        <is>
          <t>evidence/extracts/EXT-0004.md; REGISTER section E</t>
        </is>
      </c>
      <c r="AG117" s="6" t="inlineStr"/>
      <c r="AH117" s="6" t="inlineStr">
        <is>
          <t>No</t>
        </is>
      </c>
      <c r="AI117" s="6" t="inlineStr"/>
      <c r="AJ117" s="6" t="inlineStr">
        <is>
          <t>repo: REGISTER section E / EXT-0004</t>
        </is>
      </c>
      <c r="AK117" s="6" t="inlineStr">
        <is>
          <t>REQ-A1 A4</t>
        </is>
      </c>
      <c r="AL117" s="6" t="inlineStr">
        <is>
          <t>S11</t>
        </is>
      </c>
    </row>
    <row r="118" ht="40.5" customHeight="1">
      <c r="A118" s="5" t="inlineStr">
        <is>
          <t>AS-05</t>
        </is>
      </c>
      <c r="B118" s="6" t="inlineStr">
        <is>
          <t>Supervisor assertion A5: Query expansion helps because it surfaces terms matching tool descriptions; already known, not novel</t>
        </is>
      </c>
      <c r="C118" s="6" t="inlineStr">
        <is>
          <t>OPEN</t>
        </is>
      </c>
      <c r="D118" s="6">
        <f>IFERROR(INDEX(Lists!$B$2:$B$14,MATCH(C118,Lists!$A$2:$A$14,0)),"?")</f>
        <v/>
      </c>
      <c r="E118" s="6">
        <f>IF(COUNTIFS(Links!$B$2:$B$600,A118,Links!$E$2:$E$600,"Yes")&gt;0,"REVISE","")</f>
        <v/>
      </c>
      <c r="F118" s="6">
        <f>COUNTIFS(Links!$B$2:$B$600,A118,Links!$D$2:$D$600,"No",Links!$C$2:$C$600,"&lt;&gt;INFORMS")</f>
        <v/>
      </c>
      <c r="G118" s="11" t="inlineStr">
        <is>
          <t>LITERATURE-DIRECTED</t>
        </is>
      </c>
      <c r="H118" s="6" t="inlineStr">
        <is>
          <t>K14 Source &amp; vendor verification</t>
        </is>
      </c>
      <c r="I118" s="6" t="inlineStr">
        <is>
          <t>G5 Housekeeping / no block</t>
        </is>
      </c>
      <c r="J118" s="6" t="inlineStr">
        <is>
          <t>Low</t>
        </is>
      </c>
      <c r="K118" s="6" t="n">
        <v>121</v>
      </c>
      <c r="L118" s="6" t="inlineStr">
        <is>
          <t>W2 Desk work (no model runs)</t>
        </is>
      </c>
      <c r="M118" s="6" t="inlineStr">
        <is>
          <t>S13</t>
        </is>
      </c>
      <c r="N118" s="6" t="inlineStr">
        <is>
          <t>Lead / team</t>
        </is>
      </c>
      <c r="O118" s="6" t="inlineStr">
        <is>
          <t>Directed search (needs scope)</t>
        </is>
      </c>
      <c r="P118" s="6" t="inlineStr">
        <is>
          <t>No</t>
        </is>
      </c>
      <c r="Q118" s="6" t="inlineStr">
        <is>
          <t>Claim to test</t>
        </is>
      </c>
      <c r="R118" s="6" t="inlineStr">
        <is>
          <t>Item</t>
        </is>
      </c>
      <c r="S118" s="6" t="inlineStr"/>
      <c r="T118" s="6" t="inlineStr">
        <is>
          <t>REQ-A1 A5: Query expansion helps because it surfaces terms matching tool descriptions; already known, not novel. Prior-art claim to verify.</t>
        </is>
      </c>
      <c r="U118" s="6" t="inlineStr">
        <is>
          <t>Recorded as the supervisor's position, to test, not to assume.</t>
        </is>
      </c>
      <c r="V118" s="6" t="inlineStr">
        <is>
          <t>Prior-art claim to verify.</t>
        </is>
      </c>
      <c r="W118" s="6" t="inlineStr"/>
      <c r="X118" s="6" t="inlineStr"/>
      <c r="Y118" s="6" t="inlineStr"/>
      <c r="Z118" s="6" t="inlineStr"/>
      <c r="AA118" s="6" t="inlineStr"/>
      <c r="AB118" s="6" t="inlineStr">
        <is>
          <t>SOURCE</t>
        </is>
      </c>
      <c r="AC118" s="6" t="inlineStr">
        <is>
          <t>n/a (REGISTER E)</t>
        </is>
      </c>
      <c r="AD118" s="6" t="inlineStr">
        <is>
          <t>NEW (repo sweep)</t>
        </is>
      </c>
      <c r="AE118" s="6" t="inlineStr">
        <is>
          <t>2026-10-19</t>
        </is>
      </c>
      <c r="AF118" s="6" t="inlineStr">
        <is>
          <t>evidence/extracts/EXT-0004.md; REGISTER section E</t>
        </is>
      </c>
      <c r="AG118" s="6" t="inlineStr"/>
      <c r="AH118" s="6" t="inlineStr">
        <is>
          <t>No</t>
        </is>
      </c>
      <c r="AI118" s="6" t="inlineStr"/>
      <c r="AJ118" s="6" t="inlineStr">
        <is>
          <t>repo: REGISTER section E / EXT-0004</t>
        </is>
      </c>
      <c r="AK118" s="6" t="inlineStr">
        <is>
          <t>REQ-A1 A5</t>
        </is>
      </c>
      <c r="AL118" s="6" t="inlineStr">
        <is>
          <t>S11</t>
        </is>
      </c>
    </row>
    <row r="119" ht="28" customHeight="1">
      <c r="A119" s="5" t="inlineStr">
        <is>
          <t>AS-09</t>
        </is>
      </c>
      <c r="B119" s="6" t="inlineStr">
        <is>
          <t>Supervisor assertion A9: The partial-information idea comes from another party's documentation</t>
        </is>
      </c>
      <c r="C119" s="6" t="inlineStr">
        <is>
          <t>OPEN</t>
        </is>
      </c>
      <c r="D119" s="6">
        <f>IFERROR(INDEX(Lists!$B$2:$B$14,MATCH(C119,Lists!$A$2:$A$14,0)),"?")</f>
        <v/>
      </c>
      <c r="E119" s="6">
        <f>IF(COUNTIFS(Links!$B$2:$B$600,A119,Links!$E$2:$E$600,"Yes")&gt;0,"REVISE","")</f>
        <v/>
      </c>
      <c r="F119" s="6">
        <f>COUNTIFS(Links!$B$2:$B$600,A119,Links!$D$2:$D$600,"No",Links!$C$2:$C$600,"&lt;&gt;INFORMS")</f>
        <v/>
      </c>
      <c r="G119" s="11" t="inlineStr">
        <is>
          <t>LITERATURE-DIRECTED</t>
        </is>
      </c>
      <c r="H119" s="6" t="inlineStr">
        <is>
          <t>K14 Source &amp; vendor verification</t>
        </is>
      </c>
      <c r="I119" s="6" t="inlineStr">
        <is>
          <t>G5 Housekeeping / no block</t>
        </is>
      </c>
      <c r="J119" s="6" t="inlineStr">
        <is>
          <t>Low</t>
        </is>
      </c>
      <c r="K119" s="6" t="n">
        <v>122</v>
      </c>
      <c r="L119" s="6" t="inlineStr">
        <is>
          <t>W2 Desk work (no model runs)</t>
        </is>
      </c>
      <c r="M119" s="6" t="inlineStr">
        <is>
          <t>S13</t>
        </is>
      </c>
      <c r="N119" s="6" t="inlineStr">
        <is>
          <t>Lead / team</t>
        </is>
      </c>
      <c r="O119" s="6" t="inlineStr">
        <is>
          <t>Directed search (needs scope)</t>
        </is>
      </c>
      <c r="P119" s="6" t="inlineStr">
        <is>
          <t>No</t>
        </is>
      </c>
      <c r="Q119" s="6" t="inlineStr">
        <is>
          <t>Claim to test</t>
        </is>
      </c>
      <c r="R119" s="6" t="inlineStr">
        <is>
          <t>Item</t>
        </is>
      </c>
      <c r="S119" s="6" t="inlineStr"/>
      <c r="T119" s="6" t="inlineStr">
        <is>
          <t>REQ-A1 A9: The partial-information idea comes from another party's documentation. Source unnamed; prior art to locate.</t>
        </is>
      </c>
      <c r="U119" s="6" t="inlineStr">
        <is>
          <t>Recorded as the supervisor's position, to test, not to assume.</t>
        </is>
      </c>
      <c r="V119" s="6" t="inlineStr">
        <is>
          <t>Source unnamed; prior art to locate.</t>
        </is>
      </c>
      <c r="W119" s="6" t="inlineStr"/>
      <c r="X119" s="6" t="inlineStr"/>
      <c r="Y119" s="6" t="inlineStr"/>
      <c r="Z119" s="6" t="inlineStr"/>
      <c r="AA119" s="6" t="inlineStr"/>
      <c r="AB119" s="6" t="inlineStr">
        <is>
          <t>SOURCE</t>
        </is>
      </c>
      <c r="AC119" s="6" t="inlineStr">
        <is>
          <t>n/a (REGISTER E)</t>
        </is>
      </c>
      <c r="AD119" s="6" t="inlineStr">
        <is>
          <t>NEW (repo sweep)</t>
        </is>
      </c>
      <c r="AE119" s="6" t="inlineStr">
        <is>
          <t>2026-10-19</t>
        </is>
      </c>
      <c r="AF119" s="6" t="inlineStr">
        <is>
          <t>evidence/extracts/EXT-0004.md; REGISTER section E</t>
        </is>
      </c>
      <c r="AG119" s="6" t="inlineStr"/>
      <c r="AH119" s="6" t="inlineStr">
        <is>
          <t>No</t>
        </is>
      </c>
      <c r="AI119" s="6" t="inlineStr"/>
      <c r="AJ119" s="6" t="inlineStr">
        <is>
          <t>repo: REGISTER section E / EXT-0004</t>
        </is>
      </c>
      <c r="AK119" s="6" t="inlineStr">
        <is>
          <t>REQ-A1 A9</t>
        </is>
      </c>
      <c r="AL119" s="6" t="inlineStr">
        <is>
          <t>S11</t>
        </is>
      </c>
    </row>
    <row r="120" ht="53" customHeight="1">
      <c r="A120" s="5" t="inlineStr">
        <is>
          <t>C-E02/UNREADLEADS</t>
        </is>
      </c>
      <c r="B120" s="6" t="inlineStr">
        <is>
          <t>Reference lists (KAIST, cache study), agent-memory survey 2602.06052 not read</t>
        </is>
      </c>
      <c r="C120" s="6" t="inlineStr">
        <is>
          <t>OPEN</t>
        </is>
      </c>
      <c r="D120" s="6">
        <f>IFERROR(INDEX(Lists!$B$2:$B$14,MATCH(C120,Lists!$A$2:$A$14,0)),"?")</f>
        <v/>
      </c>
      <c r="E120" s="6">
        <f>IF(COUNTIFS(Links!$B$2:$B$600,A120,Links!$E$2:$E$600,"Yes")&gt;0,"REVISE","")</f>
        <v/>
      </c>
      <c r="F120" s="6">
        <f>COUNTIFS(Links!$B$2:$B$600,A120,Links!$D$2:$D$600,"No",Links!$C$2:$C$600,"&lt;&gt;INFORMS")</f>
        <v/>
      </c>
      <c r="G120" s="11" t="inlineStr">
        <is>
          <t>LITERATURE-DIRECTED</t>
        </is>
      </c>
      <c r="H120" s="6" t="inlineStr">
        <is>
          <t>K14 Source &amp; vendor verification</t>
        </is>
      </c>
      <c r="I120" s="6" t="inlineStr">
        <is>
          <t>G4 Before claims</t>
        </is>
      </c>
      <c r="J120" s="6" t="inlineStr">
        <is>
          <t>Normal</t>
        </is>
      </c>
      <c r="K120" s="6" t="n">
        <v>123</v>
      </c>
      <c r="L120" s="6" t="inlineStr">
        <is>
          <t>W2 Desk work (no model runs)</t>
        </is>
      </c>
      <c r="M120" s="6" t="inlineStr">
        <is>
          <t>S13</t>
        </is>
      </c>
      <c r="N120" s="6" t="inlineStr">
        <is>
          <t>Lead + fresh reviewer</t>
        </is>
      </c>
      <c r="O120" s="6" t="inlineStr">
        <is>
          <t>Directed search (needs scope)</t>
        </is>
      </c>
      <c r="P120" s="6" t="inlineStr">
        <is>
          <t>Partly</t>
        </is>
      </c>
      <c r="Q120" s="6" t="inlineStr">
        <is>
          <t>Record fix</t>
        </is>
      </c>
      <c r="R120" s="6" t="inlineStr">
        <is>
          <t>Sub-item</t>
        </is>
      </c>
      <c r="S120" s="6" t="inlineStr">
        <is>
          <t>C-E02</t>
        </is>
      </c>
      <c r="T120" s="6" t="inlineStr">
        <is>
          <t>v4-05 section 5 'not done': reference lists of KAIST and the cache study and the agent-memory survey (arXiv 2602.06052) were not read.</t>
        </is>
      </c>
      <c r="U120" s="6" t="inlineStr">
        <is>
          <t>Recorded as open in its source; not examined further in this review.</t>
        </is>
      </c>
      <c r="V120" s="6" t="inlineStr">
        <is>
          <t>Read or marked out of scope.</t>
        </is>
      </c>
      <c r="W120" s="6" t="inlineStr"/>
      <c r="X120" s="6" t="inlineStr"/>
      <c r="Y120" s="6" t="inlineStr">
        <is>
          <t>Q-U21</t>
        </is>
      </c>
      <c r="Z120" s="6" t="inlineStr"/>
      <c r="AA120" s="6" t="inlineStr"/>
      <c r="AB120" s="6" t="inlineStr">
        <is>
          <t>RECORD+SOURCE</t>
        </is>
      </c>
      <c r="AC120" s="6" t="inlineStr">
        <is>
          <t>n/a (sub-item)</t>
        </is>
      </c>
      <c r="AD120" s="6" t="inlineStr">
        <is>
          <t>NEW (repo sweep)</t>
        </is>
      </c>
      <c r="AE120" s="6" t="inlineStr">
        <is>
          <t>2026-10-19</t>
        </is>
      </c>
      <c r="AF120" s="6" t="inlineStr">
        <is>
          <t>v4-05 section 5</t>
        </is>
      </c>
      <c r="AG120" s="6" t="inlineStr"/>
      <c r="AH120" s="6" t="inlineStr">
        <is>
          <t>No (AUTH-016 covers web fetches for this item)</t>
        </is>
      </c>
      <c r="AI120" s="6" t="inlineStr"/>
      <c r="AJ120" s="6" t="inlineStr">
        <is>
          <t>repo: v4-03 section 6 / RV-0005 / RV-0007</t>
        </is>
      </c>
      <c r="AK120" s="6" t="inlineStr"/>
      <c r="AL120" s="6" t="inlineStr">
        <is>
          <t>S13</t>
        </is>
      </c>
    </row>
    <row r="121" ht="53" customHeight="1">
      <c r="A121" s="5" t="inlineStr">
        <is>
          <t>C-S08/VOCAB</t>
        </is>
      </c>
      <c r="B121" s="6" t="inlineStr">
        <is>
          <t>Different-vocabulary literature pass not done (agentic retrieval, tool abstention, function hallucination, MCP gateway)</t>
        </is>
      </c>
      <c r="C121" s="6" t="inlineStr">
        <is>
          <t>OPEN</t>
        </is>
      </c>
      <c r="D121" s="6">
        <f>IFERROR(INDEX(Lists!$B$2:$B$14,MATCH(C121,Lists!$A$2:$A$14,0)),"?")</f>
        <v/>
      </c>
      <c r="E121" s="6">
        <f>IF(COUNTIFS(Links!$B$2:$B$600,A121,Links!$E$2:$E$600,"Yes")&gt;0,"REVISE","")</f>
        <v/>
      </c>
      <c r="F121" s="6">
        <f>COUNTIFS(Links!$B$2:$B$600,A121,Links!$D$2:$D$600,"No",Links!$C$2:$C$600,"&lt;&gt;INFORMS")</f>
        <v/>
      </c>
      <c r="G121" s="11" t="inlineStr">
        <is>
          <t>LITERATURE-DIRECTED</t>
        </is>
      </c>
      <c r="H121" s="6" t="inlineStr">
        <is>
          <t>K8 Search initiation &amp; recovery</t>
        </is>
      </c>
      <c r="I121" s="6" t="inlineStr">
        <is>
          <t>G3 Before confirmatory study</t>
        </is>
      </c>
      <c r="J121" s="6" t="inlineStr">
        <is>
          <t>Normal</t>
        </is>
      </c>
      <c r="K121" s="6" t="n">
        <v>124</v>
      </c>
      <c r="L121" s="6" t="inlineStr">
        <is>
          <t>W2 Desk work (no model runs)</t>
        </is>
      </c>
      <c r="M121" s="6" t="inlineStr">
        <is>
          <t>S13</t>
        </is>
      </c>
      <c r="N121" s="6" t="inlineStr">
        <is>
          <t>Team</t>
        </is>
      </c>
      <c r="O121" s="6" t="inlineStr">
        <is>
          <t>Directed search (needs scope)</t>
        </is>
      </c>
      <c r="P121" s="6" t="inlineStr">
        <is>
          <t>No</t>
        </is>
      </c>
      <c r="Q121" s="6" t="inlineStr">
        <is>
          <t>Scientific unknown</t>
        </is>
      </c>
      <c r="R121" s="6" t="inlineStr">
        <is>
          <t>Sub-item</t>
        </is>
      </c>
      <c r="S121" s="6" t="inlineStr">
        <is>
          <t>C-S08</t>
        </is>
      </c>
      <c r="T121" s="6" t="inlineStr">
        <is>
          <t>The search sample is search-engine driven and recent-preprint heavy; a bounded different-vocabulary pass was proposed (CH-0067, CH-0073) and is listed as not done in v4-05 section 5.</t>
        </is>
      </c>
      <c r="U121" s="6" t="inlineStr">
        <is>
          <t>Recorded as open in its source; not examined further in this review.</t>
        </is>
      </c>
      <c r="V121" s="6" t="inlineStr">
        <is>
          <t>A bounded pass run with logged queries, saturation stated.</t>
        </is>
      </c>
      <c r="W121" s="6" t="inlineStr"/>
      <c r="X121" s="6" t="inlineStr"/>
      <c r="Y121" s="6" t="inlineStr">
        <is>
          <t>Q-U21</t>
        </is>
      </c>
      <c r="Z121" s="6" t="inlineStr"/>
      <c r="AA121" s="6" t="inlineStr"/>
      <c r="AB121" s="6" t="inlineStr">
        <is>
          <t>SOURCE</t>
        </is>
      </c>
      <c r="AC121" s="6" t="inlineStr">
        <is>
          <t>n/a (sub-item)</t>
        </is>
      </c>
      <c r="AD121" s="6" t="inlineStr">
        <is>
          <t>NEW (SRC-11 sub-row)</t>
        </is>
      </c>
      <c r="AE121" s="6" t="inlineStr">
        <is>
          <t>2026-10-19</t>
        </is>
      </c>
      <c r="AF121" s="6" t="inlineStr">
        <is>
          <t>v4-05 section 1B</t>
        </is>
      </c>
      <c r="AG121" s="6" t="inlineStr"/>
      <c r="AH121" s="6" t="inlineStr">
        <is>
          <t>No (AUTH-016 covers web fetches for this item)</t>
        </is>
      </c>
      <c r="AI121" s="6" t="inlineStr"/>
      <c r="AJ121" s="6" t="inlineStr">
        <is>
          <t>repo: v4-05 sections 1B, 3, 4; reviews RV-0006/0007</t>
        </is>
      </c>
      <c r="AK121" s="6" t="inlineStr">
        <is>
          <t>CH-0067, CH-0073</t>
        </is>
      </c>
      <c r="AL121" s="6" t="inlineStr">
        <is>
          <t>S13</t>
        </is>
      </c>
    </row>
    <row r="122" ht="53" customHeight="1">
      <c r="A122" s="5" t="inlineStr">
        <is>
          <t>N-6/SKILLMEM</t>
        </is>
      </c>
      <c r="B122" s="6" t="inlineStr">
        <is>
          <t>Procedural/skill-memory literature surfaced by one search, not read</t>
        </is>
      </c>
      <c r="C122" s="6" t="inlineStr">
        <is>
          <t>OPEN</t>
        </is>
      </c>
      <c r="D122" s="6">
        <f>IFERROR(INDEX(Lists!$B$2:$B$14,MATCH(C122,Lists!$A$2:$A$14,0)),"?")</f>
        <v/>
      </c>
      <c r="E122" s="6">
        <f>IF(COUNTIFS(Links!$B$2:$B$600,A122,Links!$E$2:$E$600,"Yes")&gt;0,"REVISE","")</f>
        <v/>
      </c>
      <c r="F122" s="6">
        <f>COUNTIFS(Links!$B$2:$B$600,A122,Links!$D$2:$D$600,"No",Links!$C$2:$C$600,"&lt;&gt;INFORMS")</f>
        <v/>
      </c>
      <c r="G122" s="11" t="inlineStr">
        <is>
          <t>LITERATURE-DIRECTED</t>
        </is>
      </c>
      <c r="H122" s="6" t="inlineStr">
        <is>
          <t>K4 Memory &amp; sessions</t>
        </is>
      </c>
      <c r="I122" s="6" t="inlineStr">
        <is>
          <t>G3 Before confirmatory study</t>
        </is>
      </c>
      <c r="J122" s="6" t="inlineStr">
        <is>
          <t>Normal</t>
        </is>
      </c>
      <c r="K122" s="6" t="n">
        <v>125</v>
      </c>
      <c r="L122" s="6" t="inlineStr">
        <is>
          <t>W2 Desk work (no model runs)</t>
        </is>
      </c>
      <c r="M122" s="6" t="inlineStr">
        <is>
          <t>S13</t>
        </is>
      </c>
      <c r="N122" s="6" t="inlineStr">
        <is>
          <t>Lead</t>
        </is>
      </c>
      <c r="O122" s="6" t="inlineStr">
        <is>
          <t>Directed search (needs scope)</t>
        </is>
      </c>
      <c r="P122" s="6" t="inlineStr">
        <is>
          <t>No</t>
        </is>
      </c>
      <c r="Q122" s="6" t="inlineStr">
        <is>
          <t>Source check</t>
        </is>
      </c>
      <c r="R122" s="6" t="inlineStr">
        <is>
          <t>Sub-item</t>
        </is>
      </c>
      <c r="S122" s="6" t="inlineStr">
        <is>
          <t>N-6</t>
        </is>
      </c>
      <c r="T122" s="6" t="inlineStr">
        <is>
          <t>RV-0006 and v4-05: procedural or skill-memory work (surfaced by one search) may bear on cross-session tool memory and was not read [U].</t>
        </is>
      </c>
      <c r="U122" s="6" t="inlineStr">
        <is>
          <t>Unknown.</t>
        </is>
      </c>
      <c r="V122" s="6" t="inlineStr">
        <is>
          <t>Directed search done; related work read or ruled out.</t>
        </is>
      </c>
      <c r="W122" s="6" t="inlineStr"/>
      <c r="X122" s="6" t="inlineStr"/>
      <c r="Y122" s="6" t="inlineStr"/>
      <c r="Z122" s="6" t="inlineStr"/>
      <c r="AA122" s="6" t="inlineStr"/>
      <c r="AB122" s="6" t="inlineStr">
        <is>
          <t>SOURCE</t>
        </is>
      </c>
      <c r="AC122" s="6" t="inlineStr">
        <is>
          <t>n/a (sub-item)</t>
        </is>
      </c>
      <c r="AD122" s="6" t="inlineStr">
        <is>
          <t>NEW (repo sweep)</t>
        </is>
      </c>
      <c r="AE122" s="6" t="inlineStr">
        <is>
          <t>2026-10-19</t>
        </is>
      </c>
      <c r="AF122" s="6" t="inlineStr">
        <is>
          <t>RV-0006 section 4</t>
        </is>
      </c>
      <c r="AG122" s="6" t="inlineStr"/>
      <c r="AH122" s="6" t="inlineStr">
        <is>
          <t>No (AUTH-016 covers web fetches for this item)</t>
        </is>
      </c>
      <c r="AI122" s="6" t="inlineStr"/>
      <c r="AJ122" s="6" t="inlineStr">
        <is>
          <t>repo: RV-0006; v4-05 section 1C</t>
        </is>
      </c>
      <c r="AK122" s="6" t="inlineStr"/>
      <c r="AL122" s="6" t="inlineStr">
        <is>
          <t>S13</t>
        </is>
      </c>
    </row>
    <row r="123" ht="53" customHeight="1">
      <c r="A123" s="5" t="inlineStr">
        <is>
          <t>N-19</t>
        </is>
      </c>
      <c r="B123" s="6" t="inlineStr">
        <is>
          <t>Stale counts and safeguard text in records</t>
        </is>
      </c>
      <c r="C123" s="6" t="inlineStr">
        <is>
          <t>OPEN</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G5 Housekeeping / no block</t>
        </is>
      </c>
      <c r="J123" s="6" t="inlineStr">
        <is>
          <t>Low</t>
        </is>
      </c>
      <c r="K123" s="6" t="n">
        <v>126</v>
      </c>
      <c r="L123" s="6" t="inlineStr">
        <is>
          <t>W2 Desk work (no model runs)</t>
        </is>
      </c>
      <c r="M123" s="6" t="inlineStr">
        <is>
          <t>S15</t>
        </is>
      </c>
      <c r="N123" s="6" t="inlineStr">
        <is>
          <t>Lead (STATE, v4-05); you (pinned files)</t>
        </is>
      </c>
      <c r="O123" s="6" t="inlineStr">
        <is>
          <t>Lead drafts the fix; you approve</t>
        </is>
      </c>
      <c r="P123" s="6" t="inlineStr">
        <is>
          <t>Answered (see basis)</t>
        </is>
      </c>
      <c r="Q123" s="6" t="inlineStr">
        <is>
          <t>Record fix</t>
        </is>
      </c>
      <c r="R123" s="6" t="inlineStr">
        <is>
          <t>Item</t>
        </is>
      </c>
      <c r="S123" s="6" t="inlineStr"/>
      <c r="T123" s="6" t="inlineStr">
        <is>
          <t>STATE says AUTH-013 had 23 searches / 32 sources; v4-05 section 5 says 18 / 28 while its header says 27 / 37 (manifest has 37 rows); SAFEGUARDS rows 5 and 17 and CLAUDE.md predate AUTH-012/014/015.</t>
        </is>
      </c>
      <c r="U123" s="6" t="inlineStr">
        <is>
          <t>Pinned files (CLAUDE.md, SAFEGUARDS) need your review before edits.</t>
        </is>
      </c>
      <c r="V123" s="6" t="inlineStr">
        <is>
          <t>Counts and safeguard text updated.</t>
        </is>
      </c>
      <c r="W123" s="6" t="inlineStr"/>
      <c r="X123" s="6" t="inlineStr"/>
      <c r="Y123" s="6" t="inlineStr">
        <is>
          <t>Q-U11</t>
        </is>
      </c>
      <c r="Z123" s="6" t="inlineStr"/>
      <c r="AA123" s="6" t="inlineStr"/>
      <c r="AB123" s="6" t="inlineStr">
        <is>
          <t>RECORD</t>
        </is>
      </c>
      <c r="AC123" s="6" t="inlineStr">
        <is>
          <t>n/a (new)</t>
        </is>
      </c>
      <c r="AD123" s="6" t="inlineStr">
        <is>
          <t>NEW (repo sweep)</t>
        </is>
      </c>
      <c r="AE123" s="6" t="inlineStr">
        <is>
          <t>2026-10-19</t>
        </is>
      </c>
      <c r="AF123" s="6" t="inlineStr">
        <is>
          <t>STATE; v4-05; MANIFEST.jsonl (37 rows); SAFEGUARDS.md; CLAUDE.md</t>
        </is>
      </c>
      <c r="AG123" s="6" t="inlineStr"/>
      <c r="AH123" s="6" t="inlineStr">
        <is>
          <t>No</t>
        </is>
      </c>
      <c r="AI123" s="6" t="inlineStr"/>
      <c r="AJ123" s="6" t="inlineStr">
        <is>
          <t>review 19 Oct section 6.6</t>
        </is>
      </c>
      <c r="AK123" s="6" t="inlineStr"/>
      <c r="AL123" s="6" t="inlineStr">
        <is>
          <t>S03</t>
        </is>
      </c>
    </row>
    <row r="124" ht="28" customHeight="1">
      <c r="A124" s="5" t="inlineStr">
        <is>
          <t>C-R01/C01</t>
        </is>
      </c>
      <c r="B124" s="6" t="inlineStr">
        <is>
          <t>D4: arm choice, multiplicity, test-split failure</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G3 Before confirmatory study</t>
        </is>
      </c>
      <c r="J124" s="6" t="inlineStr">
        <is>
          <t>Normal</t>
        </is>
      </c>
      <c r="K124" s="6" t="n">
        <v>127</v>
      </c>
      <c r="L124" s="6" t="inlineStr">
        <is>
          <t>W2 Desk work (no model runs)</t>
        </is>
      </c>
      <c r="M124" s="6" t="inlineStr">
        <is>
          <t>S15</t>
        </is>
      </c>
      <c r="N124" s="6" t="inlineStr">
        <is>
          <t>Lead + fresh reviewer</t>
        </is>
      </c>
      <c r="O124" s="6" t="inlineStr">
        <is>
          <t>Lead drafts the fix; you approve</t>
        </is>
      </c>
      <c r="P124" s="6" t="inlineStr">
        <is>
          <t>Partly</t>
        </is>
      </c>
      <c r="Q124" s="6" t="inlineStr">
        <is>
          <t>Scientific unknown</t>
        </is>
      </c>
      <c r="R124" s="6" t="inlineStr">
        <is>
          <t>Sub-item</t>
        </is>
      </c>
      <c r="S124" s="6" t="inlineStr">
        <is>
          <t>C-R01</t>
        </is>
      </c>
      <c r="T124" s="6" t="inlineStr">
        <is>
          <t>SRC-06 C01: D4's arm selection, multiplicity and test-split failure handling.</t>
        </is>
      </c>
      <c r="U124" s="6" t="inlineStr">
        <is>
          <t>Rule rewritten; multiplicity enumeration (CH-0040 a,b) still open; also belongs to C-S14.</t>
        </is>
      </c>
      <c r="V124" s="6" t="inlineStr">
        <is>
          <t>Independent re-check and a dated fix.</t>
        </is>
      </c>
      <c r="W124" s="6" t="inlineStr"/>
      <c r="X124" s="6" t="inlineStr"/>
      <c r="Y124" s="6" t="inlineStr"/>
      <c r="Z124" s="6" t="inlineStr"/>
      <c r="AA124" s="6" t="inlineStr"/>
      <c r="AB124" s="6" t="inlineStr">
        <is>
          <t>RECORD+DATA</t>
        </is>
      </c>
      <c r="AC124" s="6" t="inlineStr">
        <is>
          <t>n/a (sub-item)</t>
        </is>
      </c>
      <c r="AD124" s="6" t="inlineStr">
        <is>
          <t>NEW (SRC-11 sub-row)</t>
        </is>
      </c>
      <c r="AE124" s="6" t="inlineStr">
        <is>
          <t>2026-10-19</t>
        </is>
      </c>
      <c r="AF124" s="6" t="inlineStr">
        <is>
          <t>v4-02 sections 5-6; CH-0040 open (a)(b)</t>
        </is>
      </c>
      <c r="AG124" s="6" t="inlineStr"/>
      <c r="AH124" s="6" t="inlineStr">
        <is>
          <t>No</t>
        </is>
      </c>
      <c r="AI124" s="6" t="inlineStr"/>
      <c r="AJ124" s="6" t="inlineStr">
        <is>
          <t>SRC-11 section D4</t>
        </is>
      </c>
      <c r="AK124" s="6" t="inlineStr">
        <is>
          <t>SRC-06 C01, CH-0040</t>
        </is>
      </c>
      <c r="AL124" s="6" t="inlineStr">
        <is>
          <t>S09</t>
        </is>
      </c>
    </row>
    <row r="125" ht="28" customHeight="1">
      <c r="A125" s="5" t="inlineStr">
        <is>
          <t>C-R01/C02</t>
        </is>
      </c>
      <c r="B125" s="6" t="inlineStr">
        <is>
          <t>Annotations / substitute reference</t>
        </is>
      </c>
      <c r="C125" s="6" t="inlineStr">
        <is>
          <t>PARTLY ANSWERED</t>
        </is>
      </c>
      <c r="D125" s="6">
        <f>IFERROR(INDEX(Lists!$B$2:$B$14,MATCH(C125,Lists!$A$2:$A$14,0)),"?")</f>
        <v/>
      </c>
      <c r="E125" s="6">
        <f>IF(COUNTIFS(Links!$B$2:$B$600,A125,Links!$E$2:$E$600,"Yes")&gt;0,"REVISE","")</f>
        <v/>
      </c>
      <c r="F125" s="6">
        <f>COUNTIFS(Links!$B$2:$B$600,A125,Links!$D$2:$D$600,"No",Links!$C$2:$C$600,"&lt;&gt;INFORMS")</f>
        <v/>
      </c>
      <c r="G125" s="8" t="inlineStr">
        <is>
          <t>RECORDS-AT-HAND</t>
        </is>
      </c>
      <c r="H125" s="6" t="inlineStr">
        <is>
          <t>K17 Record repair &amp; procedure error</t>
        </is>
      </c>
      <c r="I125" s="6" t="inlineStr">
        <is>
          <t>G3 Before confirmatory study</t>
        </is>
      </c>
      <c r="J125" s="6" t="inlineStr">
        <is>
          <t>Normal</t>
        </is>
      </c>
      <c r="K125" s="6" t="n">
        <v>128</v>
      </c>
      <c r="L125" s="6" t="inlineStr">
        <is>
          <t>W2 Desk work (no model runs)</t>
        </is>
      </c>
      <c r="M125" s="6" t="inlineStr">
        <is>
          <t>S15</t>
        </is>
      </c>
      <c r="N125" s="6" t="inlineStr">
        <is>
          <t>Lead + fresh reviewer</t>
        </is>
      </c>
      <c r="O125" s="6" t="inlineStr">
        <is>
          <t>Lead drafts the fix; you approve</t>
        </is>
      </c>
      <c r="P125" s="6" t="inlineStr">
        <is>
          <t>Partly</t>
        </is>
      </c>
      <c r="Q125" s="6" t="inlineStr">
        <is>
          <t>Scientific unknown</t>
        </is>
      </c>
      <c r="R125" s="6" t="inlineStr">
        <is>
          <t>Sub-item</t>
        </is>
      </c>
      <c r="S125" s="6" t="inlineStr">
        <is>
          <t>C-R01</t>
        </is>
      </c>
      <c r="T125" s="6" t="inlineStr">
        <is>
          <t>SRC-06 C02: source of annotations and the substitute reference.</t>
        </is>
      </c>
      <c r="U125" s="6" t="inlineStr">
        <is>
          <t>Substitute rule replaced by R-full / R-pool / frontier; R-pool direction unresolved.</t>
        </is>
      </c>
      <c r="V125" s="6" t="inlineStr">
        <is>
          <t>Independent re-check and a dated fix.</t>
        </is>
      </c>
      <c r="W125" s="6" t="inlineStr"/>
      <c r="X125" s="6" t="inlineStr"/>
      <c r="Y125" s="6" t="inlineStr"/>
      <c r="Z125" s="6" t="inlineStr"/>
      <c r="AA125" s="6" t="inlineStr"/>
      <c r="AB125" s="6" t="inlineStr">
        <is>
          <t>RECORD+DATA</t>
        </is>
      </c>
      <c r="AC125" s="6" t="inlineStr">
        <is>
          <t>n/a (sub-item)</t>
        </is>
      </c>
      <c r="AD125" s="6" t="inlineStr">
        <is>
          <t>NEW (SRC-11 sub-row)</t>
        </is>
      </c>
      <c r="AE125" s="6" t="inlineStr">
        <is>
          <t>2026-10-19</t>
        </is>
      </c>
      <c r="AF125" s="6" t="inlineStr">
        <is>
          <t>v4-02 section 4 (reference ladder)</t>
        </is>
      </c>
      <c r="AG125" s="6" t="inlineStr"/>
      <c r="AH125" s="6" t="inlineStr">
        <is>
          <t>No</t>
        </is>
      </c>
      <c r="AI125" s="6" t="inlineStr"/>
      <c r="AJ125" s="6" t="inlineStr">
        <is>
          <t>SRC-11 section D4</t>
        </is>
      </c>
      <c r="AK125" s="6" t="inlineStr">
        <is>
          <t>SRC-06 C02, CH-0038</t>
        </is>
      </c>
      <c r="AL125" s="6" t="inlineStr">
        <is>
          <t>S09</t>
        </is>
      </c>
    </row>
    <row r="126" ht="28" customHeight="1">
      <c r="A126" s="5" t="inlineStr">
        <is>
          <t>C-R01/C03</t>
        </is>
      </c>
      <c r="B126" s="6" t="inlineStr">
        <is>
          <t>R6 timing, query source, recovery assumptions</t>
        </is>
      </c>
      <c r="C126" s="6" t="inlineStr">
        <is>
          <t>PARTLY ANSWERED</t>
        </is>
      </c>
      <c r="D126" s="6">
        <f>IFERROR(INDEX(Lists!$B$2:$B$14,MATCH(C126,Lists!$A$2:$A$14,0)),"?")</f>
        <v/>
      </c>
      <c r="E126" s="6">
        <f>IF(COUNTIFS(Links!$B$2:$B$600,A126,Links!$E$2:$E$600,"Yes")&gt;0,"REVISE","")</f>
        <v/>
      </c>
      <c r="F126" s="6">
        <f>COUNTIFS(Links!$B$2:$B$600,A126,Links!$D$2:$D$600,"No",Links!$C$2:$C$600,"&lt;&gt;INFORMS")</f>
        <v/>
      </c>
      <c r="G126" s="8" t="inlineStr">
        <is>
          <t>RECORDS-AT-HAND</t>
        </is>
      </c>
      <c r="H126" s="6" t="inlineStr">
        <is>
          <t>K17 Record repair &amp; procedure error</t>
        </is>
      </c>
      <c r="I126" s="6" t="inlineStr">
        <is>
          <t>G3 Before confirmatory study</t>
        </is>
      </c>
      <c r="J126" s="6" t="inlineStr">
        <is>
          <t>Normal</t>
        </is>
      </c>
      <c r="K126" s="6" t="n">
        <v>129</v>
      </c>
      <c r="L126" s="6" t="inlineStr">
        <is>
          <t>W2 Desk work (no model runs)</t>
        </is>
      </c>
      <c r="M126" s="6" t="inlineStr">
        <is>
          <t>S15</t>
        </is>
      </c>
      <c r="N126" s="6" t="inlineStr">
        <is>
          <t>Lead + fresh reviewer</t>
        </is>
      </c>
      <c r="O126" s="6" t="inlineStr">
        <is>
          <t>Lead drafts the fix; you approve</t>
        </is>
      </c>
      <c r="P126" s="6" t="inlineStr">
        <is>
          <t>Partly</t>
        </is>
      </c>
      <c r="Q126" s="6" t="inlineStr">
        <is>
          <t>Scientific unknown</t>
        </is>
      </c>
      <c r="R126" s="6" t="inlineStr">
        <is>
          <t>Sub-item</t>
        </is>
      </c>
      <c r="S126" s="6" t="inlineStr">
        <is>
          <t>C-R01</t>
        </is>
      </c>
      <c r="T126" s="6" t="inlineStr">
        <is>
          <t>SRC-06 C03: R6 (trigger) timing, scripted-query provenance, recovery assumptions.</t>
        </is>
      </c>
      <c r="U126" s="6" t="inlineStr">
        <is>
          <t>Trigger placed after tool results and at finish; R6 itself has no supporting evidence.</t>
        </is>
      </c>
      <c r="V126" s="6" t="inlineStr">
        <is>
          <t>Independent re-check and a dated fix.</t>
        </is>
      </c>
      <c r="W126" s="6" t="inlineStr"/>
      <c r="X126" s="6" t="inlineStr"/>
      <c r="Y126" s="6" t="inlineStr"/>
      <c r="Z126" s="6" t="inlineStr"/>
      <c r="AA126" s="6" t="inlineStr"/>
      <c r="AB126" s="6" t="inlineStr">
        <is>
          <t>RECORD+DATA</t>
        </is>
      </c>
      <c r="AC126" s="6" t="inlineStr">
        <is>
          <t>n/a (sub-item)</t>
        </is>
      </c>
      <c r="AD126" s="6" t="inlineStr">
        <is>
          <t>NEW (SRC-11 sub-row)</t>
        </is>
      </c>
      <c r="AE126" s="6" t="inlineStr">
        <is>
          <t>2026-10-19</t>
        </is>
      </c>
      <c r="AF126" s="6" t="inlineStr">
        <is>
          <t>v4-02 note 4 (P3/P3f placement); CH-0041</t>
        </is>
      </c>
      <c r="AG126" s="6" t="inlineStr"/>
      <c r="AH126" s="6" t="inlineStr">
        <is>
          <t>No</t>
        </is>
      </c>
      <c r="AI126" s="6" t="inlineStr"/>
      <c r="AJ126" s="6" t="inlineStr">
        <is>
          <t>SRC-11 section D4</t>
        </is>
      </c>
      <c r="AK126" s="6" t="inlineStr">
        <is>
          <t>SRC-06 C03, CH-0041</t>
        </is>
      </c>
      <c r="AL126" s="6" t="inlineStr">
        <is>
          <t>S09</t>
        </is>
      </c>
    </row>
    <row r="127" ht="28" customHeight="1">
      <c r="A127" s="5" t="inlineStr">
        <is>
          <t>C-R01/C04</t>
        </is>
      </c>
      <c r="B127" s="6" t="inlineStr">
        <is>
          <t>Outcome-split accounting, provider usage, task shedding</t>
        </is>
      </c>
      <c r="C127" s="6" t="inlineStr">
        <is>
          <t>OPEN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K17 Record repair &amp; procedure error</t>
        </is>
      </c>
      <c r="I127" s="6" t="inlineStr">
        <is>
          <t>G3 Before confirmatory study</t>
        </is>
      </c>
      <c r="J127" s="6" t="inlineStr">
        <is>
          <t>Normal</t>
        </is>
      </c>
      <c r="K127" s="6" t="n">
        <v>130</v>
      </c>
      <c r="L127" s="6" t="inlineStr">
        <is>
          <t>W2 Desk work (no model runs)</t>
        </is>
      </c>
      <c r="M127" s="6" t="inlineStr">
        <is>
          <t>S15</t>
        </is>
      </c>
      <c r="N127" s="6" t="inlineStr">
        <is>
          <t>Lead + fresh reviewer</t>
        </is>
      </c>
      <c r="O127" s="6" t="inlineStr">
        <is>
          <t>Needs an AUTH and a protocol</t>
        </is>
      </c>
      <c r="P127" s="6" t="inlineStr">
        <is>
          <t>Partly</t>
        </is>
      </c>
      <c r="Q127" s="6" t="inlineStr">
        <is>
          <t>Scientific unknown</t>
        </is>
      </c>
      <c r="R127" s="6" t="inlineStr">
        <is>
          <t>Sub-item</t>
        </is>
      </c>
      <c r="S127" s="6" t="inlineStr">
        <is>
          <t>C-R01</t>
        </is>
      </c>
      <c r="T127" s="6" t="inlineStr">
        <is>
          <t>SRC-06 C04: outcome-split accounting, whether provider usage counts deferred definitions, and expensive-task shedding.</t>
        </is>
      </c>
      <c r="U127" s="6" t="inlineStr">
        <is>
          <t>Stratum guard added; tokens-by-outcome split belongs to E1.</t>
        </is>
      </c>
      <c r="V127" s="6" t="inlineStr">
        <is>
          <t>Independent re-check and a dated fix.</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v3-04 section 1 (CH-0042 residual); v4-02 section 8</t>
        </is>
      </c>
      <c r="AG127" s="6" t="inlineStr"/>
      <c r="AH127" s="6" t="inlineStr">
        <is>
          <t>No</t>
        </is>
      </c>
      <c r="AI127" s="6" t="inlineStr"/>
      <c r="AJ127" s="6" t="inlineStr">
        <is>
          <t>SRC-11 section D4</t>
        </is>
      </c>
      <c r="AK127" s="6" t="inlineStr">
        <is>
          <t>SRC-06 C04, CH-0042</t>
        </is>
      </c>
      <c r="AL127" s="6" t="inlineStr">
        <is>
          <t>S09</t>
        </is>
      </c>
    </row>
    <row r="128" ht="28" customHeight="1">
      <c r="A128" s="5" t="inlineStr">
        <is>
          <t>C-R01/C05</t>
        </is>
      </c>
      <c r="B128" s="6" t="inlineStr">
        <is>
          <t>Fair baseline / usage knowledge</t>
        </is>
      </c>
      <c r="C128" s="6" t="inlineStr">
        <is>
          <t>PARTLY ANSWERED</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G3 Before confirmatory study</t>
        </is>
      </c>
      <c r="J128" s="6" t="inlineStr">
        <is>
          <t>Normal</t>
        </is>
      </c>
      <c r="K128" s="6" t="n">
        <v>131</v>
      </c>
      <c r="L128" s="6" t="inlineStr">
        <is>
          <t>W2 Desk work (no model runs)</t>
        </is>
      </c>
      <c r="M128" s="6" t="inlineStr">
        <is>
          <t>S15</t>
        </is>
      </c>
      <c r="N128" s="6" t="inlineStr">
        <is>
          <t>Lead + fresh reviewer</t>
        </is>
      </c>
      <c r="O128" s="6" t="inlineStr">
        <is>
          <t>Lead drafts the fix; you approve</t>
        </is>
      </c>
      <c r="P128" s="6" t="inlineStr">
        <is>
          <t>Partly</t>
        </is>
      </c>
      <c r="Q128" s="6" t="inlineStr">
        <is>
          <t>Scientific unknown</t>
        </is>
      </c>
      <c r="R128" s="6" t="inlineStr">
        <is>
          <t>Sub-item</t>
        </is>
      </c>
      <c r="S128" s="6" t="inlineStr">
        <is>
          <t>C-R01</t>
        </is>
      </c>
      <c r="T128" s="6" t="inlineStr">
        <is>
          <t>SRC-06 C05: fair baseline and the usage knowledge a hand-picked core needs.</t>
        </is>
      </c>
      <c r="U128" s="6" t="inlineStr">
        <is>
          <t>Text corrected ('needs usage knowledge'); comparison reframed.</t>
        </is>
      </c>
      <c r="V128" s="6" t="inlineStr">
        <is>
          <t>Independent re-check and a dated fix.</t>
        </is>
      </c>
      <c r="W128" s="6" t="inlineStr"/>
      <c r="X128" s="6" t="inlineStr"/>
      <c r="Y128" s="6" t="inlineStr"/>
      <c r="Z128" s="6" t="inlineStr"/>
      <c r="AA128" s="6" t="inlineStr"/>
      <c r="AB128" s="6" t="inlineStr">
        <is>
          <t>RECORD+DATA</t>
        </is>
      </c>
      <c r="AC128" s="6" t="inlineStr">
        <is>
          <t>n/a (sub-item)</t>
        </is>
      </c>
      <c r="AD128" s="6" t="inlineStr">
        <is>
          <t>NEW (SRC-11 sub-row)</t>
        </is>
      </c>
      <c r="AE128" s="6" t="inlineStr">
        <is>
          <t>2026-10-19</t>
        </is>
      </c>
      <c r="AF128" s="6" t="inlineStr">
        <is>
          <t>v3-04 section 1 (CH-0043); v4-01 section 5</t>
        </is>
      </c>
      <c r="AG128" s="6" t="inlineStr"/>
      <c r="AH128" s="6" t="inlineStr">
        <is>
          <t>No</t>
        </is>
      </c>
      <c r="AI128" s="6" t="inlineStr"/>
      <c r="AJ128" s="6" t="inlineStr">
        <is>
          <t>SRC-11 section D4</t>
        </is>
      </c>
      <c r="AK128" s="6" t="inlineStr">
        <is>
          <t>SRC-06 C05, CH-0043</t>
        </is>
      </c>
      <c r="AL128" s="6" t="inlineStr">
        <is>
          <t>S09</t>
        </is>
      </c>
    </row>
    <row r="129" ht="28" customHeight="1">
      <c r="A129" s="5" t="inlineStr">
        <is>
          <t>C-R01/C06</t>
        </is>
      </c>
      <c r="B129" s="6" t="inlineStr">
        <is>
          <t>No-miss searches; conditional I_disc / tau</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G3 Before confirmatory study</t>
        </is>
      </c>
      <c r="J129" s="6" t="inlineStr">
        <is>
          <t>Normal</t>
        </is>
      </c>
      <c r="K129" s="6" t="n">
        <v>132</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Scientific unknown</t>
        </is>
      </c>
      <c r="R129" s="6" t="inlineStr">
        <is>
          <t>Sub-item</t>
        </is>
      </c>
      <c r="S129" s="6" t="inlineStr">
        <is>
          <t>C-R01</t>
        </is>
      </c>
      <c r="T129" s="6" t="inlineStr">
        <is>
          <t>SRC-06 C06: searches in trajectories that need no deferred tool; I_disc and tau must be conditional on the needed tool.</t>
        </is>
      </c>
      <c r="U129" s="6" t="inlineStr">
        <is>
          <t>Counted events defined in v4-05; the conditional terms are not specified.</t>
        </is>
      </c>
      <c r="V129" s="6" t="inlineStr">
        <is>
          <t>Independent re-check and a dated fix.</t>
        </is>
      </c>
      <c r="W129" s="6" t="inlineStr"/>
      <c r="X129" s="6" t="inlineStr"/>
      <c r="Y129" s="6" t="inlineStr"/>
      <c r="Z129" s="6" t="inlineStr"/>
      <c r="AA129" s="6" t="inlineStr"/>
      <c r="AB129" s="6" t="inlineStr">
        <is>
          <t>RECORD+DATA</t>
        </is>
      </c>
      <c r="AC129" s="6" t="inlineStr">
        <is>
          <t>n/a (sub-item)</t>
        </is>
      </c>
      <c r="AD129" s="6" t="inlineStr">
        <is>
          <t>NEW (SRC-11 sub-row)</t>
        </is>
      </c>
      <c r="AE129" s="6" t="inlineStr">
        <is>
          <t>2026-10-19</t>
        </is>
      </c>
      <c r="AF129" s="6" t="inlineStr">
        <is>
          <t>v3-04 section 1 (CH-0035 residual); v4-05 section 4 (event definitions)</t>
        </is>
      </c>
      <c r="AG129" s="6" t="inlineStr"/>
      <c r="AH129" s="6" t="inlineStr">
        <is>
          <t>No</t>
        </is>
      </c>
      <c r="AI129" s="6" t="inlineStr"/>
      <c r="AJ129" s="6" t="inlineStr">
        <is>
          <t>SRC-11 section D4</t>
        </is>
      </c>
      <c r="AK129" s="6" t="inlineStr">
        <is>
          <t>SRC-06 C06</t>
        </is>
      </c>
      <c r="AL129" s="6" t="inlineStr">
        <is>
          <t>S09</t>
        </is>
      </c>
    </row>
    <row r="130" ht="40.5" customHeight="1">
      <c r="A130" s="5" t="inlineStr">
        <is>
          <t>C-R01</t>
        </is>
      </c>
      <c r="B130" s="6" t="inlineStr">
        <is>
          <t>v3 challenge residuals: D4 arm/multiplicity, substitute reference, trigger timing, outcome-split accounting...</t>
        </is>
      </c>
      <c r="C130" s="6" t="inlineStr">
        <is>
          <t>PARTLY ANSWERED</t>
        </is>
      </c>
      <c r="D130" s="6">
        <f>IFERROR(INDEX(Lists!$B$2:$B$14,MATCH(C130,Lists!$A$2:$A$14,0)),"?")</f>
        <v/>
      </c>
      <c r="E130" s="6">
        <f>IF(COUNTIFS(Links!$B$2:$B$600,A130,Links!$E$2:$E$600,"Yes")&gt;0,"REVISE","")</f>
        <v/>
      </c>
      <c r="F130" s="6">
        <f>COUNTIFS(Links!$B$2:$B$600,A130,Links!$D$2:$D$600,"No",Links!$C$2:$C$600,"&lt;&gt;INFORMS")</f>
        <v/>
      </c>
      <c r="G130" s="8" t="inlineStr">
        <is>
          <t>RECORDS-AT-HAND</t>
        </is>
      </c>
      <c r="H130" s="6" t="inlineStr">
        <is>
          <t>K17 Record repair &amp; procedure error</t>
        </is>
      </c>
      <c r="I130" s="6" t="inlineStr">
        <is>
          <t>G3 Before confirmatory study</t>
        </is>
      </c>
      <c r="J130" s="6" t="inlineStr">
        <is>
          <t>Normal</t>
        </is>
      </c>
      <c r="K130" s="6" t="n">
        <v>133</v>
      </c>
      <c r="L130" s="6" t="inlineStr">
        <is>
          <t>W2 Desk work (no model runs)</t>
        </is>
      </c>
      <c r="M130" s="6" t="inlineStr">
        <is>
          <t>S15</t>
        </is>
      </c>
      <c r="N130" s="6" t="inlineStr">
        <is>
          <t>Lead + fresh reviewer</t>
        </is>
      </c>
      <c r="O130" s="6" t="inlineStr">
        <is>
          <t>Lead drafts the fix; you approve</t>
        </is>
      </c>
      <c r="P130" s="6" t="inlineStr">
        <is>
          <t>Partly</t>
        </is>
      </c>
      <c r="Q130" s="6" t="inlineStr">
        <is>
          <t>Record fix</t>
        </is>
      </c>
      <c r="R130" s="6" t="inlineStr">
        <is>
          <t>Item</t>
        </is>
      </c>
      <c r="S130" s="6" t="inlineStr"/>
      <c r="T130" s="6" t="inlineStr">
        <is>
          <t>v3 challenge residuals: D4 arm/multiplicity, substitute reference, trigger timing, outcome-split accounting, fair baseline, no-miss searches.</t>
        </is>
      </c>
      <c r="U130" s="6" t="inlineStr">
        <is>
          <t>v4 corrected the text; 11 of 13 v4 challenges closed; the last edits were not re-verified by the challenger; figures never rendered.</t>
        </is>
      </c>
      <c r="V130" s="6" t="inlineStr">
        <is>
          <t>Last edits re-checked independently; figures rendered; data residuals tied to their tests.</t>
        </is>
      </c>
      <c r="W130" s="6" t="inlineStr">
        <is>
          <t>C-D08</t>
        </is>
      </c>
      <c r="X130" s="6" t="inlineStr">
        <is>
          <t>C-S14</t>
        </is>
      </c>
      <c r="Y130" s="6" t="inlineStr"/>
      <c r="Z130" s="6" t="inlineStr">
        <is>
          <t>DESK-ANALYSIS, TEST-PILOT</t>
        </is>
      </c>
      <c r="AA130" s="6" t="inlineStr">
        <is>
          <t>K5 Evaluation contract</t>
        </is>
      </c>
      <c r="AB130" s="6" t="inlineStr">
        <is>
          <t>DATA+DEC+RECORD</t>
        </is>
      </c>
      <c r="AC130" s="6" t="inlineStr">
        <is>
          <t>PARTLY ANSWERED - OPEN</t>
        </is>
      </c>
      <c r="AD130" s="6" t="inlineStr">
        <is>
          <t>RE-CHARACTERISED</t>
        </is>
      </c>
      <c r="AE130" s="6" t="inlineStr">
        <is>
          <t>2026-10-19</t>
        </is>
      </c>
      <c r="AF130" s="6" t="inlineStr">
        <is>
          <t>v4-03 sections 5-6; CH-0045..0057; RV-0005</t>
        </is>
      </c>
      <c r="AG130" s="6" t="inlineStr"/>
      <c r="AH130" s="6" t="inlineStr">
        <is>
          <t>No</t>
        </is>
      </c>
      <c r="AI130" s="6" t="inlineStr"/>
      <c r="AJ130" s="6" t="inlineStr">
        <is>
          <t>SRC-11 canonical</t>
        </is>
      </c>
      <c r="AK130" s="6" t="inlineStr">
        <is>
          <t>SRC-06 C01-C06, v4-03 residuals</t>
        </is>
      </c>
      <c r="AL130" s="6" t="inlineStr">
        <is>
          <t>S09</t>
        </is>
      </c>
    </row>
    <row r="131" ht="28" customHeight="1">
      <c r="A131" s="5" t="inlineStr">
        <is>
          <t>C-R01/RENDER</t>
        </is>
      </c>
      <c r="B131" s="6" t="inlineStr">
        <is>
          <t>Mermaid figures were never rendered</t>
        </is>
      </c>
      <c r="C131" s="6" t="inlineStr">
        <is>
          <t>OPEN</t>
        </is>
      </c>
      <c r="D131" s="6">
        <f>IFERROR(INDEX(Lists!$B$2:$B$14,MATCH(C131,Lists!$A$2:$A$14,0)),"?")</f>
        <v/>
      </c>
      <c r="E131" s="6">
        <f>IF(COUNTIFS(Links!$B$2:$B$600,A131,Links!$E$2:$E$600,"Yes")&gt;0,"REVISE","")</f>
        <v/>
      </c>
      <c r="F131" s="6">
        <f>COUNTIFS(Links!$B$2:$B$600,A131,Links!$D$2:$D$600,"No",Links!$C$2:$C$600,"&lt;&gt;INFORMS")</f>
        <v/>
      </c>
      <c r="G131" s="8" t="inlineStr">
        <is>
          <t>RECORDS-AT-HAND</t>
        </is>
      </c>
      <c r="H131" s="6" t="inlineStr">
        <is>
          <t>K17 Record repair &amp; procedure error</t>
        </is>
      </c>
      <c r="I131" s="6" t="inlineStr">
        <is>
          <t>G4 Before claims</t>
        </is>
      </c>
      <c r="J131" s="6" t="inlineStr">
        <is>
          <t>Normal</t>
        </is>
      </c>
      <c r="K131" s="6" t="n">
        <v>134</v>
      </c>
      <c r="L131" s="6" t="inlineStr">
        <is>
          <t>W2 Desk work (no model runs)</t>
        </is>
      </c>
      <c r="M131" s="6" t="inlineStr">
        <is>
          <t>S15</t>
        </is>
      </c>
      <c r="N131" s="6" t="inlineStr">
        <is>
          <t>Lead + fresh reviewer</t>
        </is>
      </c>
      <c r="O131" s="6" t="inlineStr">
        <is>
          <t>Lead drafts the fix; you approve</t>
        </is>
      </c>
      <c r="P131" s="6" t="inlineStr">
        <is>
          <t>No</t>
        </is>
      </c>
      <c r="Q131" s="6" t="inlineStr">
        <is>
          <t>Record fix</t>
        </is>
      </c>
      <c r="R131" s="6" t="inlineStr">
        <is>
          <t>Sub-item</t>
        </is>
      </c>
      <c r="S131" s="6" t="inlineStr">
        <is>
          <t>C-R01</t>
        </is>
      </c>
      <c r="T131" s="6" t="inlineStr">
        <is>
          <t>No renderer was installed; Figure 1 and 2 syntax is unverified.</t>
        </is>
      </c>
      <c r="U131" s="6" t="inlineStr">
        <is>
          <t>Recorded as open in its source; not examined further in this review.</t>
        </is>
      </c>
      <c r="V131" s="6" t="inlineStr">
        <is>
          <t>Checked and corrected or labelled unverifiable.</t>
        </is>
      </c>
      <c r="W131" s="6" t="inlineStr"/>
      <c r="X131" s="6" t="inlineStr"/>
      <c r="Y131" s="6" t="inlineStr"/>
      <c r="Z131" s="6" t="inlineStr"/>
      <c r="AA131" s="6" t="inlineStr"/>
      <c r="AB131" s="6" t="inlineStr">
        <is>
          <t>RECORD+SOURCE</t>
        </is>
      </c>
      <c r="AC131" s="6" t="inlineStr">
        <is>
          <t>n/a (sub-item)</t>
        </is>
      </c>
      <c r="AD131" s="6" t="inlineStr">
        <is>
          <t>NEW (repo sweep)</t>
        </is>
      </c>
      <c r="AE131" s="6" t="inlineStr">
        <is>
          <t>2026-10-19</t>
        </is>
      </c>
      <c r="AF131" s="6" t="inlineStr">
        <is>
          <t>v4-03 section 6</t>
        </is>
      </c>
      <c r="AG131" s="6" t="inlineStr"/>
      <c r="AH131" s="6" t="inlineStr">
        <is>
          <t>No</t>
        </is>
      </c>
      <c r="AI131" s="6" t="inlineStr"/>
      <c r="AJ131" s="6" t="inlineStr">
        <is>
          <t>repo: v4-03 section 6 / RV-0005 / RV-0007</t>
        </is>
      </c>
      <c r="AK131" s="6" t="inlineStr"/>
      <c r="AL131" s="6" t="inlineStr">
        <is>
          <t>S15</t>
        </is>
      </c>
    </row>
    <row r="132" ht="78" customHeight="1">
      <c r="A132" s="5" t="inlineStr">
        <is>
          <t>C-R01/V4RES</t>
        </is>
      </c>
      <c r="B132" s="6" t="inlineStr">
        <is>
          <t>v4 round-2 residuals R1-R9: fixes applied but not re-verified</t>
        </is>
      </c>
      <c r="C132" s="6" t="inlineStr">
        <is>
          <t>OPEN</t>
        </is>
      </c>
      <c r="D132" s="6">
        <f>IFERROR(INDEX(Lists!$B$2:$B$14,MATCH(C132,Lists!$A$2:$A$14,0)),"?")</f>
        <v/>
      </c>
      <c r="E132" s="6">
        <f>IF(COUNTIFS(Links!$B$2:$B$600,A132,Links!$E$2:$E$600,"Yes")&gt;0,"REVISE","")</f>
        <v/>
      </c>
      <c r="F132" s="6">
        <f>COUNTIFS(Links!$B$2:$B$600,A132,Links!$D$2:$D$600,"No",Links!$C$2:$C$600,"&lt;&gt;INFORMS")</f>
        <v/>
      </c>
      <c r="G132" s="8" t="inlineStr">
        <is>
          <t>RECORDS-AT-HAND</t>
        </is>
      </c>
      <c r="H132" s="6" t="inlineStr">
        <is>
          <t>K17 Record repair &amp; procedure error</t>
        </is>
      </c>
      <c r="I132" s="6" t="inlineStr">
        <is>
          <t>G4 Before claims</t>
        </is>
      </c>
      <c r="J132" s="6" t="inlineStr">
        <is>
          <t>Normal</t>
        </is>
      </c>
      <c r="K132" s="6" t="n">
        <v>135</v>
      </c>
      <c r="L132" s="6" t="inlineStr">
        <is>
          <t>W2 Desk work (no model runs)</t>
        </is>
      </c>
      <c r="M132" s="6" t="inlineStr">
        <is>
          <t>S15</t>
        </is>
      </c>
      <c r="N132" s="6" t="inlineStr">
        <is>
          <t>Lead + fresh reviewer</t>
        </is>
      </c>
      <c r="O132" s="6" t="inlineStr">
        <is>
          <t>Lead drafts the fix; you approve</t>
        </is>
      </c>
      <c r="P132" s="6" t="inlineStr">
        <is>
          <t>Partly</t>
        </is>
      </c>
      <c r="Q132" s="6" t="inlineStr">
        <is>
          <t>Record fix</t>
        </is>
      </c>
      <c r="R132" s="6" t="inlineStr">
        <is>
          <t>Sub-item</t>
        </is>
      </c>
      <c r="S132" s="6" t="inlineStr">
        <is>
          <t>C-R01</t>
        </is>
      </c>
      <c r="T132"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32" s="6" t="inlineStr">
        <is>
          <t>Fixes are present in the current text (checked in the review for R2, R3, R4, R5, R9).</t>
        </is>
      </c>
      <c r="V132" s="6" t="inlineStr">
        <is>
          <t>A fresh reviewer re-checks the last edits.</t>
        </is>
      </c>
      <c r="W132" s="6" t="inlineStr"/>
      <c r="X132" s="6" t="inlineStr"/>
      <c r="Y132" s="6" t="inlineStr"/>
      <c r="Z132" s="6" t="inlineStr"/>
      <c r="AA132" s="6" t="inlineStr"/>
      <c r="AB132" s="6" t="inlineStr">
        <is>
          <t>RECORD+SOURCE</t>
        </is>
      </c>
      <c r="AC132" s="6" t="inlineStr">
        <is>
          <t>n/a (sub-item)</t>
        </is>
      </c>
      <c r="AD132" s="6" t="inlineStr">
        <is>
          <t>NEW (repo sweep)</t>
        </is>
      </c>
      <c r="AE132" s="6" t="inlineStr">
        <is>
          <t>2026-10-19</t>
        </is>
      </c>
      <c r="AF132" s="6" t="inlineStr">
        <is>
          <t>RV-0005 section 8; v4-03 section 5; v4-02 sections 2-5, 6 (fixes present in text)</t>
        </is>
      </c>
      <c r="AG132" s="6" t="inlineStr"/>
      <c r="AH132" s="6" t="inlineStr">
        <is>
          <t>No</t>
        </is>
      </c>
      <c r="AI132" s="6" t="inlineStr"/>
      <c r="AJ132" s="6" t="inlineStr">
        <is>
          <t>repo: v4-03 section 6 / RV-0005 / RV-0007</t>
        </is>
      </c>
      <c r="AK132" s="6" t="inlineStr">
        <is>
          <t>CH-0049, CH-0055, RV-0005 R1-R9</t>
        </is>
      </c>
      <c r="AL132" s="6" t="inlineStr">
        <is>
          <t>S15</t>
        </is>
      </c>
    </row>
    <row r="133" ht="53" customHeight="1">
      <c r="A133" s="5" t="inlineStr">
        <is>
          <t>C-R03</t>
        </is>
      </c>
      <c r="B133" s="6" t="inlineStr">
        <is>
          <t>v3 artefacts not independently verified: simulation not rerun, single challenger, summaries unverified, par...</t>
        </is>
      </c>
      <c r="C133" s="6" t="inlineStr">
        <is>
          <t>OPEN</t>
        </is>
      </c>
      <c r="D133" s="6">
        <f>IFERROR(INDEX(Lists!$B$2:$B$14,MATCH(C133,Lists!$A$2:$A$14,0)),"?")</f>
        <v/>
      </c>
      <c r="E133" s="6">
        <f>IF(COUNTIFS(Links!$B$2:$B$600,A133,Links!$E$2:$E$600,"Yes")&gt;0,"REVISE","")</f>
        <v/>
      </c>
      <c r="F133" s="6">
        <f>COUNTIFS(Links!$B$2:$B$600,A133,Links!$D$2:$D$600,"No",Links!$C$2:$C$600,"&lt;&gt;INFORMS")</f>
        <v/>
      </c>
      <c r="G133" s="8" t="inlineStr">
        <is>
          <t>RECORDS-AT-HAND</t>
        </is>
      </c>
      <c r="H133" s="6" t="inlineStr">
        <is>
          <t>K17 Record repair &amp; procedure error</t>
        </is>
      </c>
      <c r="I133" s="6" t="inlineStr">
        <is>
          <t>G4 Before claims</t>
        </is>
      </c>
      <c r="J133" s="6" t="inlineStr">
        <is>
          <t>Normal</t>
        </is>
      </c>
      <c r="K133" s="6" t="n">
        <v>136</v>
      </c>
      <c r="L133" s="6" t="inlineStr">
        <is>
          <t>W2 Desk work (no model runs)</t>
        </is>
      </c>
      <c r="M133" s="6" t="inlineStr">
        <is>
          <t>S15</t>
        </is>
      </c>
      <c r="N133" s="6" t="inlineStr">
        <is>
          <t>Lead + fresh reviewer</t>
        </is>
      </c>
      <c r="O133" s="6" t="inlineStr">
        <is>
          <t>Lead drafts the fix; you approve</t>
        </is>
      </c>
      <c r="P133" s="6" t="inlineStr">
        <is>
          <t>Partly</t>
        </is>
      </c>
      <c r="Q133" s="6" t="inlineStr">
        <is>
          <t>Record fix</t>
        </is>
      </c>
      <c r="R133" s="6" t="inlineStr">
        <is>
          <t>Item</t>
        </is>
      </c>
      <c r="S133" s="6" t="inlineStr"/>
      <c r="T133" s="6" t="inlineStr">
        <is>
          <t>v3 artefacts not independently verified: simulation not rerun, single challenger, summaries unverified, partly supported pivotal passages.</t>
        </is>
      </c>
      <c r="U133" s="6" t="inlineStr">
        <is>
          <t>Small new checks (SUM-0004; power and cost tables reproduced). Rounds 4-5 of the literature text were not re-challenged; BFCL numbers are the lead's own computation (reproduced in the review).</t>
        </is>
      </c>
      <c r="V133" s="6" t="inlineStr">
        <is>
          <t>Each artifact verified or labelled; stale counts fixed.</t>
        </is>
      </c>
      <c r="W133" s="6" t="inlineStr"/>
      <c r="X133" s="6" t="inlineStr"/>
      <c r="Y133" s="6" t="inlineStr"/>
      <c r="Z133" s="6" t="inlineStr">
        <is>
          <t>DESK-ANALYSIS, SOURCE-REREAD</t>
        </is>
      </c>
      <c r="AA133" s="6" t="inlineStr">
        <is>
          <t>K14 Source &amp; vendor verification</t>
        </is>
      </c>
      <c r="AB133" s="6" t="inlineStr">
        <is>
          <t>RECORD+SOURCE+DATA</t>
        </is>
      </c>
      <c r="AC133" s="6" t="inlineStr">
        <is>
          <t>OPEN</t>
        </is>
      </c>
      <c r="AD133" s="6" t="inlineStr">
        <is>
          <t>UNCHANGED</t>
        </is>
      </c>
      <c r="AE133" s="6" t="inlineStr">
        <is>
          <t>2026-10-19</t>
        </is>
      </c>
      <c r="AF133" s="6" t="inlineStr">
        <is>
          <t>SUM-0004; v4-05 header; review section 6.6</t>
        </is>
      </c>
      <c r="AG133" s="6" t="inlineStr"/>
      <c r="AH133" s="6" t="inlineStr">
        <is>
          <t>No</t>
        </is>
      </c>
      <c r="AI133" s="6" t="inlineStr"/>
      <c r="AJ133" s="6" t="inlineStr">
        <is>
          <t>SRC-11 canonical</t>
        </is>
      </c>
      <c r="AK133" s="6" t="inlineStr">
        <is>
          <t>SRC-06 C20-C27</t>
        </is>
      </c>
      <c r="AL133" s="6" t="inlineStr">
        <is>
          <t>S15</t>
        </is>
      </c>
    </row>
    <row r="134" ht="28" customHeight="1">
      <c r="A134" s="5" t="inlineStr">
        <is>
          <t>C-R03/C20</t>
        </is>
      </c>
      <c r="B134" s="6" t="inlineStr">
        <is>
          <t>No computational rerun of the simulation/limits</t>
        </is>
      </c>
      <c r="C134" s="6" t="inlineStr">
        <is>
          <t>OPEN</t>
        </is>
      </c>
      <c r="D134" s="6">
        <f>IFERROR(INDEX(Lists!$B$2:$B$14,MATCH(C134,Lists!$A$2:$A$14,0)),"?")</f>
        <v/>
      </c>
      <c r="E134" s="6">
        <f>IF(COUNTIFS(Links!$B$2:$B$600,A134,Links!$E$2:$E$600,"Yes")&gt;0,"REVISE","")</f>
        <v/>
      </c>
      <c r="F134" s="6">
        <f>COUNTIFS(Links!$B$2:$B$600,A134,Links!$D$2:$D$600,"No",Links!$C$2:$C$600,"&lt;&gt;INFORMS")</f>
        <v/>
      </c>
      <c r="G134" s="13" t="inlineStr">
        <is>
          <t>DESK-ANALYSIS</t>
        </is>
      </c>
      <c r="H134" s="6" t="inlineStr">
        <is>
          <t>K17 Record repair &amp; procedure error</t>
        </is>
      </c>
      <c r="I134" s="6" t="inlineStr">
        <is>
          <t>G4 Before claims</t>
        </is>
      </c>
      <c r="J134" s="6" t="inlineStr">
        <is>
          <t>Normal</t>
        </is>
      </c>
      <c r="K134" s="6" t="n">
        <v>137</v>
      </c>
      <c r="L134" s="6" t="inlineStr">
        <is>
          <t>W2 Desk work (no model runs)</t>
        </is>
      </c>
      <c r="M134" s="6" t="inlineStr">
        <is>
          <t>S15</t>
        </is>
      </c>
      <c r="N134" s="6" t="inlineStr">
        <is>
          <t>Lead + fresh reviewer</t>
        </is>
      </c>
      <c r="O134" s="6" t="inlineStr">
        <is>
          <t>Lead computes or writes it (no model runs)</t>
        </is>
      </c>
      <c r="P134" s="6" t="inlineStr">
        <is>
          <t>No</t>
        </is>
      </c>
      <c r="Q134" s="6" t="inlineStr">
        <is>
          <t>Scientific unknown</t>
        </is>
      </c>
      <c r="R134" s="6" t="inlineStr">
        <is>
          <t>Sub-item</t>
        </is>
      </c>
      <c r="S134" s="6" t="inlineStr">
        <is>
          <t>C-R03</t>
        </is>
      </c>
      <c r="T134" s="6" t="inlineStr">
        <is>
          <t>SRC-06 C20: the v3 greedy-core simulation and limits were not computationally re-run.</t>
        </is>
      </c>
      <c r="U134" s="6" t="inlineStr">
        <is>
          <t>Not rerun in the repo.</t>
        </is>
      </c>
      <c r="V134" s="6" t="inlineStr">
        <is>
          <t>Simulation rerun and results compared.</t>
        </is>
      </c>
      <c r="W134" s="6" t="inlineStr"/>
      <c r="X134" s="6" t="inlineStr"/>
      <c r="Y134" s="6" t="inlineStr"/>
      <c r="Z134" s="6" t="inlineStr"/>
      <c r="AA134" s="6" t="inlineStr"/>
      <c r="AB134" s="6" t="inlineStr">
        <is>
          <t>RECORD+DATA</t>
        </is>
      </c>
      <c r="AC134" s="6" t="inlineStr">
        <is>
          <t>n/a (sub-item)</t>
        </is>
      </c>
      <c r="AD134" s="6" t="inlineStr">
        <is>
          <t>NEW (SRC-11 sub-row)</t>
        </is>
      </c>
      <c r="AE134" s="6" t="inlineStr">
        <is>
          <t>2026-10-19</t>
        </is>
      </c>
      <c r="AF134" s="6" t="inlineStr">
        <is>
          <t>v4-03 section 3 ('not re-derived')</t>
        </is>
      </c>
      <c r="AG134" s="6" t="inlineStr"/>
      <c r="AH134" s="6" t="inlineStr">
        <is>
          <t>No</t>
        </is>
      </c>
      <c r="AI134" s="6" t="inlineStr"/>
      <c r="AJ134" s="6" t="inlineStr">
        <is>
          <t>SRC-11 section D4</t>
        </is>
      </c>
      <c r="AK134" s="6" t="inlineStr">
        <is>
          <t>SRC-06 C20</t>
        </is>
      </c>
      <c r="AL134" s="6" t="inlineStr">
        <is>
          <t>S15</t>
        </is>
      </c>
    </row>
    <row r="135" ht="28" customHeight="1">
      <c r="A135" s="5" t="inlineStr">
        <is>
          <t>C-R03/C21</t>
        </is>
      </c>
      <c r="B135" s="6" t="inlineStr">
        <is>
          <t>Only one challenger</t>
        </is>
      </c>
      <c r="C135" s="6" t="inlineStr">
        <is>
          <t>OPEN</t>
        </is>
      </c>
      <c r="D135" s="6">
        <f>IFERROR(INDEX(Lists!$B$2:$B$14,MATCH(C135,Lists!$A$2:$A$14,0)),"?")</f>
        <v/>
      </c>
      <c r="E135" s="6">
        <f>IF(COUNTIFS(Links!$B$2:$B$600,A135,Links!$E$2:$E$600,"Yes")&gt;0,"REVISE","")</f>
        <v/>
      </c>
      <c r="F135" s="6">
        <f>COUNTIFS(Links!$B$2:$B$600,A135,Links!$D$2:$D$600,"No",Links!$C$2:$C$600,"&lt;&gt;INFORMS")</f>
        <v/>
      </c>
      <c r="G135" s="12" t="inlineStr">
        <is>
          <t>ACCEPT-LIMITATION</t>
        </is>
      </c>
      <c r="H135" s="6" t="inlineStr">
        <is>
          <t>K17 Record repair &amp; procedure error</t>
        </is>
      </c>
      <c r="I135" s="6" t="inlineStr">
        <is>
          <t>G4 Before claims</t>
        </is>
      </c>
      <c r="J135" s="6" t="inlineStr">
        <is>
          <t>Normal</t>
        </is>
      </c>
      <c r="K135" s="6" t="n">
        <v>138</v>
      </c>
      <c r="L135" s="6" t="inlineStr">
        <is>
          <t>W2 Desk work (no model runs)</t>
        </is>
      </c>
      <c r="M135" s="6" t="inlineStr">
        <is>
          <t>S15</t>
        </is>
      </c>
      <c r="N135" s="6" t="inlineStr">
        <is>
          <t>Lead + fresh reviewer</t>
        </is>
      </c>
      <c r="O135" s="6" t="inlineStr">
        <is>
          <t>You accept or reject the limit (Q-U20)</t>
        </is>
      </c>
      <c r="P135" s="6" t="inlineStr">
        <is>
          <t>Partly</t>
        </is>
      </c>
      <c r="Q135" s="6" t="inlineStr">
        <is>
          <t>Limitation</t>
        </is>
      </c>
      <c r="R135" s="6" t="inlineStr">
        <is>
          <t>Sub-item</t>
        </is>
      </c>
      <c r="S135" s="6" t="inlineStr">
        <is>
          <t>C-R03</t>
        </is>
      </c>
      <c r="T135" s="6" t="inlineStr">
        <is>
          <t>SRC-06 C21: only one challenger reviewed v3.</t>
        </is>
      </c>
      <c r="U135" s="6" t="inlineStr">
        <is>
          <t>Same model family on every review.</t>
        </is>
      </c>
      <c r="V135" s="6" t="inlineStr">
        <is>
          <t>Limitation stated, or a different-provider review.</t>
        </is>
      </c>
      <c r="W135" s="6" t="inlineStr"/>
      <c r="X135" s="6" t="inlineStr"/>
      <c r="Y135" s="6" t="inlineStr">
        <is>
          <t>Q-U20</t>
        </is>
      </c>
      <c r="Z135" s="6" t="inlineStr"/>
      <c r="AA135" s="6" t="inlineStr"/>
      <c r="AB135" s="6" t="inlineStr">
        <is>
          <t>RECORD+DATA</t>
        </is>
      </c>
      <c r="AC135" s="6" t="inlineStr">
        <is>
          <t>n/a (sub-item)</t>
        </is>
      </c>
      <c r="AD135" s="6" t="inlineStr">
        <is>
          <t>NEW (SRC-11 sub-row)</t>
        </is>
      </c>
      <c r="AE135" s="6" t="inlineStr">
        <is>
          <t>2026-10-19</t>
        </is>
      </c>
      <c r="AF135" s="6" t="inlineStr">
        <is>
          <t>v3-04 header; SAFEGUARDS row 12 (all Sonnet)</t>
        </is>
      </c>
      <c r="AG135" s="6" t="inlineStr"/>
      <c r="AH135" s="6" t="inlineStr">
        <is>
          <t>No</t>
        </is>
      </c>
      <c r="AI135" s="6" t="inlineStr"/>
      <c r="AJ135" s="6" t="inlineStr">
        <is>
          <t>SRC-11 section D4</t>
        </is>
      </c>
      <c r="AK135" s="6" t="inlineStr">
        <is>
          <t>SRC-06 C21</t>
        </is>
      </c>
      <c r="AL135" s="6" t="inlineStr">
        <is>
          <t>S15</t>
        </is>
      </c>
    </row>
    <row r="136" ht="28" customHeight="1">
      <c r="A136" s="5" t="inlineStr">
        <is>
          <t>C-R03/C22</t>
        </is>
      </c>
      <c r="B136" s="6" t="inlineStr">
        <is>
          <t>Uniform concessions rely on an incomplete steward</t>
        </is>
      </c>
      <c r="C136" s="6" t="inlineStr">
        <is>
          <t>OPEN</t>
        </is>
      </c>
      <c r="D136" s="6">
        <f>IFERROR(INDEX(Lists!$B$2:$B$14,MATCH(C136,Lists!$A$2:$A$14,0)),"?")</f>
        <v/>
      </c>
      <c r="E136" s="6">
        <f>IF(COUNTIFS(Links!$B$2:$B$600,A136,Links!$E$2:$E$600,"Yes")&gt;0,"REVISE","")</f>
        <v/>
      </c>
      <c r="F136" s="6">
        <f>COUNTIFS(Links!$B$2:$B$600,A136,Links!$D$2:$D$600,"No",Links!$C$2:$C$600,"&lt;&gt;INFORMS")</f>
        <v/>
      </c>
      <c r="G136" s="8" t="inlineStr">
        <is>
          <t>RECORDS-AT-HAND</t>
        </is>
      </c>
      <c r="H136" s="6" t="inlineStr">
        <is>
          <t>K17 Record repair &amp; procedure error</t>
        </is>
      </c>
      <c r="I136" s="6" t="inlineStr">
        <is>
          <t>G4 Before claims</t>
        </is>
      </c>
      <c r="J136" s="6" t="inlineStr">
        <is>
          <t>Normal</t>
        </is>
      </c>
      <c r="K136" s="6" t="n">
        <v>139</v>
      </c>
      <c r="L136" s="6" t="inlineStr">
        <is>
          <t>W2 Desk work (no model runs)</t>
        </is>
      </c>
      <c r="M136" s="6" t="inlineStr">
        <is>
          <t>S15</t>
        </is>
      </c>
      <c r="N136" s="6" t="inlineStr">
        <is>
          <t>Lead + fresh reviewer</t>
        </is>
      </c>
      <c r="O136" s="6" t="inlineStr">
        <is>
          <t>Lead drafts the fix; you approve</t>
        </is>
      </c>
      <c r="P136" s="6" t="inlineStr">
        <is>
          <t>Partly</t>
        </is>
      </c>
      <c r="Q136" s="6" t="inlineStr">
        <is>
          <t>Record fix</t>
        </is>
      </c>
      <c r="R136" s="6" t="inlineStr">
        <is>
          <t>Sub-item</t>
        </is>
      </c>
      <c r="S136" s="6" t="inlineStr">
        <is>
          <t>C-R03</t>
        </is>
      </c>
      <c r="T136" s="6" t="inlineStr">
        <is>
          <t>SRC-06 C22: uniform concessions in the AUTH-004 thread relied on an incomplete steward.</t>
        </is>
      </c>
      <c r="U136" s="6" t="inlineStr">
        <is>
          <t>Recorded caveat; no re-verification.</t>
        </is>
      </c>
      <c r="V136" s="6" t="inlineStr">
        <is>
          <t>Concessions re-checked against sources.</t>
        </is>
      </c>
      <c r="W136" s="6" t="inlineStr"/>
      <c r="X136" s="6" t="inlineStr"/>
      <c r="Y136" s="6" t="inlineStr"/>
      <c r="Z136" s="6" t="inlineStr"/>
      <c r="AA136" s="6" t="inlineStr"/>
      <c r="AB136" s="6" t="inlineStr">
        <is>
          <t>RECORD+DATA</t>
        </is>
      </c>
      <c r="AC136" s="6" t="inlineStr">
        <is>
          <t>n/a (sub-item)</t>
        </is>
      </c>
      <c r="AD136" s="6" t="inlineStr">
        <is>
          <t>NEW (SRC-11 sub-row)</t>
        </is>
      </c>
      <c r="AE136" s="6" t="inlineStr">
        <is>
          <t>2026-10-19</t>
        </is>
      </c>
      <c r="AF136" s="6" t="inlineStr">
        <is>
          <t>STATE (AUTH-004 caveats: steward incomplete, unverified map SUM-0002, cap 12 reached)</t>
        </is>
      </c>
      <c r="AG136" s="6" t="inlineStr"/>
      <c r="AH136" s="6" t="inlineStr">
        <is>
          <t>No</t>
        </is>
      </c>
      <c r="AI136" s="6" t="inlineStr"/>
      <c r="AJ136" s="6" t="inlineStr">
        <is>
          <t>SRC-11 section D4</t>
        </is>
      </c>
      <c r="AK136" s="6" t="inlineStr">
        <is>
          <t>SRC-06 C22</t>
        </is>
      </c>
      <c r="AL136" s="6" t="inlineStr">
        <is>
          <t>S15</t>
        </is>
      </c>
    </row>
    <row r="137" ht="28" customHeight="1">
      <c r="A137" s="5" t="inlineStr">
        <is>
          <t>C-R03/C23</t>
        </is>
      </c>
      <c r="B137" s="6" t="inlineStr">
        <is>
          <t>RV-0002 draft residues</t>
        </is>
      </c>
      <c r="C137" s="6" t="inlineStr">
        <is>
          <t>OPEN</t>
        </is>
      </c>
      <c r="D137" s="6">
        <f>IFERROR(INDEX(Lists!$B$2:$B$14,MATCH(C137,Lists!$A$2:$A$14,0)),"?")</f>
        <v/>
      </c>
      <c r="E137" s="6">
        <f>IF(COUNTIFS(Links!$B$2:$B$600,A137,Links!$E$2:$E$600,"Yes")&gt;0,"REVISE","")</f>
        <v/>
      </c>
      <c r="F137" s="6">
        <f>COUNTIFS(Links!$B$2:$B$600,A137,Links!$D$2:$D$600,"No",Links!$C$2:$C$600,"&lt;&gt;INFORMS")</f>
        <v/>
      </c>
      <c r="G137" s="8" t="inlineStr">
        <is>
          <t>RECORDS-AT-HAND</t>
        </is>
      </c>
      <c r="H137" s="6" t="inlineStr">
        <is>
          <t>K17 Record repair &amp; procedure error</t>
        </is>
      </c>
      <c r="I137" s="6" t="inlineStr">
        <is>
          <t>G4 Before claims</t>
        </is>
      </c>
      <c r="J137" s="6" t="inlineStr">
        <is>
          <t>Normal</t>
        </is>
      </c>
      <c r="K137" s="6" t="n">
        <v>140</v>
      </c>
      <c r="L137" s="6" t="inlineStr">
        <is>
          <t>W2 Desk work (no model runs)</t>
        </is>
      </c>
      <c r="M137" s="6" t="inlineStr">
        <is>
          <t>S15</t>
        </is>
      </c>
      <c r="N137" s="6" t="inlineStr">
        <is>
          <t>Lead + fresh reviewer</t>
        </is>
      </c>
      <c r="O137" s="6" t="inlineStr">
        <is>
          <t>Lead drafts the fix; you approve</t>
        </is>
      </c>
      <c r="P137" s="6" t="inlineStr">
        <is>
          <t>Partly</t>
        </is>
      </c>
      <c r="Q137" s="6" t="inlineStr">
        <is>
          <t>Record fix</t>
        </is>
      </c>
      <c r="R137" s="6" t="inlineStr">
        <is>
          <t>Sub-item</t>
        </is>
      </c>
      <c r="S137" s="6" t="inlineStr">
        <is>
          <t>C-R03</t>
        </is>
      </c>
      <c r="T137" s="6" t="inlineStr">
        <is>
          <t>SRC-06 C23: RV-0002 is a draft with residues.</t>
        </is>
      </c>
      <c r="U137" s="6" t="inlineStr">
        <is>
          <t>Draft status recorded.</t>
        </is>
      </c>
      <c r="V137" s="6" t="inlineStr">
        <is>
          <t>RV-0002 finalised or marked superseded.</t>
        </is>
      </c>
      <c r="W137" s="6" t="inlineStr"/>
      <c r="X137" s="6" t="inlineStr"/>
      <c r="Y137" s="6" t="inlineStr"/>
      <c r="Z137" s="6" t="inlineStr"/>
      <c r="AA137" s="6" t="inlineStr"/>
      <c r="AB137" s="6" t="inlineStr">
        <is>
          <t>RECORD+DATA</t>
        </is>
      </c>
      <c r="AC137" s="6" t="inlineStr">
        <is>
          <t>n/a (sub-item)</t>
        </is>
      </c>
      <c r="AD137" s="6" t="inlineStr">
        <is>
          <t>NEW (SRC-11 sub-row)</t>
        </is>
      </c>
      <c r="AE137" s="6" t="inlineStr">
        <is>
          <t>2026-10-19</t>
        </is>
      </c>
      <c r="AF137" s="6" t="inlineStr">
        <is>
          <t>STATE (RV-0002 draft)</t>
        </is>
      </c>
      <c r="AG137" s="6" t="inlineStr"/>
      <c r="AH137" s="6" t="inlineStr">
        <is>
          <t>No</t>
        </is>
      </c>
      <c r="AI137" s="6" t="inlineStr"/>
      <c r="AJ137" s="6" t="inlineStr">
        <is>
          <t>SRC-11 section D4</t>
        </is>
      </c>
      <c r="AK137" s="6" t="inlineStr">
        <is>
          <t>SRC-06 C23</t>
        </is>
      </c>
      <c r="AL137" s="6" t="inlineStr">
        <is>
          <t>S15</t>
        </is>
      </c>
    </row>
    <row r="138" ht="28" customHeight="1">
      <c r="A138" s="5" t="inlineStr">
        <is>
          <t>C-R03/C24</t>
        </is>
      </c>
      <c r="B138" s="6" t="inlineStr">
        <is>
          <t>Propagation defects (agreed fixes not carried into operative text)</t>
        </is>
      </c>
      <c r="C138" s="6" t="inlineStr">
        <is>
          <t>PARTLY ANSWERED</t>
        </is>
      </c>
      <c r="D138" s="6">
        <f>IFERROR(INDEX(Lists!$B$2:$B$14,MATCH(C138,Lists!$A$2:$A$14,0)),"?")</f>
        <v/>
      </c>
      <c r="E138" s="6">
        <f>IF(COUNTIFS(Links!$B$2:$B$600,A138,Links!$E$2:$E$600,"Yes")&gt;0,"REVISE","")</f>
        <v/>
      </c>
      <c r="F138" s="6">
        <f>COUNTIFS(Links!$B$2:$B$600,A138,Links!$D$2:$D$600,"No",Links!$C$2:$C$600,"&lt;&gt;INFORMS")</f>
        <v/>
      </c>
      <c r="G138" s="8" t="inlineStr">
        <is>
          <t>RECORDS-AT-HAND</t>
        </is>
      </c>
      <c r="H138" s="6" t="inlineStr">
        <is>
          <t>K17 Record repair &amp; procedure error</t>
        </is>
      </c>
      <c r="I138" s="6" t="inlineStr">
        <is>
          <t>G4 Before claims</t>
        </is>
      </c>
      <c r="J138" s="6" t="inlineStr">
        <is>
          <t>Normal</t>
        </is>
      </c>
      <c r="K138" s="6" t="n">
        <v>141</v>
      </c>
      <c r="L138" s="6" t="inlineStr">
        <is>
          <t>W2 Desk work (no model runs)</t>
        </is>
      </c>
      <c r="M138" s="6" t="inlineStr">
        <is>
          <t>S15</t>
        </is>
      </c>
      <c r="N138" s="6" t="inlineStr">
        <is>
          <t>Lead + fresh reviewer</t>
        </is>
      </c>
      <c r="O138" s="6" t="inlineStr">
        <is>
          <t>Lead drafts the fix; you approve</t>
        </is>
      </c>
      <c r="P138" s="6" t="inlineStr">
        <is>
          <t>Partly</t>
        </is>
      </c>
      <c r="Q138" s="6" t="inlineStr">
        <is>
          <t>Record fix</t>
        </is>
      </c>
      <c r="R138" s="6" t="inlineStr">
        <is>
          <t>Sub-item</t>
        </is>
      </c>
      <c r="S138" s="6" t="inlineStr">
        <is>
          <t>C-R03</t>
        </is>
      </c>
      <c r="T138" s="6" t="inlineStr">
        <is>
          <t>SRC-06 C24: agreed fixes were not carried into the operative text of several records.</t>
        </is>
      </c>
      <c r="U138" s="6" t="inlineStr">
        <is>
          <t>Found and fixed once by grep; a general check is not in place.</t>
        </is>
      </c>
      <c r="V138" s="6" t="inlineStr">
        <is>
          <t>Operative wording verified per record.</t>
        </is>
      </c>
      <c r="W138" s="6" t="inlineStr"/>
      <c r="X138" s="6" t="inlineStr"/>
      <c r="Y138" s="6" t="inlineStr"/>
      <c r="Z138" s="6" t="inlineStr"/>
      <c r="AA138" s="6" t="inlineStr"/>
      <c r="AB138" s="6" t="inlineStr">
        <is>
          <t>RECORD+DATA</t>
        </is>
      </c>
      <c r="AC138" s="6" t="inlineStr">
        <is>
          <t>n/a (sub-item)</t>
        </is>
      </c>
      <c r="AD138" s="6" t="inlineStr">
        <is>
          <t>NEW (SRC-11 sub-row)</t>
        </is>
      </c>
      <c r="AE138" s="6" t="inlineStr">
        <is>
          <t>2026-10-19</t>
        </is>
      </c>
      <c r="AF138" s="6" t="inlineStr">
        <is>
          <t>v2-06 section E (five propagation defects found; checked by grep)</t>
        </is>
      </c>
      <c r="AG138" s="6" t="inlineStr"/>
      <c r="AH138" s="6" t="inlineStr">
        <is>
          <t>No</t>
        </is>
      </c>
      <c r="AI138" s="6" t="inlineStr"/>
      <c r="AJ138" s="6" t="inlineStr">
        <is>
          <t>SRC-11 section D4</t>
        </is>
      </c>
      <c r="AK138" s="6" t="inlineStr">
        <is>
          <t>SRC-06 C24</t>
        </is>
      </c>
      <c r="AL138" s="6" t="inlineStr">
        <is>
          <t>S15</t>
        </is>
      </c>
    </row>
    <row r="139" ht="28" customHeight="1">
      <c r="A139" s="5" t="inlineStr">
        <is>
          <t>C-R03/C25</t>
        </is>
      </c>
      <c r="B139" s="6" t="inlineStr">
        <is>
          <t>Unverified SUM/FND summaries</t>
        </is>
      </c>
      <c r="C139" s="6" t="inlineStr">
        <is>
          <t>OPEN</t>
        </is>
      </c>
      <c r="D139" s="6">
        <f>IFERROR(INDEX(Lists!$B$2:$B$14,MATCH(C139,Lists!$A$2:$A$14,0)),"?")</f>
        <v/>
      </c>
      <c r="E139" s="6">
        <f>IF(COUNTIFS(Links!$B$2:$B$600,A139,Links!$E$2:$E$600,"Yes")&gt;0,"REVISE","")</f>
        <v/>
      </c>
      <c r="F139" s="6">
        <f>COUNTIFS(Links!$B$2:$B$600,A139,Links!$D$2:$D$600,"No",Links!$C$2:$C$600,"&lt;&gt;INFORMS")</f>
        <v/>
      </c>
      <c r="G139" s="8" t="inlineStr">
        <is>
          <t>RECORDS-AT-HAND</t>
        </is>
      </c>
      <c r="H139" s="6" t="inlineStr">
        <is>
          <t>K17 Record repair &amp; procedure error</t>
        </is>
      </c>
      <c r="I139" s="6" t="inlineStr">
        <is>
          <t>G4 Before claims</t>
        </is>
      </c>
      <c r="J139" s="6" t="inlineStr">
        <is>
          <t>Normal</t>
        </is>
      </c>
      <c r="K139" s="6" t="n">
        <v>142</v>
      </c>
      <c r="L139" s="6" t="inlineStr">
        <is>
          <t>W2 Desk work (no model runs)</t>
        </is>
      </c>
      <c r="M139" s="6" t="inlineStr">
        <is>
          <t>S15</t>
        </is>
      </c>
      <c r="N139" s="6" t="inlineStr">
        <is>
          <t>Lead + fresh reviewer</t>
        </is>
      </c>
      <c r="O139" s="6" t="inlineStr">
        <is>
          <t>Lead drafts the fix; you approve</t>
        </is>
      </c>
      <c r="P139" s="6" t="inlineStr">
        <is>
          <t>Partly</t>
        </is>
      </c>
      <c r="Q139" s="6" t="inlineStr">
        <is>
          <t>Record fix</t>
        </is>
      </c>
      <c r="R139" s="6" t="inlineStr">
        <is>
          <t>Sub-item</t>
        </is>
      </c>
      <c r="S139" s="6" t="inlineStr">
        <is>
          <t>C-R03</t>
        </is>
      </c>
      <c r="T139" s="6" t="inlineStr">
        <is>
          <t>SRC-06 C25: SUM/FND summaries are unverified (front matter says unverified-until-human-checks).</t>
        </is>
      </c>
      <c r="U139" s="6" t="inlineStr">
        <is>
          <t>All steward summaries carry 'unverified'.</t>
        </is>
      </c>
      <c r="V139" s="6" t="inlineStr">
        <is>
          <t>A human or independent check per summary.</t>
        </is>
      </c>
      <c r="W139" s="6" t="inlineStr"/>
      <c r="X139" s="6" t="inlineStr"/>
      <c r="Y139" s="6" t="inlineStr"/>
      <c r="Z139" s="6" t="inlineStr"/>
      <c r="AA139" s="6" t="inlineStr"/>
      <c r="AB139" s="6" t="inlineStr">
        <is>
          <t>RECORD+DATA</t>
        </is>
      </c>
      <c r="AC139" s="6" t="inlineStr">
        <is>
          <t>n/a (sub-item)</t>
        </is>
      </c>
      <c r="AD139" s="6" t="inlineStr">
        <is>
          <t>NEW (SRC-11 sub-row)</t>
        </is>
      </c>
      <c r="AE139" s="6" t="inlineStr">
        <is>
          <t>2026-10-19</t>
        </is>
      </c>
      <c r="AF139" s="6" t="inlineStr">
        <is>
          <t>findings/SUM-0003..0009 front matter</t>
        </is>
      </c>
      <c r="AG139" s="6" t="inlineStr"/>
      <c r="AH139" s="6" t="inlineStr">
        <is>
          <t>No</t>
        </is>
      </c>
      <c r="AI139" s="6" t="inlineStr"/>
      <c r="AJ139" s="6" t="inlineStr">
        <is>
          <t>SRC-11 section D4</t>
        </is>
      </c>
      <c r="AK139" s="6" t="inlineStr">
        <is>
          <t>SRC-06 C25</t>
        </is>
      </c>
      <c r="AL139" s="6" t="inlineStr">
        <is>
          <t>S15</t>
        </is>
      </c>
    </row>
    <row r="140" ht="40.5" customHeight="1">
      <c r="A140" s="5" t="inlineStr">
        <is>
          <t>C-R03/C26</t>
        </is>
      </c>
      <c r="B140" s="6" t="inlineStr">
        <is>
          <t>Cost algebra fit / unreviewed numerical slip</t>
        </is>
      </c>
      <c r="C140" s="6" t="inlineStr">
        <is>
          <t>PARTLY ANSWERED</t>
        </is>
      </c>
      <c r="D140" s="6">
        <f>IFERROR(INDEX(Lists!$B$2:$B$14,MATCH(C140,Lists!$A$2:$A$14,0)),"?")</f>
        <v/>
      </c>
      <c r="E140" s="6">
        <f>IF(COUNTIFS(Links!$B$2:$B$600,A140,Links!$E$2:$E$600,"Yes")&gt;0,"REVISE","")</f>
        <v/>
      </c>
      <c r="F140" s="6">
        <f>COUNTIFS(Links!$B$2:$B$600,A140,Links!$D$2:$D$600,"No",Links!$C$2:$C$600,"&lt;&gt;INFORMS")</f>
        <v/>
      </c>
      <c r="G140" s="13" t="inlineStr">
        <is>
          <t>DESK-ANALYSIS</t>
        </is>
      </c>
      <c r="H140" s="6" t="inlineStr">
        <is>
          <t>K17 Record repair &amp; procedure error</t>
        </is>
      </c>
      <c r="I140" s="6" t="inlineStr">
        <is>
          <t>G4 Before claims</t>
        </is>
      </c>
      <c r="J140" s="6" t="inlineStr">
        <is>
          <t>Normal</t>
        </is>
      </c>
      <c r="K140" s="6" t="n">
        <v>143</v>
      </c>
      <c r="L140" s="6" t="inlineStr">
        <is>
          <t>W2 Desk work (no model runs)</t>
        </is>
      </c>
      <c r="M140" s="6" t="inlineStr">
        <is>
          <t>S15</t>
        </is>
      </c>
      <c r="N140" s="6" t="inlineStr">
        <is>
          <t>Lead + fresh reviewer</t>
        </is>
      </c>
      <c r="O140" s="6" t="inlineStr">
        <is>
          <t>Lead computes or writes it (no model runs)</t>
        </is>
      </c>
      <c r="P140" s="6" t="inlineStr">
        <is>
          <t>Partly</t>
        </is>
      </c>
      <c r="Q140" s="6" t="inlineStr">
        <is>
          <t>Scientific unknown</t>
        </is>
      </c>
      <c r="R140" s="6" t="inlineStr">
        <is>
          <t>Sub-item</t>
        </is>
      </c>
      <c r="S140" s="6" t="inlineStr">
        <is>
          <t>C-R03</t>
        </is>
      </c>
      <c r="T140" s="6" t="inlineStr">
        <is>
          <t>SRC-06 C26: cost-algebra fit and one unreviewed numerical slip (141 vs about 115 turns in v2).</t>
        </is>
      </c>
      <c r="U140" s="6" t="inlineStr">
        <is>
          <t>The v4-04 cost-ratio table was recomputed and matches; the earlier 141-vs-115 slip is not shown corrected.</t>
        </is>
      </c>
      <c r="V140" s="6" t="inlineStr">
        <is>
          <t>Closed-form algebra rechecked by a second reader.</t>
        </is>
      </c>
      <c r="W140" s="6" t="inlineStr"/>
      <c r="X140" s="6" t="inlineStr"/>
      <c r="Y140" s="6" t="inlineStr"/>
      <c r="Z140" s="6" t="inlineStr"/>
      <c r="AA140" s="6" t="inlineStr"/>
      <c r="AB140" s="6" t="inlineStr">
        <is>
          <t>RECORD+DATA</t>
        </is>
      </c>
      <c r="AC140" s="6" t="inlineStr">
        <is>
          <t>n/a (sub-item)</t>
        </is>
      </c>
      <c r="AD140" s="6" t="inlineStr">
        <is>
          <t>NEW (SRC-11 sub-row)</t>
        </is>
      </c>
      <c r="AE140" s="6" t="inlineStr">
        <is>
          <t>2026-10-19</t>
        </is>
      </c>
      <c r="AF140" s="6" t="inlineStr">
        <is>
          <t>v2-05 section 4; v4-04 section 3 (table recomputed in the review)</t>
        </is>
      </c>
      <c r="AG140" s="6" t="inlineStr"/>
      <c r="AH140" s="6" t="inlineStr">
        <is>
          <t>No</t>
        </is>
      </c>
      <c r="AI140" s="6" t="inlineStr"/>
      <c r="AJ140" s="6" t="inlineStr">
        <is>
          <t>SRC-11 section D4</t>
        </is>
      </c>
      <c r="AK140" s="6" t="inlineStr">
        <is>
          <t>SRC-06 C26</t>
        </is>
      </c>
      <c r="AL140" s="6" t="inlineStr">
        <is>
          <t>S15</t>
        </is>
      </c>
    </row>
    <row r="141" ht="40.5" customHeight="1">
      <c r="A141" s="5" t="inlineStr">
        <is>
          <t>C-R03/C27</t>
        </is>
      </c>
      <c r="B141" s="6" t="inlineStr">
        <is>
          <t>Four partly supported pivotal passages (V2, V3, V6, V8)</t>
        </is>
      </c>
      <c r="C141" s="6" t="inlineStr">
        <is>
          <t>OPEN</t>
        </is>
      </c>
      <c r="D141" s="6">
        <f>IFERROR(INDEX(Lists!$B$2:$B$14,MATCH(C141,Lists!$A$2:$A$14,0)),"?")</f>
        <v/>
      </c>
      <c r="E141" s="6">
        <f>IF(COUNTIFS(Links!$B$2:$B$600,A141,Links!$E$2:$E$600,"Yes")&gt;0,"REVISE","")</f>
        <v/>
      </c>
      <c r="F141" s="6">
        <f>COUNTIFS(Links!$B$2:$B$600,A141,Links!$D$2:$D$600,"No",Links!$C$2:$C$600,"&lt;&gt;INFORMS")</f>
        <v/>
      </c>
      <c r="G141" s="14" t="inlineStr">
        <is>
          <t>SOURCE-REREAD</t>
        </is>
      </c>
      <c r="H141" s="6" t="inlineStr">
        <is>
          <t>K17 Record repair &amp; procedure error</t>
        </is>
      </c>
      <c r="I141" s="6" t="inlineStr">
        <is>
          <t>G4 Before claims</t>
        </is>
      </c>
      <c r="J141" s="6" t="inlineStr">
        <is>
          <t>Normal</t>
        </is>
      </c>
      <c r="K141" s="6" t="n">
        <v>144</v>
      </c>
      <c r="L141" s="6" t="inlineStr">
        <is>
          <t>W2 Desk work (no model runs)</t>
        </is>
      </c>
      <c r="M141" s="6" t="inlineStr">
        <is>
          <t>S15</t>
        </is>
      </c>
      <c r="N141" s="6" t="inlineStr">
        <is>
          <t>Lead + fresh reviewer</t>
        </is>
      </c>
      <c r="O141" s="6" t="inlineStr">
        <is>
          <t>Read the decisive passage; fetch only if not stored</t>
        </is>
      </c>
      <c r="P141" s="6" t="inlineStr">
        <is>
          <t>Partly</t>
        </is>
      </c>
      <c r="Q141" s="6" t="inlineStr">
        <is>
          <t>Source check</t>
        </is>
      </c>
      <c r="R141" s="6" t="inlineStr">
        <is>
          <t>Sub-item</t>
        </is>
      </c>
      <c r="S141" s="6" t="inlineStr">
        <is>
          <t>C-R03</t>
        </is>
      </c>
      <c r="T141" s="6" t="inlineStr">
        <is>
          <t>SRC-06 C27: four of the eight pivotal passages checked in v2 were only partly supported (V2 and V3 with a CANNOT DETERMINE component).</t>
        </is>
      </c>
      <c r="U141" s="6" t="inlineStr">
        <is>
          <t>No pivotal claim found false; components undetermined (whether deferred definitions count toward billed tokens).</t>
        </is>
      </c>
      <c r="V141" s="6" t="inlineStr">
        <is>
          <t>Each undetermined component resolved or labelled.</t>
        </is>
      </c>
      <c r="W141" s="6" t="inlineStr"/>
      <c r="X141" s="6" t="inlineStr"/>
      <c r="Y141" s="6" t="inlineStr"/>
      <c r="Z141" s="6" t="inlineStr"/>
      <c r="AA141" s="6" t="inlineStr"/>
      <c r="AB141" s="6" t="inlineStr">
        <is>
          <t>RECORD+DATA</t>
        </is>
      </c>
      <c r="AC141" s="6" t="inlineStr">
        <is>
          <t>n/a (sub-item)</t>
        </is>
      </c>
      <c r="AD141" s="6" t="inlineStr">
        <is>
          <t>NEW (SRC-11 sub-row)</t>
        </is>
      </c>
      <c r="AE141" s="6" t="inlineStr">
        <is>
          <t>2026-10-19</t>
        </is>
      </c>
      <c r="AF141" s="6" t="inlineStr">
        <is>
          <t>v2-05 section 4; SUM-0003</t>
        </is>
      </c>
      <c r="AG141" s="6" t="inlineStr"/>
      <c r="AH141" s="6" t="inlineStr">
        <is>
          <t>No</t>
        </is>
      </c>
      <c r="AI141" s="6" t="inlineStr"/>
      <c r="AJ141" s="6" t="inlineStr">
        <is>
          <t>SRC-11 section D4</t>
        </is>
      </c>
      <c r="AK141" s="6" t="inlineStr">
        <is>
          <t>SRC-06 C27</t>
        </is>
      </c>
      <c r="AL141" s="6" t="inlineStr">
        <is>
          <t>S15</t>
        </is>
      </c>
    </row>
    <row r="142" ht="278" customHeight="1">
      <c r="A142" s="5" t="inlineStr">
        <is>
          <t>C-R03/CMTF</t>
        </is>
      </c>
      <c r="B142" s="6" t="inlineStr">
        <is>
          <t>How CMTF obtains its causal path is unverified</t>
        </is>
      </c>
      <c r="C142" s="6" t="inlineStr">
        <is>
          <t>PARTLY ANSWERED</t>
        </is>
      </c>
      <c r="D142" s="6">
        <f>IFERROR(INDEX(Lists!$B$2:$B$14,MATCH(C142,Lists!$A$2:$A$14,0)),"?")</f>
        <v/>
      </c>
      <c r="E142" s="6">
        <f>IF(COUNTIFS(Links!$B$2:$B$600,A142,Links!$E$2:$E$600,"Yes")&gt;0,"REVISE","")</f>
        <v/>
      </c>
      <c r="F142" s="6">
        <f>COUNTIFS(Links!$B$2:$B$600,A142,Links!$D$2:$D$600,"No",Links!$C$2:$C$600,"&lt;&gt;INFORMS")</f>
        <v/>
      </c>
      <c r="G142" s="14" t="inlineStr">
        <is>
          <t>SOURCE-REREAD</t>
        </is>
      </c>
      <c r="H142" s="6" t="inlineStr">
        <is>
          <t>K17 Record repair &amp; procedure error</t>
        </is>
      </c>
      <c r="I142" s="6" t="inlineStr">
        <is>
          <t>G4 Before claims</t>
        </is>
      </c>
      <c r="J142" s="6" t="inlineStr">
        <is>
          <t>Normal</t>
        </is>
      </c>
      <c r="K142" s="6" t="n">
        <v>145</v>
      </c>
      <c r="L142" s="6" t="inlineStr">
        <is>
          <t>W2 Desk work (no model runs)</t>
        </is>
      </c>
      <c r="M142" s="6" t="inlineStr">
        <is>
          <t>S15</t>
        </is>
      </c>
      <c r="N142" s="6" t="inlineStr">
        <is>
          <t>Lead + fresh reviewer</t>
        </is>
      </c>
      <c r="O142" s="6" t="inlineStr">
        <is>
          <t>Read ToolMenuBench results/setup after line 310 and the GIST-CMTF body if the signal source matters</t>
        </is>
      </c>
      <c r="P142" s="6" t="inlineStr">
        <is>
          <t>Yes - stored text, unread</t>
        </is>
      </c>
      <c r="Q142" s="6" t="inlineStr">
        <is>
          <t>Record fix</t>
        </is>
      </c>
      <c r="R142" s="6" t="inlineStr">
        <is>
          <t>Sub-item</t>
        </is>
      </c>
      <c r="S142" s="6" t="inlineStr">
        <is>
          <t>C-R03</t>
        </is>
      </c>
      <c r="T142" s="6" t="inlineStr">
        <is>
          <t>ToolMenuBench's best method (CMTF, 85.7% at 1,125 tokens) is described as using 'the next causally necessary action'; whether it uses information a deployed policy would not have is not verified.</t>
        </is>
      </c>
      <c r="U142" s="6" t="inlineStr">
        <is>
          <t>ToolMenuBench: 'Each method receives the same task, current symbolic state, goal condition, and tool registry' (EXT-0148 line 128); CMTF 'exposes only the next causally necessary frontier of tools. A tool is visible only when it is executable under the current state and its effects advance the remaining state toward the goal' (EXT-0148 lines 163-165). Gold trajectories define the gold next tool for filter-level evaluation (EXT-0148); learned-contract CMTF is a 'benchmark-supported extension', not a reported experiment; released artifacts include gold trajectories, tool contracts, distractor annotations (EXT-0134). GIST-CMTF states CMTF 'assumes that the user request has already been mapped to a symbolic goal state', which it calls 'often unrealistic' (EXT-0139). Headline: all-tools 32.1% to CMTF 85.7% success, about 98% fewer tokens, synthetic registry and deterministic environment (EXT-0130). Not stated: whether the experiment code feeds gold trajectories, contracts or the goal to CMTF; the frontier algorithm.</t>
        </is>
      </c>
      <c r="V142" s="6" t="inlineStr">
        <is>
          <t>CMTF's signal source read in the stored text.</t>
        </is>
      </c>
      <c r="W142" s="6" t="inlineStr"/>
      <c r="X142" s="6" t="inlineStr"/>
      <c r="Y142" s="6" t="inlineStr"/>
      <c r="Z142" s="6" t="inlineStr"/>
      <c r="AA142" s="6" t="inlineStr"/>
      <c r="AB142" s="6" t="inlineStr">
        <is>
          <t>RECORD+SOURCE</t>
        </is>
      </c>
      <c r="AC142" s="6" t="inlineStr">
        <is>
          <t>n/a (sub-item)</t>
        </is>
      </c>
      <c r="AD142" s="6" t="inlineStr">
        <is>
          <t>NEW (repo sweep)</t>
        </is>
      </c>
      <c r="AE142" s="6" t="inlineStr">
        <is>
          <t>2026-10-19</t>
        </is>
      </c>
      <c r="AF142" s="6" t="inlineStr">
        <is>
          <t>FND-0011 (findings/SUM-0013); EXT-0130, EXT-0134, EXT-0139, EXT-0148</t>
        </is>
      </c>
      <c r="AG142" s="6" t="inlineStr"/>
      <c r="AH142" s="6" t="inlineStr">
        <is>
          <t>No</t>
        </is>
      </c>
      <c r="AI142" s="6" t="inlineStr"/>
      <c r="AJ142" s="6" t="inlineStr">
        <is>
          <t>repo: v4-03 section 6 / RV-0005 / RV-0007</t>
        </is>
      </c>
      <c r="AK142" s="6" t="inlineStr">
        <is>
          <t>RV-0005 R3</t>
        </is>
      </c>
      <c r="AL142" s="6" t="inlineStr">
        <is>
          <t>S15</t>
        </is>
      </c>
    </row>
    <row r="143" ht="40.5" customHeight="1">
      <c r="A143" s="5" t="inlineStr">
        <is>
          <t>C-R03/DIGESTS</t>
        </is>
      </c>
      <c r="B143" s="6" t="inlineStr">
        <is>
          <t>S4F/S4G digest contexts not read by the lead (R8)</t>
        </is>
      </c>
      <c r="C143" s="6" t="inlineStr">
        <is>
          <t>OPEN</t>
        </is>
      </c>
      <c r="D143" s="6">
        <f>IFERROR(INDEX(Lists!$B$2:$B$14,MATCH(C143,Lists!$A$2:$A$14,0)),"?")</f>
        <v/>
      </c>
      <c r="E143" s="6">
        <f>IF(COUNTIFS(Links!$B$2:$B$600,A143,Links!$E$2:$E$600,"Yes")&gt;0,"REVISE","")</f>
        <v/>
      </c>
      <c r="F143" s="6">
        <f>COUNTIFS(Links!$B$2:$B$600,A143,Links!$D$2:$D$600,"No",Links!$C$2:$C$600,"&lt;&gt;INFORMS")</f>
        <v/>
      </c>
      <c r="G143" s="14" t="inlineStr">
        <is>
          <t>SOURCE-REREAD</t>
        </is>
      </c>
      <c r="H143" s="6" t="inlineStr">
        <is>
          <t>K17 Record repair &amp; procedure error</t>
        </is>
      </c>
      <c r="I143" s="6" t="inlineStr">
        <is>
          <t>G4 Before claims</t>
        </is>
      </c>
      <c r="J143" s="6" t="inlineStr">
        <is>
          <t>Normal</t>
        </is>
      </c>
      <c r="K143" s="6" t="n">
        <v>146</v>
      </c>
      <c r="L143" s="6" t="inlineStr">
        <is>
          <t>W2 Desk work (no model runs)</t>
        </is>
      </c>
      <c r="M143" s="6" t="inlineStr">
        <is>
          <t>S15</t>
        </is>
      </c>
      <c r="N143" s="6" t="inlineStr">
        <is>
          <t>Lead + fresh reviewer</t>
        </is>
      </c>
      <c r="O143" s="6" t="inlineStr">
        <is>
          <t>Read the stored text first (tools/origin_extract.py)</t>
        </is>
      </c>
      <c r="P143" s="6" t="inlineStr">
        <is>
          <t>Yes - stored text, unread</t>
        </is>
      </c>
      <c r="Q143" s="6" t="inlineStr">
        <is>
          <t>Record fix</t>
        </is>
      </c>
      <c r="R143" s="6" t="inlineStr">
        <is>
          <t>Sub-item</t>
        </is>
      </c>
      <c r="S143" s="6" t="inlineStr">
        <is>
          <t>C-R03</t>
        </is>
      </c>
      <c r="T143" s="6" t="inlineStr">
        <is>
          <t>'not clean' is attributed to S4G line 23 and S4F line 41 says '(U)'; the lead did not read the digests beyond the quoted lines.</t>
        </is>
      </c>
      <c r="U143" s="6" t="inlineStr">
        <is>
          <t>Recorded as open in its source; not examined further in this review.</t>
        </is>
      </c>
      <c r="V143" s="6" t="inlineStr">
        <is>
          <t>Digest lines read in context.</t>
        </is>
      </c>
      <c r="W143" s="6" t="inlineStr"/>
      <c r="X143" s="6" t="inlineStr"/>
      <c r="Y143" s="6" t="inlineStr"/>
      <c r="Z143" s="6" t="inlineStr"/>
      <c r="AA143" s="6" t="inlineStr"/>
      <c r="AB143" s="6" t="inlineStr">
        <is>
          <t>RECORD+SOURCE</t>
        </is>
      </c>
      <c r="AC143" s="6" t="inlineStr">
        <is>
          <t>n/a (sub-item)</t>
        </is>
      </c>
      <c r="AD143" s="6" t="inlineStr">
        <is>
          <t>NEW (repo sweep)</t>
        </is>
      </c>
      <c r="AE143" s="6" t="inlineStr">
        <is>
          <t>2026-10-19</t>
        </is>
      </c>
      <c r="AF143" s="6" t="inlineStr">
        <is>
          <t>v4-03 section 5 (R8)</t>
        </is>
      </c>
      <c r="AG143" s="6" t="inlineStr"/>
      <c r="AH143" s="6" t="inlineStr">
        <is>
          <t>No</t>
        </is>
      </c>
      <c r="AI143" s="6" t="inlineStr"/>
      <c r="AJ143" s="6" t="inlineStr">
        <is>
          <t>repo: v4-03 section 6 / RV-0005 / RV-0007</t>
        </is>
      </c>
      <c r="AK143" s="6" t="inlineStr">
        <is>
          <t>RV-0005 R8</t>
        </is>
      </c>
      <c r="AL143" s="6" t="inlineStr">
        <is>
          <t>S15</t>
        </is>
      </c>
    </row>
    <row r="144" ht="40.5" customHeight="1">
      <c r="A144" s="5" t="inlineStr">
        <is>
          <t>C-R03/ROUND45</t>
        </is>
      </c>
      <c r="B144" s="6" t="inlineStr">
        <is>
          <t>Literature rounds 4-5 and the corrected text were not challenged</t>
        </is>
      </c>
      <c r="C144" s="6" t="inlineStr">
        <is>
          <t>OPEN</t>
        </is>
      </c>
      <c r="D144" s="6">
        <f>IFERROR(INDEX(Lists!$B$2:$B$14,MATCH(C144,Lists!$A$2:$A$14,0)),"?")</f>
        <v/>
      </c>
      <c r="E144" s="6">
        <f>IF(COUNTIFS(Links!$B$2:$B$600,A144,Links!$E$2:$E$600,"Yes")&gt;0,"REVISE","")</f>
        <v/>
      </c>
      <c r="F144" s="6">
        <f>COUNTIFS(Links!$B$2:$B$600,A144,Links!$D$2:$D$600,"No",Links!$C$2:$C$600,"&lt;&gt;INFORMS")</f>
        <v/>
      </c>
      <c r="G144" s="14" t="inlineStr">
        <is>
          <t>SOURCE-REREAD</t>
        </is>
      </c>
      <c r="H144" s="6" t="inlineStr">
        <is>
          <t>K17 Record repair &amp; procedure error</t>
        </is>
      </c>
      <c r="I144" s="6" t="inlineStr">
        <is>
          <t>G4 Before claims</t>
        </is>
      </c>
      <c r="J144" s="6" t="inlineStr">
        <is>
          <t>Normal</t>
        </is>
      </c>
      <c r="K144" s="6" t="n">
        <v>147</v>
      </c>
      <c r="L144" s="6" t="inlineStr">
        <is>
          <t>W2 Desk work (no model runs)</t>
        </is>
      </c>
      <c r="M144" s="6" t="inlineStr">
        <is>
          <t>S15</t>
        </is>
      </c>
      <c r="N144" s="6" t="inlineStr">
        <is>
          <t>Lead + fresh reviewer</t>
        </is>
      </c>
      <c r="O144" s="6" t="inlineStr">
        <is>
          <t>Read the decisive passage; fetch only if not stored</t>
        </is>
      </c>
      <c r="P144" s="6" t="inlineStr">
        <is>
          <t>Partly</t>
        </is>
      </c>
      <c r="Q144" s="6" t="inlineStr">
        <is>
          <t>Record fix</t>
        </is>
      </c>
      <c r="R144" s="6" t="inlineStr">
        <is>
          <t>Sub-item</t>
        </is>
      </c>
      <c r="S144" s="6" t="inlineStr">
        <is>
          <t>C-R03</t>
        </is>
      </c>
      <c r="T144" s="6" t="inlineStr">
        <is>
          <t>v4-05 header: rounds 4 and 5 and the corrected text have not been re-checked by the challenger; BFCL statistics are the lead's own computation (reproduced in the review).</t>
        </is>
      </c>
      <c r="U144" s="6" t="inlineStr">
        <is>
          <t>Recorded as open in its source; not examined further in this review.</t>
        </is>
      </c>
      <c r="V144" s="6" t="inlineStr">
        <is>
          <t>A fresh reviewer checks rounds 4-5.</t>
        </is>
      </c>
      <c r="W144" s="6" t="inlineStr"/>
      <c r="X144" s="6" t="inlineStr"/>
      <c r="Y144" s="6" t="inlineStr"/>
      <c r="Z144" s="6" t="inlineStr"/>
      <c r="AA144" s="6" t="inlineStr"/>
      <c r="AB144" s="6" t="inlineStr">
        <is>
          <t>RECORD+SOURCE</t>
        </is>
      </c>
      <c r="AC144" s="6" t="inlineStr">
        <is>
          <t>n/a (sub-item)</t>
        </is>
      </c>
      <c r="AD144" s="6" t="inlineStr">
        <is>
          <t>NEW (repo sweep)</t>
        </is>
      </c>
      <c r="AE144" s="6" t="inlineStr">
        <is>
          <t>2026-10-19</t>
        </is>
      </c>
      <c r="AF144" s="6" t="inlineStr">
        <is>
          <t>v4-05 header</t>
        </is>
      </c>
      <c r="AG144" s="6" t="inlineStr"/>
      <c r="AH144" s="6" t="inlineStr">
        <is>
          <t>No</t>
        </is>
      </c>
      <c r="AI144" s="6" t="inlineStr"/>
      <c r="AJ144" s="6" t="inlineStr">
        <is>
          <t>repo: v4-03 section 6 / RV-0005 / RV-0007</t>
        </is>
      </c>
      <c r="AK144" s="6" t="inlineStr"/>
      <c r="AL144" s="6" t="inlineStr">
        <is>
          <t>S15</t>
        </is>
      </c>
    </row>
    <row r="145" ht="78" customHeight="1">
      <c r="A145" s="5" t="inlineStr">
        <is>
          <t>C-R03/RV7UNCHK</t>
        </is>
      </c>
      <c r="B145" s="6" t="inlineStr">
        <is>
          <t>RV-0007 'Not checked' list</t>
        </is>
      </c>
      <c r="C145" s="6" t="inlineStr">
        <is>
          <t>OPEN</t>
        </is>
      </c>
      <c r="D145" s="6">
        <f>IFERROR(INDEX(Lists!$B$2:$B$14,MATCH(C145,Lists!$A$2:$A$14,0)),"?")</f>
        <v/>
      </c>
      <c r="E145" s="6">
        <f>IF(COUNTIFS(Links!$B$2:$B$600,A145,Links!$E$2:$E$600,"Yes")&gt;0,"REVISE","")</f>
        <v/>
      </c>
      <c r="F145" s="6">
        <f>COUNTIFS(Links!$B$2:$B$600,A145,Links!$D$2:$D$600,"No",Links!$C$2:$C$600,"&lt;&gt;INFORMS")</f>
        <v/>
      </c>
      <c r="G145" s="14" t="inlineStr">
        <is>
          <t>SOURCE-REREAD</t>
        </is>
      </c>
      <c r="H145" s="6" t="inlineStr">
        <is>
          <t>K17 Record repair &amp; procedure error</t>
        </is>
      </c>
      <c r="I145" s="6" t="inlineStr">
        <is>
          <t>G4 Before claims</t>
        </is>
      </c>
      <c r="J145" s="6" t="inlineStr">
        <is>
          <t>Normal</t>
        </is>
      </c>
      <c r="K145" s="6" t="n">
        <v>148</v>
      </c>
      <c r="L145" s="6" t="inlineStr">
        <is>
          <t>W2 Desk work (no model runs)</t>
        </is>
      </c>
      <c r="M145" s="6" t="inlineStr">
        <is>
          <t>S15</t>
        </is>
      </c>
      <c r="N145" s="6" t="inlineStr">
        <is>
          <t>Lead + fresh reviewer</t>
        </is>
      </c>
      <c r="O145" s="6" t="inlineStr">
        <is>
          <t>Read the stored text first (tools/origin_extract.py)</t>
        </is>
      </c>
      <c r="P145" s="6" t="inlineStr">
        <is>
          <t>Yes - stored text, unread</t>
        </is>
      </c>
      <c r="Q145" s="6" t="inlineStr">
        <is>
          <t>Record fix</t>
        </is>
      </c>
      <c r="R145" s="6" t="inlineStr">
        <is>
          <t>Sub-item</t>
        </is>
      </c>
      <c r="S145" s="6" t="inlineStr">
        <is>
          <t>C-R03</t>
        </is>
      </c>
      <c r="T145"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45" s="6" t="inlineStr">
        <is>
          <t>Recorded as open in its source; not examined further in this review.</t>
        </is>
      </c>
      <c r="V145" s="6" t="inlineStr">
        <is>
          <t>Each re-read in the stored literature texts or labelled unchecked.</t>
        </is>
      </c>
      <c r="W145" s="6" t="inlineStr"/>
      <c r="X145" s="6" t="inlineStr"/>
      <c r="Y145" s="6" t="inlineStr"/>
      <c r="Z145" s="6" t="inlineStr"/>
      <c r="AA145" s="6" t="inlineStr"/>
      <c r="AB145" s="6" t="inlineStr">
        <is>
          <t>RECORD+SOURCE</t>
        </is>
      </c>
      <c r="AC145" s="6" t="inlineStr">
        <is>
          <t>n/a (sub-item)</t>
        </is>
      </c>
      <c r="AD145" s="6" t="inlineStr">
        <is>
          <t>NEW (repo sweep)</t>
        </is>
      </c>
      <c r="AE145" s="6" t="inlineStr">
        <is>
          <t>2026-10-19</t>
        </is>
      </c>
      <c r="AF145" s="6" t="inlineStr">
        <is>
          <t>reviews/RV-0007.md 'Not checked'</t>
        </is>
      </c>
      <c r="AG145" s="6" t="inlineStr"/>
      <c r="AH145" s="6" t="inlineStr">
        <is>
          <t>No</t>
        </is>
      </c>
      <c r="AI145" s="6" t="inlineStr"/>
      <c r="AJ145" s="6" t="inlineStr">
        <is>
          <t>repo: v4-03 section 6 / RV-0005 / RV-0007</t>
        </is>
      </c>
      <c r="AK145" s="6" t="inlineStr">
        <is>
          <t>RV-0007 Not checked, CH-0074</t>
        </is>
      </c>
      <c r="AL145" s="6" t="inlineStr">
        <is>
          <t>S15</t>
        </is>
      </c>
    </row>
    <row r="146" ht="153" customHeight="1">
      <c r="A146" s="5" t="inlineStr">
        <is>
          <t>C-R03/STUB</t>
        </is>
      </c>
      <c r="B146" s="6" t="inlineStr">
        <is>
          <t>Stub-schema effect on the 292K figure and 'Claude Code corpus' wording unverifiable</t>
        </is>
      </c>
      <c r="C146" s="6" t="inlineStr">
        <is>
          <t>OPEN</t>
        </is>
      </c>
      <c r="D146" s="6">
        <f>IFERROR(INDEX(Lists!$B$2:$B$14,MATCH(C146,Lists!$A$2:$A$14,0)),"?")</f>
        <v/>
      </c>
      <c r="E146" s="6">
        <f>IF(COUNTIFS(Links!$B$2:$B$600,A146,Links!$E$2:$E$600,"Yes")&gt;0,"REVISE","")</f>
        <v/>
      </c>
      <c r="F146" s="6">
        <f>COUNTIFS(Links!$B$2:$B$600,A146,Links!$D$2:$D$600,"No",Links!$C$2:$C$600,"&lt;&gt;INFORMS")</f>
        <v/>
      </c>
      <c r="G146" s="14" t="inlineStr">
        <is>
          <t>SOURCE-REREAD</t>
        </is>
      </c>
      <c r="H146" s="6" t="inlineStr">
        <is>
          <t>K17 Record repair &amp; procedure error</t>
        </is>
      </c>
      <c r="I146" s="6" t="inlineStr">
        <is>
          <t>G4 Before claims</t>
        </is>
      </c>
      <c r="J146" s="6" t="inlineStr">
        <is>
          <t>Normal</t>
        </is>
      </c>
      <c r="K146" s="6" t="n">
        <v>149</v>
      </c>
      <c r="L146" s="6" t="inlineStr">
        <is>
          <t>W2 Desk work (no model runs)</t>
        </is>
      </c>
      <c r="M146" s="6" t="inlineStr">
        <is>
          <t>S15</t>
        </is>
      </c>
      <c r="N146" s="6" t="inlineStr">
        <is>
          <t>Lead + fresh reviewer</t>
        </is>
      </c>
      <c r="O146" s="6" t="inlineStr">
        <is>
          <t>Read sampler lines 41-312 and pools lines 31-125 (stored text)</t>
        </is>
      </c>
      <c r="P146" s="6" t="inlineStr">
        <is>
          <t>Yes - stored text, unread</t>
        </is>
      </c>
      <c r="Q146" s="6" t="inlineStr">
        <is>
          <t>Record fix</t>
        </is>
      </c>
      <c r="R146" s="6" t="inlineStr">
        <is>
          <t>Sub-item</t>
        </is>
      </c>
      <c r="S146" s="6" t="inlineStr">
        <is>
          <t>C-R03</t>
        </is>
      </c>
      <c r="T146"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46" s="6" t="inlineStr">
        <is>
          <t>Not stated in the ranges read. The sampler returns ToolEntry objects from catalog.excluding(required); its six strategies are random, hard_neg, cross_domain, same_name, sibling, stratified (EXT-0133, EXT-0135); pool modes are gold, target and full, and 'calls to distractor tools simply miss the replay cache' (EXT-0138); E9.1 runs under --pool full 'with no curated distractor pool' (EXT-0132). The words 'stub' and 'placeholder' do not occur in any range read. Unread: sampler lines 41-312 and pools lines 31-125 (where ToolEntry and ToolCatalog are probably defined).</t>
        </is>
      </c>
      <c r="V146" s="6" t="inlineStr">
        <is>
          <t>Each checked in the stored texts (s4c-g2-dynamicmcpbench, r3-promcp, r3-complexmcp).</t>
        </is>
      </c>
      <c r="W146" s="6" t="inlineStr"/>
      <c r="X146" s="6" t="inlineStr"/>
      <c r="Y146" s="6" t="inlineStr"/>
      <c r="Z146" s="6" t="inlineStr"/>
      <c r="AA146" s="6" t="inlineStr"/>
      <c r="AB146" s="6" t="inlineStr">
        <is>
          <t>RECORD+SOURCE</t>
        </is>
      </c>
      <c r="AC146" s="6" t="inlineStr">
        <is>
          <t>n/a (sub-item)</t>
        </is>
      </c>
      <c r="AD146" s="6" t="inlineStr">
        <is>
          <t>NEW (repo sweep)</t>
        </is>
      </c>
      <c r="AE146" s="6" t="inlineStr">
        <is>
          <t>2026-10-19</t>
        </is>
      </c>
      <c r="AF146" s="6" t="inlineStr">
        <is>
          <t>FND-0010 (findings/SUM-0012); EXT-0132, EXT-0133, EXT-0135, EXT-0138</t>
        </is>
      </c>
      <c r="AG146" s="6" t="inlineStr"/>
      <c r="AH146" s="6" t="inlineStr">
        <is>
          <t>No</t>
        </is>
      </c>
      <c r="AI146" s="6" t="inlineStr"/>
      <c r="AJ146" s="6" t="inlineStr">
        <is>
          <t>repo: v4-03 section 6 / RV-0005 / RV-0007</t>
        </is>
      </c>
      <c r="AK146" s="6" t="inlineStr">
        <is>
          <t>SUM-0004</t>
        </is>
      </c>
      <c r="AL146" s="6" t="inlineStr">
        <is>
          <t>S15</t>
        </is>
      </c>
    </row>
    <row r="147" ht="65.5" customHeight="1">
      <c r="A147" s="5" t="inlineStr">
        <is>
          <t>N-17</t>
        </is>
      </c>
      <c r="B147" s="6" t="inlineStr">
        <is>
          <t>Challenge-record hygiene: 24 CH records still 'open'; fixes reported applied</t>
        </is>
      </c>
      <c r="C147" s="6" t="inlineStr">
        <is>
          <t>OPEN</t>
        </is>
      </c>
      <c r="D147" s="6">
        <f>IFERROR(INDEX(Lists!$B$2:$B$14,MATCH(C147,Lists!$A$2:$A$14,0)),"?")</f>
        <v/>
      </c>
      <c r="E147" s="6">
        <f>IF(COUNTIFS(Links!$B$2:$B$600,A147,Links!$E$2:$E$600,"Yes")&gt;0,"REVISE","")</f>
        <v/>
      </c>
      <c r="F147" s="6">
        <f>COUNTIFS(Links!$B$2:$B$600,A147,Links!$D$2:$D$600,"No",Links!$C$2:$C$600,"&lt;&gt;INFORMS")</f>
        <v/>
      </c>
      <c r="G147" s="8" t="inlineStr">
        <is>
          <t>RECORDS-AT-HAND</t>
        </is>
      </c>
      <c r="H147" s="6" t="inlineStr">
        <is>
          <t>K17 Record repair &amp; procedure error</t>
        </is>
      </c>
      <c r="I147" s="6" t="inlineStr">
        <is>
          <t>G4 Before claims</t>
        </is>
      </c>
      <c r="J147" s="6" t="inlineStr">
        <is>
          <t>Normal</t>
        </is>
      </c>
      <c r="K147" s="6" t="n">
        <v>150</v>
      </c>
      <c r="L147" s="6" t="inlineStr">
        <is>
          <t>W2 Desk work (no model runs)</t>
        </is>
      </c>
      <c r="M147" s="6" t="inlineStr">
        <is>
          <t>S15</t>
        </is>
      </c>
      <c r="N147" s="6" t="inlineStr">
        <is>
          <t>Lead + fresh reviewer</t>
        </is>
      </c>
      <c r="O147" s="6" t="inlineStr">
        <is>
          <t>Lead drafts the fix; you approve</t>
        </is>
      </c>
      <c r="P147" s="6" t="inlineStr">
        <is>
          <t>Answered (see basis)</t>
        </is>
      </c>
      <c r="Q147" s="6" t="inlineStr">
        <is>
          <t>Record fix</t>
        </is>
      </c>
      <c r="R147" s="6" t="inlineStr">
        <is>
          <t>Item</t>
        </is>
      </c>
      <c r="S147" s="6" t="inlineStr"/>
      <c r="T147" s="6" t="inlineStr">
        <is>
          <t>24 challenge records have front-matter status 'open' (CH-0038, 0040-0043, 0049, 0055, 0058-0074) although dispositions were reported applied in WD-022/023 and v4-05; the challenger did not re-check rounds 3-5 text; 49 others are 'conceded', 1 'withdrawn'.</t>
        </is>
      </c>
      <c r="U147" s="6" t="inlineStr">
        <is>
          <t>Substantive ones map to ledger rows (see Aliases); the rest are wording/edit items.</t>
        </is>
      </c>
      <c r="V147" s="6" t="inlineStr">
        <is>
          <t>Each record's status matches the text, with an independent re-check of the edits.</t>
        </is>
      </c>
      <c r="W147" s="6" t="inlineStr"/>
      <c r="X147" s="6" t="inlineStr"/>
      <c r="Y147" s="6" t="inlineStr"/>
      <c r="Z147" s="6" t="inlineStr"/>
      <c r="AA147" s="6" t="inlineStr"/>
      <c r="AB147" s="6" t="inlineStr">
        <is>
          <t>RECORD</t>
        </is>
      </c>
      <c r="AC147" s="6" t="inlineStr">
        <is>
          <t>n/a (new)</t>
        </is>
      </c>
      <c r="AD147" s="6" t="inlineStr">
        <is>
          <t>NEW (repo sweep)</t>
        </is>
      </c>
      <c r="AE147" s="6" t="inlineStr">
        <is>
          <t>2026-10-19</t>
        </is>
      </c>
      <c r="AF147" s="6" t="inlineStr">
        <is>
          <t>parsed challenges/*.md front matter on 2026-10-19; WD-022, WD-023; v4-03 section 5</t>
        </is>
      </c>
      <c r="AG147" s="6" t="inlineStr"/>
      <c r="AH147" s="6" t="inlineStr">
        <is>
          <t>No</t>
        </is>
      </c>
      <c r="AI147" s="6" t="inlineStr"/>
      <c r="AJ147" s="6" t="inlineStr">
        <is>
          <t>repo: challenges/, reviews/RV-0005..0007</t>
        </is>
      </c>
      <c r="AK147" s="6" t="inlineStr">
        <is>
          <t>CH-0058, CH-0064, CH-0068, CH-0071, CH-0074, CH-0049, CH-0055</t>
        </is>
      </c>
      <c r="AL147" s="6" t="inlineStr">
        <is>
          <t>S15</t>
        </is>
      </c>
    </row>
    <row r="148" ht="40.5" customHeight="1">
      <c r="A148" s="5" t="inlineStr">
        <is>
          <t>C-D09</t>
        </is>
      </c>
      <c r="B148" s="6" t="inlineStr">
        <is>
          <t>Authorization to run any experiment, smoke run or script (V3 E1-E8).</t>
        </is>
      </c>
      <c r="C148" s="6" t="inlineStr">
        <is>
          <t>OPEN</t>
        </is>
      </c>
      <c r="D148" s="6">
        <f>IFERROR(INDEX(Lists!$B$2:$B$14,MATCH(C148,Lists!$A$2:$A$14,0)),"?")</f>
        <v/>
      </c>
      <c r="E148" s="6">
        <f>IF(COUNTIFS(Links!$B$2:$B$600,A148,Links!$E$2:$E$600,"Yes")&gt;0,"REVISE","")</f>
        <v/>
      </c>
      <c r="F148" s="6">
        <f>COUNTIFS(Links!$B$2:$B$600,A148,Links!$D$2:$D$600,"No",Links!$C$2:$C$600,"&lt;&gt;INFORMS")</f>
        <v/>
      </c>
      <c r="G148" s="9" t="inlineStr">
        <is>
          <t>USER-DECISION</t>
        </is>
      </c>
      <c r="H148" s="6" t="inlineStr">
        <is>
          <t>K6 Deliverable &amp; authorization</t>
        </is>
      </c>
      <c r="I148" s="6" t="inlineStr">
        <is>
          <t>G1 Before any implementation</t>
        </is>
      </c>
      <c r="J148" s="6" t="inlineStr">
        <is>
          <t>High</t>
        </is>
      </c>
      <c r="K148" s="6" t="n">
        <v>152</v>
      </c>
      <c r="L148" s="6" t="inlineStr">
        <is>
          <t>W3 Pilots (AUTH)</t>
        </is>
      </c>
      <c r="M148" s="6" t="inlineStr">
        <is>
          <t>S16</t>
        </is>
      </c>
      <c r="N148" s="6" t="inlineStr">
        <is>
          <t>You (v4 also wants the supervisor's approval and a budget)</t>
        </is>
      </c>
      <c r="O148" s="6" t="inlineStr">
        <is>
          <t>Answer Q-U14 after decisions</t>
        </is>
      </c>
      <c r="P148" s="6" t="inlineStr">
        <is>
          <t>n/a</t>
        </is>
      </c>
      <c r="Q148" s="6" t="inlineStr">
        <is>
          <t>Decision</t>
        </is>
      </c>
      <c r="R148" s="6" t="inlineStr">
        <is>
          <t>Item</t>
        </is>
      </c>
      <c r="S148" s="6" t="inlineStr"/>
      <c r="T148" s="6" t="inlineStr">
        <is>
          <t>Authorization to run any experiment, smoke run or script (V3 E1-E8).</t>
        </is>
      </c>
      <c r="U148" s="6" t="inlineStr">
        <is>
          <t>None of AUTH-001..015 authorizes an experiment; AUTH-011 excludes pilots, AUTH-013 says no experiments.</t>
        </is>
      </c>
      <c r="V148" s="6" t="inlineStr">
        <is>
          <t>An AUTH row per pilot with provider, model, budget cap and what is recorded.</t>
        </is>
      </c>
      <c r="W148" s="6" t="inlineStr">
        <is>
          <t>C-D05, C-D08</t>
        </is>
      </c>
      <c r="X148" s="6" t="inlineStr">
        <is>
          <t>C-D13, C-D11</t>
        </is>
      </c>
      <c r="Y148" s="6" t="inlineStr">
        <is>
          <t>Q-J17, Q-U06, Q-U14</t>
        </is>
      </c>
      <c r="Z148" s="6" t="inlineStr">
        <is>
          <t>JOAA-DECISION</t>
        </is>
      </c>
      <c r="AA148" s="6" t="inlineStr">
        <is>
          <t>K11 End-to-end comparison</t>
        </is>
      </c>
      <c r="AB148" s="6" t="inlineStr">
        <is>
          <t>DEC</t>
        </is>
      </c>
      <c r="AC148" s="6" t="inlineStr">
        <is>
          <t>OPEN</t>
        </is>
      </c>
      <c r="AD148" s="6" t="inlineStr">
        <is>
          <t>UNCHANGED</t>
        </is>
      </c>
      <c r="AE148" s="6" t="inlineStr">
        <is>
          <t>2026-10-19</t>
        </is>
      </c>
      <c r="AF148" s="6" t="inlineStr">
        <is>
          <t>AUTH-011 limits; AUTH-013 limits; v4-01 section 7</t>
        </is>
      </c>
      <c r="AG148" s="6" t="inlineStr"/>
      <c r="AH148" s="6" t="inlineStr">
        <is>
          <t>This is the AUTH</t>
        </is>
      </c>
      <c r="AI148" s="6" t="inlineStr"/>
      <c r="AJ148" s="6" t="inlineStr">
        <is>
          <t>SRC-11 canonical</t>
        </is>
      </c>
      <c r="AK148" s="6" t="inlineStr">
        <is>
          <t>SRC-06 D12, SRC-07 11</t>
        </is>
      </c>
      <c r="AL148" s="6" t="inlineStr">
        <is>
          <t>S16</t>
        </is>
      </c>
    </row>
    <row r="149" ht="40.5" customHeight="1">
      <c r="A149" s="5" t="inlineStr">
        <is>
          <t>C-S16</t>
        </is>
      </c>
      <c r="B149" s="6" t="inlineStr">
        <is>
          <t>Evaluation-vehicle biases (replay routes, stub distractors, 12-turn cap, reference-consistent subset) have ...</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K13 Vehicle validity</t>
        </is>
      </c>
      <c r="I149" s="6" t="inlineStr">
        <is>
          <t>G2 Before the affected pilot/arm</t>
        </is>
      </c>
      <c r="J149" s="6" t="inlineStr">
        <is>
          <t>High</t>
        </is>
      </c>
      <c r="K149" s="6" t="n">
        <v>153</v>
      </c>
      <c r="L149" s="6" t="inlineStr">
        <is>
          <t>W3 Pilots (AUTH)</t>
        </is>
      </c>
      <c r="M149" s="6" t="inlineStr">
        <is>
          <t>S17</t>
        </is>
      </c>
      <c r="N149" s="6" t="inlineStr">
        <is>
          <t>Team</t>
        </is>
      </c>
      <c r="O149" s="6" t="inlineStr">
        <is>
          <t>Needs an AUTH and a protocol</t>
        </is>
      </c>
      <c r="P149" s="6" t="inlineStr">
        <is>
          <t>Partly</t>
        </is>
      </c>
      <c r="Q149" s="6" t="inlineStr">
        <is>
          <t>Scientific unknown</t>
        </is>
      </c>
      <c r="R149" s="6" t="inlineStr">
        <is>
          <t>Item</t>
        </is>
      </c>
      <c r="S149" s="6" t="inlineStr"/>
      <c r="T149" s="6" t="inlineStr">
        <is>
          <t>Evaluation-vehicle biases (replay routes, stub distractors, 12-turn cap, reference-consistent subset) have no measured effect.</t>
        </is>
      </c>
      <c r="U149" s="6" t="inlineStr">
        <is>
          <t>Documented (CAVEATS 3-4; 1,578 of 1,845 specs reference-consistent) but not run.</t>
        </is>
      </c>
      <c r="V149" s="6" t="inlineStr">
        <is>
          <t>Smoke run if the vehicle will carry a claim; otherwise limitation stated with scope.</t>
        </is>
      </c>
      <c r="W149" s="6" t="inlineStr">
        <is>
          <t>C-D08, C-D09</t>
        </is>
      </c>
      <c r="X149" s="6" t="inlineStr"/>
      <c r="Y149" s="6" t="inlineStr">
        <is>
          <t>Q-U03</t>
        </is>
      </c>
      <c r="Z149" s="6" t="inlineStr">
        <is>
          <t>ACCEPT-LIMITATION</t>
        </is>
      </c>
      <c r="AA149" s="6" t="inlineStr"/>
      <c r="AB149" s="6" t="inlineStr">
        <is>
          <t>DATA+BOUND</t>
        </is>
      </c>
      <c r="AC149" s="6" t="inlineStr">
        <is>
          <t>OPEN</t>
        </is>
      </c>
      <c r="AD149" s="6" t="inlineStr">
        <is>
          <t>UNCHANGED</t>
        </is>
      </c>
      <c r="AE149" s="6" t="inlineStr">
        <is>
          <t>2026-10-19</t>
        </is>
      </c>
      <c r="AF149" s="6" t="inlineStr">
        <is>
          <t>CAVEATS rows 3-4; v4-02 section 7</t>
        </is>
      </c>
      <c r="AG149" s="6" t="inlineStr"/>
      <c r="AH149" s="6" t="inlineStr">
        <is>
          <t>Yes</t>
        </is>
      </c>
      <c r="AI149" s="6" t="inlineStr"/>
      <c r="AJ149" s="6" t="inlineStr">
        <is>
          <t>SRC-11 canonical</t>
        </is>
      </c>
      <c r="AK149" s="6" t="inlineStr">
        <is>
          <t>SRC-06 S34, CAVEATS 3, CAVEATS 4</t>
        </is>
      </c>
      <c r="AL149" s="6" t="inlineStr">
        <is>
          <t>S17</t>
        </is>
      </c>
    </row>
    <row r="150" ht="28" customHeight="1">
      <c r="A150" s="5" t="inlineStr">
        <is>
          <t>C-X08</t>
        </is>
      </c>
      <c r="B150" s="6" t="inlineStr">
        <is>
          <t>Smoke execution of the evaluation vehicle that answers C-S16.</t>
        </is>
      </c>
      <c r="C150" s="6" t="inlineStr">
        <is>
          <t>UNRUN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K13 Vehicle validity</t>
        </is>
      </c>
      <c r="I150" s="6" t="inlineStr">
        <is>
          <t>G2 Before the affected pilot/arm</t>
        </is>
      </c>
      <c r="J150" s="6" t="inlineStr">
        <is>
          <t>High</t>
        </is>
      </c>
      <c r="K150" s="6" t="n">
        <v>154</v>
      </c>
      <c r="L150" s="6" t="inlineStr">
        <is>
          <t>W3 Pilots (AUTH)</t>
        </is>
      </c>
      <c r="M150" s="6" t="inlineStr">
        <is>
          <t>S17</t>
        </is>
      </c>
      <c r="N150" s="6" t="inlineStr">
        <is>
          <t>Team</t>
        </is>
      </c>
      <c r="O150" s="6" t="inlineStr">
        <is>
          <t>Needs an AUTH and a protocol</t>
        </is>
      </c>
      <c r="P150" s="6" t="inlineStr">
        <is>
          <t>No</t>
        </is>
      </c>
      <c r="Q150" s="6" t="inlineStr">
        <is>
          <t>Test</t>
        </is>
      </c>
      <c r="R150" s="6" t="inlineStr">
        <is>
          <t>Check</t>
        </is>
      </c>
      <c r="S150" s="6" t="inlineStr"/>
      <c r="T150" s="6" t="inlineStr">
        <is>
          <t>Smoke execution of the evaluation vehicle that answers C-S16.</t>
        </is>
      </c>
      <c r="U150" s="6" t="inlineStr">
        <is>
          <t>Not run; do it only if the vehicle will be used and differs from any earlier vehicle.</t>
        </is>
      </c>
      <c r="V150" s="6" t="inlineStr">
        <is>
          <t>Same as C-S16.</t>
        </is>
      </c>
      <c r="W150" s="6" t="inlineStr">
        <is>
          <t>C-D08, C-D09</t>
        </is>
      </c>
      <c r="X150" s="6" t="inlineStr"/>
      <c r="Y150" s="6" t="inlineStr"/>
      <c r="Z150" s="6" t="inlineStr"/>
      <c r="AA150" s="6" t="inlineStr"/>
      <c r="AB150" s="6" t="inlineStr">
        <is>
          <t>DATA</t>
        </is>
      </c>
      <c r="AC150" s="6" t="inlineStr">
        <is>
          <t>NO RESULT - OPEN</t>
        </is>
      </c>
      <c r="AD150" s="6" t="inlineStr">
        <is>
          <t>UNCHANGED</t>
        </is>
      </c>
      <c r="AE150" s="6" t="inlineStr">
        <is>
          <t>2026-10-19</t>
        </is>
      </c>
      <c r="AF150" s="6" t="inlineStr">
        <is>
          <t>CAVEATS rows 3-4</t>
        </is>
      </c>
      <c r="AG150" s="6" t="inlineStr"/>
      <c r="AH150" s="6" t="inlineStr">
        <is>
          <t>Yes</t>
        </is>
      </c>
      <c r="AI150" s="6" t="inlineStr"/>
      <c r="AJ150" s="6" t="inlineStr">
        <is>
          <t>SRC-11 canonical</t>
        </is>
      </c>
      <c r="AK150" s="6" t="inlineStr">
        <is>
          <t>smoke run</t>
        </is>
      </c>
      <c r="AL150" s="6" t="inlineStr">
        <is>
          <t>S17</t>
        </is>
      </c>
    </row>
    <row r="151" ht="128" customHeight="1">
      <c r="A151" s="5" t="inlineStr">
        <is>
          <t>C-S03/DEFUSAGE</t>
        </is>
      </c>
      <c r="B151" s="6" t="inlineStr">
        <is>
          <t>Do deferred or withdrawn definitions count in provider usage and the bill?</t>
        </is>
      </c>
      <c r="C151" s="6" t="inlineStr">
        <is>
          <t>PARTLY ANSWERED</t>
        </is>
      </c>
      <c r="D151" s="6">
        <f>IFERROR(INDEX(Lists!$B$2:$B$14,MATCH(C151,Lists!$A$2:$A$14,0)),"?")</f>
        <v/>
      </c>
      <c r="E151" s="6">
        <f>IF(COUNTIFS(Links!$B$2:$B$600,A151,Links!$E$2:$E$600,"Yes")&gt;0,"REVISE","")</f>
        <v/>
      </c>
      <c r="F151" s="6">
        <f>COUNTIFS(Links!$B$2:$B$600,A151,Links!$D$2:$D$600,"No",Links!$C$2:$C$600,"&lt;&gt;INFORMS")</f>
        <v/>
      </c>
      <c r="G151" s="17" t="inlineStr">
        <is>
          <t>TEST-PILOT</t>
        </is>
      </c>
      <c r="H151" s="6" t="inlineStr">
        <is>
          <t>K9 Cache &amp; billing</t>
        </is>
      </c>
      <c r="I151" s="6" t="inlineStr">
        <is>
          <t>G3 Before confirmatory study</t>
        </is>
      </c>
      <c r="J151" s="6" t="inlineStr">
        <is>
          <t>Normal</t>
        </is>
      </c>
      <c r="K151" s="6" t="n">
        <v>155</v>
      </c>
      <c r="L151" s="6" t="inlineStr">
        <is>
          <t>W3 Pilots (AUTH)</t>
        </is>
      </c>
      <c r="M151" s="6" t="inlineStr">
        <is>
          <t>S18</t>
        </is>
      </c>
      <c r="N151" s="6" t="inlineStr">
        <is>
          <t>Team / provider</t>
        </is>
      </c>
      <c r="O151" s="6" t="inlineStr">
        <is>
          <t>Read OpenAI tool-search usage text and the Anthropic tool-use-with-caching page</t>
        </is>
      </c>
      <c r="P151" s="6" t="inlineStr">
        <is>
          <t>Partly</t>
        </is>
      </c>
      <c r="Q151" s="6" t="inlineStr">
        <is>
          <t>Scientific unknown</t>
        </is>
      </c>
      <c r="R151" s="6" t="inlineStr">
        <is>
          <t>Sub-item</t>
        </is>
      </c>
      <c r="S151" s="6" t="inlineStr">
        <is>
          <t>C-S03</t>
        </is>
      </c>
      <c r="T151" s="6" t="inlineStr">
        <is>
          <t>Whether provider-reported usage and billing count deferred or withdrawn definitions is not stated in any stored extract; v2 steward V2 'CANNOT DETERMINE'; EXT-0009 says every definition is still sent in the tools array each request.</t>
        </is>
      </c>
      <c r="U151" s="6" t="inlineStr">
        <is>
          <t>Anthropic states that tool search 'isn't metered as a separate server tool' and that 'the tool definitions that search loads into context count as input tokens like any other tool definition' (EXT-0131); cached tool definitions appear under cache_creation_input_tokens on the first request and cache_read_input_tokens later (EXT-0123). Not stated in the ranges read: deferred-but-unloaded definitions; OpenAI and Gemini behaviour; withdrawn definitions.</t>
        </is>
      </c>
      <c r="V151" s="6" t="inlineStr">
        <is>
          <t>Usage records of a matched pair (with and without a deferred block) on one provider.</t>
        </is>
      </c>
      <c r="W151" s="6" t="inlineStr">
        <is>
          <t>C-D09, C-D08</t>
        </is>
      </c>
      <c r="X151" s="6" t="inlineStr"/>
      <c r="Y151" s="6" t="inlineStr"/>
      <c r="Z151" s="6" t="inlineStr"/>
      <c r="AA151" s="6" t="inlineStr"/>
      <c r="AB151" s="6" t="inlineStr">
        <is>
          <t>DATA+SOURCE</t>
        </is>
      </c>
      <c r="AC151" s="6" t="inlineStr">
        <is>
          <t>n/a (sub-item)</t>
        </is>
      </c>
      <c r="AD151" s="6" t="inlineStr">
        <is>
          <t>NEW (SRC-11 sub-row)</t>
        </is>
      </c>
      <c r="AE151" s="6" t="inlineStr">
        <is>
          <t>2026-10-19</t>
        </is>
      </c>
      <c r="AF151" s="6" t="inlineStr">
        <is>
          <t>FND-0008 (findings/SUM-0010); EXT-0123, EXT-0131</t>
        </is>
      </c>
      <c r="AG151" s="6" t="inlineStr"/>
      <c r="AH151" s="6" t="inlineStr">
        <is>
          <t>Yes</t>
        </is>
      </c>
      <c r="AI151" s="6" t="inlineStr"/>
      <c r="AJ151" s="6" t="inlineStr">
        <is>
          <t>repo: v4-05 section 1A / v2-05 / v3-04</t>
        </is>
      </c>
      <c r="AK151" s="6" t="inlineStr">
        <is>
          <t>v2-05 row 3, v3-04 section 5</t>
        </is>
      </c>
      <c r="AL151" s="6" t="inlineStr">
        <is>
          <t>S18</t>
        </is>
      </c>
    </row>
    <row r="152" ht="215.5" customHeight="1">
      <c r="A152" s="5" t="inlineStr">
        <is>
          <t>C-S03/EXCEPTIONS</t>
        </is>
      </c>
      <c r="B152" s="6" t="inlineStr">
        <is>
          <t>Documented cache exceptions are untested</t>
        </is>
      </c>
      <c r="C152" s="6" t="inlineStr">
        <is>
          <t>PARTLY ANSWERED</t>
        </is>
      </c>
      <c r="D152" s="6">
        <f>IFERROR(INDEX(Lists!$B$2:$B$14,MATCH(C152,Lists!$A$2:$A$14,0)),"?")</f>
        <v/>
      </c>
      <c r="E152" s="6">
        <f>IF(COUNTIFS(Links!$B$2:$B$600,A152,Links!$E$2:$E$600,"Yes")&gt;0,"REVISE","")</f>
        <v/>
      </c>
      <c r="F152" s="6">
        <f>COUNTIFS(Links!$B$2:$B$600,A152,Links!$D$2:$D$600,"No",Links!$C$2:$C$600,"&lt;&gt;INFORMS")</f>
        <v/>
      </c>
      <c r="G152" s="17" t="inlineStr">
        <is>
          <t>TEST-PILOT</t>
        </is>
      </c>
      <c r="H152" s="6" t="inlineStr">
        <is>
          <t>K9 Cache &amp; billing</t>
        </is>
      </c>
      <c r="I152" s="6" t="inlineStr">
        <is>
          <t>G3 Before confirmatory study</t>
        </is>
      </c>
      <c r="J152" s="6" t="inlineStr">
        <is>
          <t>Normal</t>
        </is>
      </c>
      <c r="K152" s="6" t="n">
        <v>156</v>
      </c>
      <c r="L152" s="6" t="inlineStr">
        <is>
          <t>W3 Pilots (AUTH)</t>
        </is>
      </c>
      <c r="M152" s="6" t="inlineStr">
        <is>
          <t>S18</t>
        </is>
      </c>
      <c r="N152" s="6" t="inlineStr">
        <is>
          <t>Team / provider</t>
        </is>
      </c>
      <c r="O152" s="6" t="inlineStr">
        <is>
          <t>Read r4-anthropic-tool-use-caching (stored) for the defer_loading interaction</t>
        </is>
      </c>
      <c r="P152" s="6" t="inlineStr">
        <is>
          <t>Partly</t>
        </is>
      </c>
      <c r="Q152" s="6" t="inlineStr">
        <is>
          <t>Scientific unknown</t>
        </is>
      </c>
      <c r="R152" s="6" t="inlineStr">
        <is>
          <t>Sub-item</t>
        </is>
      </c>
      <c r="S152" s="6" t="inlineStr">
        <is>
          <t>C-S03</t>
        </is>
      </c>
      <c r="T152" s="6" t="inlineStr">
        <is>
          <t>Vendor-documented exceptions (e.g., a conversation with no non-deferred tool pays one full miss; a tool-search tool counts as non-deferred) have not been tested.</t>
        </is>
      </c>
      <c r="U152" s="6" t="inlineStr">
        <is>
          <t>Documented cases found (vendor claims): a change to tool definitions invalidates the entire cache (EXT-0115); tool_choice changes affect only message blocks (EXT-0115); a tool with defer_loading: true cannot carry cache_control (the API returns a 400) (EXT-0131); the 'no non-deferred tool' full-miss exception is stated in the context of the inline-tools beta (add or change a tool mid-conversation) (EXT-0115); OpenAI additional_tools items do not accept prompt_cache_breakpoint (EXT-0142); OpenAI allows up to four cache writes per request, one used by an implicit breakpoint (EXT-0142). The claim that a tool-search tool counts as non-deferred appears in none of the ranges read. The separate Anthropic page 'Tool use with prompt caching' (stored r4-anthropic-tool-use-caching) is unread. All untested.</t>
        </is>
      </c>
      <c r="V152" s="6" t="inlineStr">
        <is>
          <t>Exception cases included in the probe.</t>
        </is>
      </c>
      <c r="W152" s="6" t="inlineStr">
        <is>
          <t>C-D09, C-D08</t>
        </is>
      </c>
      <c r="X152" s="6" t="inlineStr"/>
      <c r="Y152" s="6" t="inlineStr"/>
      <c r="Z152" s="6" t="inlineStr"/>
      <c r="AA152" s="6" t="inlineStr"/>
      <c r="AB152" s="6" t="inlineStr">
        <is>
          <t>DATA+SOURCE</t>
        </is>
      </c>
      <c r="AC152" s="6" t="inlineStr">
        <is>
          <t>n/a (sub-item)</t>
        </is>
      </c>
      <c r="AD152" s="6" t="inlineStr">
        <is>
          <t>NEW (SRC-11 sub-row)</t>
        </is>
      </c>
      <c r="AE152" s="6" t="inlineStr">
        <is>
          <t>2026-10-19</t>
        </is>
      </c>
      <c r="AF152" s="6" t="inlineStr">
        <is>
          <t>FND-0008 (findings/SUM-0010); EXT-0115, EXT-0131, EXT-0142; EXT-0066</t>
        </is>
      </c>
      <c r="AG152" s="6" t="inlineStr"/>
      <c r="AH152" s="6" t="inlineStr">
        <is>
          <t>Yes</t>
        </is>
      </c>
      <c r="AI152" s="6" t="inlineStr"/>
      <c r="AJ152" s="6" t="inlineStr">
        <is>
          <t>repo: v4-05 section 1A / v2-05 / v3-04</t>
        </is>
      </c>
      <c r="AK152" s="6" t="inlineStr"/>
      <c r="AL152" s="6" t="inlineStr">
        <is>
          <t>S18</t>
        </is>
      </c>
    </row>
    <row r="153" ht="153" customHeight="1">
      <c r="A153" s="5" t="inlineStr">
        <is>
          <t>C-S03/MINCACHE</t>
        </is>
      </c>
      <c r="B153" s="6" t="inlineStr">
        <is>
          <t>Minimum cacheable length: a small restricted prefix may fall below the cache threshold</t>
        </is>
      </c>
      <c r="C153" s="6" t="inlineStr">
        <is>
          <t>PARTLY ANSWERED</t>
        </is>
      </c>
      <c r="D153" s="6">
        <f>IFERROR(INDEX(Lists!$B$2:$B$14,MATCH(C153,Lists!$A$2:$A$14,0)),"?")</f>
        <v/>
      </c>
      <c r="E153" s="6">
        <f>IF(COUNTIFS(Links!$B$2:$B$600,A153,Links!$E$2:$E$600,"Yes")&gt;0,"REVISE","")</f>
        <v/>
      </c>
      <c r="F153" s="6">
        <f>COUNTIFS(Links!$B$2:$B$600,A153,Links!$D$2:$D$600,"No",Links!$C$2:$C$600,"&lt;&gt;INFORMS")</f>
        <v/>
      </c>
      <c r="G153" s="17" t="inlineStr">
        <is>
          <t>TEST-PILOT</t>
        </is>
      </c>
      <c r="H153" s="6" t="inlineStr">
        <is>
          <t>K9 Cache &amp; billing</t>
        </is>
      </c>
      <c r="I153" s="6" t="inlineStr">
        <is>
          <t>G3 Before confirmatory study</t>
        </is>
      </c>
      <c r="J153" s="6" t="inlineStr">
        <is>
          <t>Normal</t>
        </is>
      </c>
      <c r="K153" s="6" t="n">
        <v>157</v>
      </c>
      <c r="L153" s="6" t="inlineStr">
        <is>
          <t>W3 Pilots (AUTH)</t>
        </is>
      </c>
      <c r="M153" s="6" t="inlineStr">
        <is>
          <t>S18</t>
        </is>
      </c>
      <c r="N153" s="6" t="inlineStr">
        <is>
          <t>Team / provider</t>
        </is>
      </c>
      <c r="O153" s="6" t="inlineStr">
        <is>
          <t>Read the Anthropic minimum (stored r4-anthropic-prompt-caching other ranges)</t>
        </is>
      </c>
      <c r="P153" s="6" t="inlineStr">
        <is>
          <t>Partly</t>
        </is>
      </c>
      <c r="Q153" s="6" t="inlineStr">
        <is>
          <t>Scientific unknown</t>
        </is>
      </c>
      <c r="R153" s="6" t="inlineStr">
        <is>
          <t>Sub-item</t>
        </is>
      </c>
      <c r="S153" s="6" t="inlineStr">
        <is>
          <t>C-S03</t>
        </is>
      </c>
      <c r="T153" s="6" t="inlineStr">
        <is>
          <t>Cache study: minimum cacheable length 1,024-4,096 tokens by provider; a small restricted prefix can fall under it and lose caching entirely.</t>
        </is>
      </c>
      <c r="U153" s="6" t="inlineStr">
        <is>
          <t>Vendor-stated minimums: Bedrock 512 to 4,096 tokens per checkpoint, counted cumulatively over tools, system and messages; below the minimum 'inference still succeeds, but your prefix isn't cached' (EXT-0137); Gemini implicit caching 4,096 for 3.8 Flash, 3.6 Flash and 3.1 Pro Preview and 2,048 for 2.5 Flash and Pro (EXT-0141); OpenAI 1,024 for GPT-5.6 and later, earlier models vary (EXT-0142). The Anthropic minimum is not in the ranges read. These are documented values, not measurements; the earlier ledger range '1,024-4,096' is corrected to 512-4,096.</t>
        </is>
      </c>
      <c r="V153" s="6" t="inlineStr">
        <is>
          <t>Threshold measured per provider/model.</t>
        </is>
      </c>
      <c r="W153" s="6" t="inlineStr">
        <is>
          <t>C-D09, C-D08</t>
        </is>
      </c>
      <c r="X153" s="6" t="inlineStr"/>
      <c r="Y153" s="6" t="inlineStr"/>
      <c r="Z153" s="6" t="inlineStr"/>
      <c r="AA153" s="6" t="inlineStr"/>
      <c r="AB153" s="6" t="inlineStr">
        <is>
          <t>DATA</t>
        </is>
      </c>
      <c r="AC153" s="6" t="inlineStr">
        <is>
          <t>n/a (sub-item)</t>
        </is>
      </c>
      <c r="AD153" s="6" t="inlineStr">
        <is>
          <t>NEW (SRC-11 sub-row)</t>
        </is>
      </c>
      <c r="AE153" s="6" t="inlineStr">
        <is>
          <t>2026-10-19</t>
        </is>
      </c>
      <c r="AF153" s="6" t="inlineStr">
        <is>
          <t>FND-0008 (findings/SUM-0010); EXT-0137, EXT-0141, EXT-0142</t>
        </is>
      </c>
      <c r="AG153" s="6" t="inlineStr"/>
      <c r="AH153" s="6" t="inlineStr">
        <is>
          <t>Yes</t>
        </is>
      </c>
      <c r="AI153" s="6" t="inlineStr"/>
      <c r="AJ153" s="6" t="inlineStr">
        <is>
          <t>repo: v4-05 section 1A / v2-05 / v3-04</t>
        </is>
      </c>
      <c r="AK153" s="6" t="inlineStr"/>
      <c r="AL153" s="6" t="inlineStr">
        <is>
          <t>S18</t>
        </is>
      </c>
    </row>
    <row r="154" ht="40.5" customHeight="1">
      <c r="A154" s="5" t="inlineStr">
        <is>
          <t>C-S06</t>
        </is>
      </c>
      <c r="B154" s="6" t="inlineStr">
        <is>
          <t>Output-side vs definition-side savings, harness variance, model/tokenizer drift: no equal-success controlle...</t>
        </is>
      </c>
      <c r="C154" s="6" t="inlineStr">
        <is>
          <t>OPEN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K9 Cache &amp; billing</t>
        </is>
      </c>
      <c r="I154" s="6" t="inlineStr">
        <is>
          <t>G4 Before claims</t>
        </is>
      </c>
      <c r="J154" s="6" t="inlineStr">
        <is>
          <t>Normal</t>
        </is>
      </c>
      <c r="K154" s="6" t="n">
        <v>158</v>
      </c>
      <c r="L154" s="6" t="inlineStr">
        <is>
          <t>W3 Pilots (AUTH)</t>
        </is>
      </c>
      <c r="M154" s="6" t="inlineStr">
        <is>
          <t>S18</t>
        </is>
      </c>
      <c r="N154" s="6" t="inlineStr">
        <is>
          <t>Team</t>
        </is>
      </c>
      <c r="O154" s="6" t="inlineStr">
        <is>
          <t>Needs an AUTH and a protocol</t>
        </is>
      </c>
      <c r="P154" s="6" t="inlineStr">
        <is>
          <t>No</t>
        </is>
      </c>
      <c r="Q154" s="6" t="inlineStr">
        <is>
          <t>Scientific unknown</t>
        </is>
      </c>
      <c r="R154" s="6" t="inlineStr">
        <is>
          <t>Item</t>
        </is>
      </c>
      <c r="S154" s="6" t="inlineStr"/>
      <c r="T154" s="6" t="inlineStr">
        <is>
          <t>Output-side vs definition-side savings, harness variance, model/tokenizer drift: no equal-success controlled comparison.</t>
        </is>
      </c>
      <c r="U154" s="6" t="inlineStr">
        <is>
          <t>Output tokens enter the v4-04 cost model; BFCL cost column varies &gt;10x at similar accuracy (leaderboard snapshot).</t>
        </is>
      </c>
      <c r="V154" s="6" t="inlineStr">
        <is>
          <t>Versions fixed; trajectories compared; sensitivity reported (or deferred with trigger).</t>
        </is>
      </c>
      <c r="W154" s="6" t="inlineStr">
        <is>
          <t>C-D09, N-4</t>
        </is>
      </c>
      <c r="X154" s="6" t="inlineStr"/>
      <c r="Y154" s="6" t="inlineStr"/>
      <c r="Z154" s="6" t="inlineStr">
        <is>
          <t>TIME-RECHECK</t>
        </is>
      </c>
      <c r="AA154" s="6" t="inlineStr">
        <is>
          <t>K10 Token composition</t>
        </is>
      </c>
      <c r="AB154" s="6" t="inlineStr">
        <is>
          <t>DATA+TIME</t>
        </is>
      </c>
      <c r="AC154" s="6" t="inlineStr">
        <is>
          <t>OPEN</t>
        </is>
      </c>
      <c r="AD154" s="6" t="inlineStr">
        <is>
          <t>UNCHANGED</t>
        </is>
      </c>
      <c r="AE154" s="6" t="inlineStr">
        <is>
          <t>2026-10-19</t>
        </is>
      </c>
      <c r="AF154" s="6" t="inlineStr">
        <is>
          <t>v4-04 sections 2-3; v4-05 Round 5b</t>
        </is>
      </c>
      <c r="AG154" s="6" t="inlineStr">
        <is>
          <t>When a provider/model is chosen</t>
        </is>
      </c>
      <c r="AH154" s="6" t="inlineStr">
        <is>
          <t>Yes</t>
        </is>
      </c>
      <c r="AI154" s="6" t="inlineStr"/>
      <c r="AJ154" s="6" t="inlineStr">
        <is>
          <t>SRC-11 canonical</t>
        </is>
      </c>
      <c r="AK154" s="6" t="inlineStr">
        <is>
          <t>SRC-06 S10, SRC-06 S11, SRC-06 S12</t>
        </is>
      </c>
      <c r="AL154" s="6" t="inlineStr">
        <is>
          <t>S18</t>
        </is>
      </c>
    </row>
    <row r="155" ht="53" customHeight="1">
      <c r="A155" s="5" t="inlineStr">
        <is>
          <t>N-21</t>
        </is>
      </c>
      <c r="B155" s="6" t="inlineStr">
        <is>
          <t>E1 scope: can E1 end only the token-saving line? (retained disagreement)</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K10 Token composition</t>
        </is>
      </c>
      <c r="I155" s="6" t="inlineStr">
        <is>
          <t>G3 Before confirmatory study</t>
        </is>
      </c>
      <c r="J155" s="6" t="inlineStr">
        <is>
          <t>Normal</t>
        </is>
      </c>
      <c r="K155" s="6" t="n">
        <v>159</v>
      </c>
      <c r="L155" s="6" t="inlineStr">
        <is>
          <t>W3 Pilots (AUTH)</t>
        </is>
      </c>
      <c r="M155" s="6" t="inlineStr">
        <is>
          <t>S18</t>
        </is>
      </c>
      <c r="N155" s="6" t="inlineStr">
        <is>
          <t>Team + Joaa</t>
        </is>
      </c>
      <c r="O155" s="6" t="inlineStr">
        <is>
          <t>Needs an AUTH and a protocol</t>
        </is>
      </c>
      <c r="P155" s="6" t="inlineStr">
        <is>
          <t>No</t>
        </is>
      </c>
      <c r="Q155" s="6" t="inlineStr">
        <is>
          <t>Disagreement</t>
        </is>
      </c>
      <c r="R155" s="6" t="inlineStr">
        <is>
          <t>Sub-item</t>
        </is>
      </c>
      <c r="S155" s="6" t="inlineStr">
        <is>
          <t>C-S01</t>
        </is>
      </c>
      <c r="T155" s="6" t="inlineStr">
        <is>
          <t>Lead and challenger disagree in part: E1 can end the token-saving question for negligible-share configurations but not the feasibility question; both positions are kept in v4-02 section 8 and v4-03 section 5.</t>
        </is>
      </c>
      <c r="U155" s="6" t="inlineStr">
        <is>
          <t>Retained disagreement; resolved only by the E1 result and a Joaa decision on what 'ends the line' means.</t>
        </is>
      </c>
      <c r="V155" s="6" t="inlineStr">
        <is>
          <t>E1 run; consequence agreed.</t>
        </is>
      </c>
      <c r="W155" s="6" t="inlineStr">
        <is>
          <t>C-D09</t>
        </is>
      </c>
      <c r="X155" s="6" t="inlineStr"/>
      <c r="Y155" s="6" t="inlineStr"/>
      <c r="Z155" s="6" t="inlineStr"/>
      <c r="AA155" s="6" t="inlineStr"/>
      <c r="AB155" s="6" t="inlineStr">
        <is>
          <t>DATA</t>
        </is>
      </c>
      <c r="AC155" s="6" t="inlineStr">
        <is>
          <t>n/a (new)</t>
        </is>
      </c>
      <c r="AD155" s="6" t="inlineStr">
        <is>
          <t>NEW (repo sweep)</t>
        </is>
      </c>
      <c r="AE155" s="6" t="inlineStr">
        <is>
          <t>2026-10-19</t>
        </is>
      </c>
      <c r="AF155" s="6" t="inlineStr">
        <is>
          <t>v4-02 section 8; v4-03 section 5</t>
        </is>
      </c>
      <c r="AG155" s="6" t="inlineStr"/>
      <c r="AH155" s="6" t="inlineStr">
        <is>
          <t>Yes</t>
        </is>
      </c>
      <c r="AI155" s="6" t="inlineStr"/>
      <c r="AJ155" s="6" t="inlineStr">
        <is>
          <t>repo: v4-02 section 8; thread T-20261019-96</t>
        </is>
      </c>
      <c r="AK155" s="6" t="inlineStr"/>
      <c r="AL155" s="6" t="inlineStr">
        <is>
          <t>S18</t>
        </is>
      </c>
    </row>
    <row r="156" ht="103" customHeight="1">
      <c r="A156" s="5" t="inlineStr">
        <is>
          <t>C-S01</t>
        </is>
      </c>
      <c r="B156" s="6" t="inlineStr">
        <is>
          <t>What share of tokens in real trajectories is tool definitions vs system prompt, history, tool outputs, by o...</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K10 Token composition</t>
        </is>
      </c>
      <c r="I156" s="6" t="inlineStr">
        <is>
          <t>G3 Before confirmatory study</t>
        </is>
      </c>
      <c r="J156" s="6" t="inlineStr">
        <is>
          <t>Normal</t>
        </is>
      </c>
      <c r="K156" s="6" t="n">
        <v>160</v>
      </c>
      <c r="L156" s="6" t="inlineStr">
        <is>
          <t>W3 Pilots (AUTH)</t>
        </is>
      </c>
      <c r="M156" s="6" t="inlineStr">
        <is>
          <t>S18</t>
        </is>
      </c>
      <c r="N156" s="6" t="inlineStr">
        <is>
          <t>Team</t>
        </is>
      </c>
      <c r="O156" s="6" t="inlineStr">
        <is>
          <t>Needs an AUTH and a protocol</t>
        </is>
      </c>
      <c r="P156" s="6" t="inlineStr">
        <is>
          <t>No</t>
        </is>
      </c>
      <c r="Q156" s="6" t="inlineStr">
        <is>
          <t>Scientific unknown</t>
        </is>
      </c>
      <c r="R156" s="6" t="inlineStr">
        <is>
          <t>Item</t>
        </is>
      </c>
      <c r="S156" s="6" t="inlineStr"/>
      <c r="T156" s="6" t="inlineStr">
        <is>
          <t>What share of tokens in real trajectories is tool definitions vs system prompt, history, tool outputs, by outcome?</t>
        </is>
      </c>
      <c r="U156"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56" s="6" t="inlineStr">
        <is>
          <t>Per-call provider usage split by category, size and outcome (E1); can end the token-saving line, not the feasibility line.</t>
        </is>
      </c>
      <c r="W156" s="6" t="inlineStr">
        <is>
          <t>C-D09, C-D08, C-S16</t>
        </is>
      </c>
      <c r="X156" s="6" t="inlineStr">
        <is>
          <t>C-D11, C-D02</t>
        </is>
      </c>
      <c r="Y156" s="6" t="inlineStr">
        <is>
          <t>Q-U03</t>
        </is>
      </c>
      <c r="Z156" s="6" t="inlineStr">
        <is>
          <t>DESK-ANALYSIS</t>
        </is>
      </c>
      <c r="AA156" s="6" t="inlineStr">
        <is>
          <t>K9 Cache &amp; billing</t>
        </is>
      </c>
      <c r="AB156" s="6" t="inlineStr">
        <is>
          <t>DATA</t>
        </is>
      </c>
      <c r="AC156" s="6" t="inlineStr">
        <is>
          <t>OPEN</t>
        </is>
      </c>
      <c r="AD156" s="6" t="inlineStr">
        <is>
          <t>UNCHANGED</t>
        </is>
      </c>
      <c r="AE156" s="6" t="inlineStr">
        <is>
          <t>2026-10-19</t>
        </is>
      </c>
      <c r="AF156" s="6" t="inlineStr">
        <is>
          <t>v4-02 section 8; v4-05 section 3</t>
        </is>
      </c>
      <c r="AG156" s="6" t="inlineStr"/>
      <c r="AH156" s="6" t="inlineStr">
        <is>
          <t>Yes</t>
        </is>
      </c>
      <c r="AI156" s="6" t="inlineStr"/>
      <c r="AJ156" s="6" t="inlineStr">
        <is>
          <t>SRC-11 canonical</t>
        </is>
      </c>
      <c r="AK156" s="6" t="inlineStr">
        <is>
          <t>SRC-06 S02, SRC-06 S39, SRC-07 12, v3-04 E1</t>
        </is>
      </c>
      <c r="AL156" s="6" t="inlineStr">
        <is>
          <t>S18</t>
        </is>
      </c>
    </row>
    <row r="157" ht="128" customHeight="1">
      <c r="A157" s="5" t="inlineStr">
        <is>
          <t>C-S03</t>
        </is>
      </c>
      <c r="B157" s="6" t="inlineStr">
        <is>
          <t>Cache and billing behaviour of deferred or appended tool definitions: hit rate, effective multiplier, clien...</t>
        </is>
      </c>
      <c r="C157" s="6" t="inlineStr">
        <is>
          <t>PARTLY ANSWERED</t>
        </is>
      </c>
      <c r="D157" s="6">
        <f>IFERROR(INDEX(Lists!$B$2:$B$14,MATCH(C157,Lists!$A$2:$A$14,0)),"?")</f>
        <v/>
      </c>
      <c r="E157" s="6">
        <f>IF(COUNTIFS(Links!$B$2:$B$600,A157,Links!$E$2:$E$600,"Yes")&gt;0,"REVISE","")</f>
        <v/>
      </c>
      <c r="F157" s="6">
        <f>COUNTIFS(Links!$B$2:$B$600,A157,Links!$D$2:$D$600,"No",Links!$C$2:$C$600,"&lt;&gt;INFORMS")</f>
        <v/>
      </c>
      <c r="G157" s="17" t="inlineStr">
        <is>
          <t>TEST-PILOT</t>
        </is>
      </c>
      <c r="H157" s="6" t="inlineStr">
        <is>
          <t>K9 Cache &amp; billing</t>
        </is>
      </c>
      <c r="I157" s="6" t="inlineStr">
        <is>
          <t>G3 Before confirmatory study</t>
        </is>
      </c>
      <c r="J157" s="6" t="inlineStr">
        <is>
          <t>Normal</t>
        </is>
      </c>
      <c r="K157" s="6" t="n">
        <v>161</v>
      </c>
      <c r="L157" s="6" t="inlineStr">
        <is>
          <t>W3 Pilots (AUTH)</t>
        </is>
      </c>
      <c r="M157" s="6" t="inlineStr">
        <is>
          <t>S18</t>
        </is>
      </c>
      <c r="N157" s="6" t="inlineStr">
        <is>
          <t>Team / provider</t>
        </is>
      </c>
      <c r="O157" s="6" t="inlineStr">
        <is>
          <t>Needs an AUTH and a protocol</t>
        </is>
      </c>
      <c r="P157" s="6" t="inlineStr">
        <is>
          <t>Partly</t>
        </is>
      </c>
      <c r="Q157" s="6" t="inlineStr">
        <is>
          <t>Scientific unknown</t>
        </is>
      </c>
      <c r="R157" s="6" t="inlineStr">
        <is>
          <t>Item</t>
        </is>
      </c>
      <c r="S157" s="6" t="inlineStr"/>
      <c r="T157"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57"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t>
        </is>
      </c>
      <c r="V157" s="6" t="inlineStr">
        <is>
          <t>Matched trajectories on one named provider, model, TTL and layout with full usage records; scope of the claim stated.</t>
        </is>
      </c>
      <c r="W157" s="6" t="inlineStr">
        <is>
          <t>C-D09, C-D08, C-E05, C-S16</t>
        </is>
      </c>
      <c r="X157" s="6" t="inlineStr">
        <is>
          <t>C-D11</t>
        </is>
      </c>
      <c r="Y157" s="6" t="inlineStr">
        <is>
          <t>Q-J26</t>
        </is>
      </c>
      <c r="Z157" s="6" t="inlineStr">
        <is>
          <t>SOURCE-REREAD, TIME-RECHECK</t>
        </is>
      </c>
      <c r="AA157" s="6" t="inlineStr">
        <is>
          <t>K15 Expiring provider facts</t>
        </is>
      </c>
      <c r="AB157" s="6" t="inlineStr">
        <is>
          <t>DATA+TIME</t>
        </is>
      </c>
      <c r="AC157" s="6" t="inlineStr">
        <is>
          <t>OPEN</t>
        </is>
      </c>
      <c r="AD157" s="6" t="inlineStr">
        <is>
          <t>NARROWED</t>
        </is>
      </c>
      <c r="AE157" s="6" t="inlineStr">
        <is>
          <t>2026-10-19</t>
        </is>
      </c>
      <c r="AF157" s="6" t="inlineStr">
        <is>
          <t>v4-05 section 1A; EXT-0093/0096/0066; HYP-0009</t>
        </is>
      </c>
      <c r="AG157" s="6" t="inlineStr"/>
      <c r="AH157" s="6" t="inlineStr">
        <is>
          <t>Yes</t>
        </is>
      </c>
      <c r="AI157" s="6" t="inlineStr"/>
      <c r="AJ157" s="6" t="inlineStr">
        <is>
          <t>SRC-11 canonical</t>
        </is>
      </c>
      <c r="AK157" s="6" t="inlineStr">
        <is>
          <t>SRC-06 S03, SRC-06 S04, SRC-06 S08, HYP-0007, HYP-0009, RA12, CH-0065, CH-0066, Joaa 19 Oct 12:25 (explored information kept in cache)</t>
        </is>
      </c>
      <c r="AL157" s="6" t="inlineStr">
        <is>
          <t>S18</t>
        </is>
      </c>
    </row>
    <row r="158" ht="28" customHeight="1">
      <c r="A158" s="5" t="inlineStr">
        <is>
          <t>C-X01</t>
        </is>
      </c>
      <c r="B158" s="6" t="inlineStr">
        <is>
          <t>E1: the token-composition test that answers C-S01.</t>
        </is>
      </c>
      <c r="C158" s="6" t="inlineStr">
        <is>
          <t>UNRUN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K10 Token composition</t>
        </is>
      </c>
      <c r="I158" s="6" t="inlineStr">
        <is>
          <t>G3 Before confirmatory study</t>
        </is>
      </c>
      <c r="J158" s="6" t="inlineStr">
        <is>
          <t>Normal</t>
        </is>
      </c>
      <c r="K158" s="6" t="n">
        <v>162</v>
      </c>
      <c r="L158" s="6" t="inlineStr">
        <is>
          <t>W3 Pilots (AUTH)</t>
        </is>
      </c>
      <c r="M158" s="6" t="inlineStr">
        <is>
          <t>S18</t>
        </is>
      </c>
      <c r="N158" s="6" t="inlineStr">
        <is>
          <t>Team</t>
        </is>
      </c>
      <c r="O158" s="6" t="inlineStr">
        <is>
          <t>Needs an AUTH and a protocol</t>
        </is>
      </c>
      <c r="P158" s="6" t="inlineStr">
        <is>
          <t>No</t>
        </is>
      </c>
      <c r="Q158" s="6" t="inlineStr">
        <is>
          <t>Test</t>
        </is>
      </c>
      <c r="R158" s="6" t="inlineStr">
        <is>
          <t>Check</t>
        </is>
      </c>
      <c r="S158" s="6" t="inlineStr"/>
      <c r="T158" s="6" t="inlineStr">
        <is>
          <t>E1: the token-composition test that answers C-S01.</t>
        </is>
      </c>
      <c r="U158" s="6" t="inlineStr">
        <is>
          <t>Restated, not run; not authorized.</t>
        </is>
      </c>
      <c r="V158" s="6" t="inlineStr">
        <is>
          <t>Same as C-S01.</t>
        </is>
      </c>
      <c r="W158" s="6" t="inlineStr">
        <is>
          <t>C-D09, C-D08, C-S16</t>
        </is>
      </c>
      <c r="X158" s="6" t="inlineStr">
        <is>
          <t>C-D11</t>
        </is>
      </c>
      <c r="Y158" s="6" t="inlineStr"/>
      <c r="Z158" s="6" t="inlineStr"/>
      <c r="AA158" s="6" t="inlineStr">
        <is>
          <t>K9 Cache &amp; billing</t>
        </is>
      </c>
      <c r="AB158" s="6" t="inlineStr">
        <is>
          <t>DATA</t>
        </is>
      </c>
      <c r="AC158" s="6" t="inlineStr">
        <is>
          <t>NO RESULT - OPEN</t>
        </is>
      </c>
      <c r="AD158" s="6" t="inlineStr">
        <is>
          <t>UNCHANGED</t>
        </is>
      </c>
      <c r="AE158" s="6" t="inlineStr">
        <is>
          <t>2026-10-19</t>
        </is>
      </c>
      <c r="AF158" s="6" t="inlineStr">
        <is>
          <t>v4-02 section 8</t>
        </is>
      </c>
      <c r="AG158" s="6" t="inlineStr"/>
      <c r="AH158" s="6" t="inlineStr">
        <is>
          <t>Yes</t>
        </is>
      </c>
      <c r="AI158" s="6" t="inlineStr"/>
      <c r="AJ158" s="6" t="inlineStr">
        <is>
          <t>SRC-11 canonical</t>
        </is>
      </c>
      <c r="AK158" s="6" t="inlineStr">
        <is>
          <t>E1</t>
        </is>
      </c>
      <c r="AL158" s="6" t="inlineStr">
        <is>
          <t>S18</t>
        </is>
      </c>
    </row>
    <row r="159" ht="28" customHeight="1">
      <c r="A159" s="5" t="inlineStr">
        <is>
          <t>C-X07</t>
        </is>
      </c>
      <c r="B159" s="6" t="inlineStr">
        <is>
          <t>E7: billed-cost and cache probe that answers C-S03 (and feeds C-S02/S04).</t>
        </is>
      </c>
      <c r="C159" s="6" t="inlineStr">
        <is>
          <t>UNRUN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K9 Cache &amp; billing</t>
        </is>
      </c>
      <c r="I159" s="6" t="inlineStr">
        <is>
          <t>G3 Before confirmatory study</t>
        </is>
      </c>
      <c r="J159" s="6" t="inlineStr">
        <is>
          <t>Normal</t>
        </is>
      </c>
      <c r="K159" s="6" t="n">
        <v>163</v>
      </c>
      <c r="L159" s="6" t="inlineStr">
        <is>
          <t>W3 Pilots (AUTH)</t>
        </is>
      </c>
      <c r="M159" s="6" t="inlineStr">
        <is>
          <t>S18</t>
        </is>
      </c>
      <c r="N159" s="6" t="inlineStr">
        <is>
          <t>Team</t>
        </is>
      </c>
      <c r="O159" s="6" t="inlineStr">
        <is>
          <t>Needs an AUTH and a protocol</t>
        </is>
      </c>
      <c r="P159" s="6" t="inlineStr">
        <is>
          <t>No</t>
        </is>
      </c>
      <c r="Q159" s="6" t="inlineStr">
        <is>
          <t>Test</t>
        </is>
      </c>
      <c r="R159" s="6" t="inlineStr">
        <is>
          <t>Check</t>
        </is>
      </c>
      <c r="S159" s="6" t="inlineStr"/>
      <c r="T159" s="6" t="inlineStr">
        <is>
          <t>E7: billed-cost and cache probe that answers C-S03 (and feeds C-S02/S04).</t>
        </is>
      </c>
      <c r="U159" s="6" t="inlineStr">
        <is>
          <t>Pilot 1 reframed in v4-05 section 2; not run.</t>
        </is>
      </c>
      <c r="V159" s="6" t="inlineStr">
        <is>
          <t>Same as C-S03.</t>
        </is>
      </c>
      <c r="W159" s="6" t="inlineStr">
        <is>
          <t>C-D09, C-D08, C-E05, C-S16</t>
        </is>
      </c>
      <c r="X159" s="6" t="inlineStr">
        <is>
          <t>C-D11</t>
        </is>
      </c>
      <c r="Y159" s="6" t="inlineStr"/>
      <c r="Z159" s="6" t="inlineStr"/>
      <c r="AA159" s="6" t="inlineStr"/>
      <c r="AB159" s="6" t="inlineStr">
        <is>
          <t>DATA</t>
        </is>
      </c>
      <c r="AC159" s="6" t="inlineStr">
        <is>
          <t>NO RESULT - OPEN</t>
        </is>
      </c>
      <c r="AD159" s="6" t="inlineStr">
        <is>
          <t>UNCHANGED</t>
        </is>
      </c>
      <c r="AE159" s="6" t="inlineStr">
        <is>
          <t>2026-10-19</t>
        </is>
      </c>
      <c r="AF159" s="6" t="inlineStr">
        <is>
          <t>v4-05 section 2 item 2</t>
        </is>
      </c>
      <c r="AG159" s="6" t="inlineStr"/>
      <c r="AH159" s="6" t="inlineStr">
        <is>
          <t>Yes</t>
        </is>
      </c>
      <c r="AI159" s="6" t="inlineStr"/>
      <c r="AJ159" s="6" t="inlineStr">
        <is>
          <t>SRC-11 canonical</t>
        </is>
      </c>
      <c r="AK159" s="6" t="inlineStr">
        <is>
          <t>E7</t>
        </is>
      </c>
      <c r="AL159" s="6" t="inlineStr">
        <is>
          <t>S18</t>
        </is>
      </c>
    </row>
    <row r="160" ht="40.5" customHeight="1">
      <c r="A160" s="5" t="inlineStr">
        <is>
          <t>C-S04</t>
        </is>
      </c>
      <c r="B160" s="6" t="inlineStr">
        <is>
          <t>The warm-hit arithmetic (the '11-16%' figure) omits TTL, concurrency and growing suffix; session gaps unacc...</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K9 Cache &amp; billing</t>
        </is>
      </c>
      <c r="I160" s="6" t="inlineStr">
        <is>
          <t>G4 Before claims</t>
        </is>
      </c>
      <c r="J160" s="6" t="inlineStr">
        <is>
          <t>Normal</t>
        </is>
      </c>
      <c r="K160" s="6" t="n">
        <v>164</v>
      </c>
      <c r="L160" s="6" t="inlineStr">
        <is>
          <t>W3 Pilots (AUTH)</t>
        </is>
      </c>
      <c r="M160" s="6" t="inlineStr">
        <is>
          <t>S18</t>
        </is>
      </c>
      <c r="N160" s="6" t="inlineStr">
        <is>
          <t>Team</t>
        </is>
      </c>
      <c r="O160" s="6" t="inlineStr">
        <is>
          <t>Needs an AUTH and a protocol</t>
        </is>
      </c>
      <c r="P160" s="6" t="inlineStr">
        <is>
          <t>Partly</t>
        </is>
      </c>
      <c r="Q160" s="6" t="inlineStr">
        <is>
          <t>Scientific unknown</t>
        </is>
      </c>
      <c r="R160" s="6" t="inlineStr">
        <is>
          <t>Item</t>
        </is>
      </c>
      <c r="S160" s="6" t="inlineStr"/>
      <c r="T160" s="6" t="inlineStr">
        <is>
          <t>The warm-hit arithmetic (the '11-16%' figure) omits TTL, concurrency and growing suffix; session gaps unaccounted.</t>
        </is>
      </c>
      <c r="U160" s="6" t="inlineStr">
        <is>
          <t>v4-04 section 3 gives a cost model with cold-start per session (arithmetic verified); the specific 11-16% figure is not in the repo.</t>
        </is>
      </c>
      <c r="V160" s="6" t="inlineStr">
        <is>
          <t>Recalculate with measured hit rates and varied session patterns.</t>
        </is>
      </c>
      <c r="W160" s="6" t="inlineStr">
        <is>
          <t>C-S03</t>
        </is>
      </c>
      <c r="X160" s="6" t="inlineStr"/>
      <c r="Y160" s="6" t="inlineStr">
        <is>
          <t>Q-J04</t>
        </is>
      </c>
      <c r="Z160" s="6" t="inlineStr">
        <is>
          <t>DESK-ANALYSIS</t>
        </is>
      </c>
      <c r="AA160" s="6" t="inlineStr">
        <is>
          <t>K4 Memory &amp; sessions</t>
        </is>
      </c>
      <c r="AB160" s="6" t="inlineStr">
        <is>
          <t>DATA+BOUND</t>
        </is>
      </c>
      <c r="AC160" s="6" t="inlineStr">
        <is>
          <t>OPEN</t>
        </is>
      </c>
      <c r="AD160" s="6" t="inlineStr">
        <is>
          <t>RE-CHARACTERISED</t>
        </is>
      </c>
      <c r="AE160" s="6" t="inlineStr">
        <is>
          <t>2026-10-19</t>
        </is>
      </c>
      <c r="AF160" s="6" t="inlineStr">
        <is>
          <t>v4-04 section 3</t>
        </is>
      </c>
      <c r="AG160" s="6" t="inlineStr"/>
      <c r="AH160" s="6" t="inlineStr">
        <is>
          <t>Yes (measured rates)</t>
        </is>
      </c>
      <c r="AI160" s="6" t="inlineStr"/>
      <c r="AJ160" s="6" t="inlineStr">
        <is>
          <t>SRC-11 canonical</t>
        </is>
      </c>
      <c r="AK160" s="6" t="inlineStr">
        <is>
          <t>SRC-06 S07</t>
        </is>
      </c>
      <c r="AL160" s="6" t="inlineStr">
        <is>
          <t>S18</t>
        </is>
      </c>
    </row>
    <row r="161" ht="65.5" customHeight="1">
      <c r="A161" s="5" t="inlineStr">
        <is>
          <t>C-S08/EVENTS</t>
        </is>
      </c>
      <c r="B161" s="6" t="inlineStr">
        <is>
          <t>Counted events and 'absent' constructs for the search pilot</t>
        </is>
      </c>
      <c r="C161" s="6" t="inlineStr">
        <is>
          <t>OPEN</t>
        </is>
      </c>
      <c r="D161" s="6">
        <f>IFERROR(INDEX(Lists!$B$2:$B$14,MATCH(C161,Lists!$A$2:$A$14,0)),"?")</f>
        <v/>
      </c>
      <c r="E161" s="6">
        <f>IF(COUNTIFS(Links!$B$2:$B$600,A161,Links!$E$2:$E$600,"Yes")&gt;0,"REVISE","")</f>
        <v/>
      </c>
      <c r="F161" s="6">
        <f>COUNTIFS(Links!$B$2:$B$600,A161,Links!$D$2:$D$600,"No",Links!$C$2:$C$600,"&lt;&gt;INFORMS")</f>
        <v/>
      </c>
      <c r="G161" s="13" t="inlineStr">
        <is>
          <t>DESK-ANALYSIS</t>
        </is>
      </c>
      <c r="H161" s="6" t="inlineStr">
        <is>
          <t>K8 Search initiation &amp; recovery</t>
        </is>
      </c>
      <c r="I161" s="6" t="inlineStr">
        <is>
          <t>G3 Before confirmatory study</t>
        </is>
      </c>
      <c r="J161" s="6" t="inlineStr">
        <is>
          <t>Normal</t>
        </is>
      </c>
      <c r="K161" s="6" t="n">
        <v>165</v>
      </c>
      <c r="L161" s="6" t="inlineStr">
        <is>
          <t>W3 Pilots (AUTH)</t>
        </is>
      </c>
      <c r="M161" s="6" t="inlineStr">
        <is>
          <t>S19</t>
        </is>
      </c>
      <c r="N161" s="6" t="inlineStr">
        <is>
          <t>Team</t>
        </is>
      </c>
      <c r="O161" s="6" t="inlineStr">
        <is>
          <t>Lead computes or writes it (no model runs)</t>
        </is>
      </c>
      <c r="P161" s="6" t="inlineStr">
        <is>
          <t>Partly</t>
        </is>
      </c>
      <c r="Q161" s="6" t="inlineStr">
        <is>
          <t>Scientific unknown</t>
        </is>
      </c>
      <c r="R161" s="6" t="inlineStr">
        <is>
          <t>Sub-item</t>
        </is>
      </c>
      <c r="S161" s="6" t="inlineStr">
        <is>
          <t>C-S08</t>
        </is>
      </c>
      <c r="T161" s="6" t="inlineStr">
        <is>
          <t>The pilot must count (i) search calls, (ii) domain-tool calls, (iii) direct answers, and separate three 'absent' constructs (hidden-but-present, nonexistent, visible-but-uncalled); a 'spurious call' means the opposite of correct behaviour in our setting.</t>
        </is>
      </c>
      <c r="U161" s="6" t="inlineStr">
        <is>
          <t>Recorded as open in its source; not examined further in this review.</t>
        </is>
      </c>
      <c r="V161" s="6" t="inlineStr">
        <is>
          <t>Definitions written into the pilot protocol.</t>
        </is>
      </c>
      <c r="W161" s="6" t="inlineStr">
        <is>
          <t>C-D09, C-D08</t>
        </is>
      </c>
      <c r="X161" s="6" t="inlineStr"/>
      <c r="Y161" s="6" t="inlineStr"/>
      <c r="Z161" s="6" t="inlineStr"/>
      <c r="AA161" s="6" t="inlineStr"/>
      <c r="AB161" s="6" t="inlineStr">
        <is>
          <t>DATA</t>
        </is>
      </c>
      <c r="AC161" s="6" t="inlineStr">
        <is>
          <t>n/a (sub-item)</t>
        </is>
      </c>
      <c r="AD161" s="6" t="inlineStr">
        <is>
          <t>NEW (SRC-11 sub-row)</t>
        </is>
      </c>
      <c r="AE161" s="6" t="inlineStr">
        <is>
          <t>2026-10-19</t>
        </is>
      </c>
      <c r="AF161" s="6" t="inlineStr">
        <is>
          <t>v4-05 section 1B</t>
        </is>
      </c>
      <c r="AG161" s="6" t="inlineStr"/>
      <c r="AH161" s="6" t="inlineStr">
        <is>
          <t>Yes</t>
        </is>
      </c>
      <c r="AI161" s="6" t="inlineStr"/>
      <c r="AJ161" s="6" t="inlineStr">
        <is>
          <t>repo: v4-05 sections 1B, 3, 4; reviews RV-0006/0007</t>
        </is>
      </c>
      <c r="AK161" s="6" t="inlineStr">
        <is>
          <t>CH-0061, CH-0072</t>
        </is>
      </c>
      <c r="AL161" s="6" t="inlineStr">
        <is>
          <t>S13</t>
        </is>
      </c>
    </row>
    <row r="162" ht="65.5" customHeight="1">
      <c r="A162" s="5" t="inlineStr">
        <is>
          <t>C-S08/FPCOST</t>
        </is>
      </c>
      <c r="B162" s="6" t="inlineStr">
        <is>
          <t>False-positive / wasted-call cost is priced by no source</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K8 Search initiation &amp; recovery</t>
        </is>
      </c>
      <c r="I162" s="6" t="inlineStr">
        <is>
          <t>G3 Before confirmatory study</t>
        </is>
      </c>
      <c r="J162" s="6" t="inlineStr">
        <is>
          <t>Normal</t>
        </is>
      </c>
      <c r="K162" s="6" t="n">
        <v>166</v>
      </c>
      <c r="L162" s="6" t="inlineStr">
        <is>
          <t>W3 Pilots (AUTH)</t>
        </is>
      </c>
      <c r="M162" s="6" t="inlineStr">
        <is>
          <t>S19</t>
        </is>
      </c>
      <c r="N162" s="6" t="inlineStr">
        <is>
          <t>Team</t>
        </is>
      </c>
      <c r="O162" s="6" t="inlineStr">
        <is>
          <t>Needs an AUTH and a protocol</t>
        </is>
      </c>
      <c r="P162" s="6" t="inlineStr">
        <is>
          <t>Partly</t>
        </is>
      </c>
      <c r="Q162" s="6" t="inlineStr">
        <is>
          <t>Scientific unknown</t>
        </is>
      </c>
      <c r="R162" s="6" t="inlineStr">
        <is>
          <t>Sub-item</t>
        </is>
      </c>
      <c r="S162" s="6" t="inlineStr">
        <is>
          <t>C-S08</t>
        </is>
      </c>
      <c r="T162" s="6" t="inlineStr">
        <is>
          <t>Rates of hallucinated or spurious tool calls exist under different, non-interchangeable definitions (1-96%, 15-57%, BFCL irrelevance ~13-26% leading models); none prices the wasted rounds; scoring must be rule-based, not by an LLM judge that is also a candidate.</t>
        </is>
      </c>
      <c r="U162" s="6" t="inlineStr">
        <is>
          <t>Recorded as open in its source; not examined further in this review.</t>
        </is>
      </c>
      <c r="V162" s="6" t="inlineStr">
        <is>
          <t>Cost accounting of false-positive calls in pilot B.</t>
        </is>
      </c>
      <c r="W162" s="6" t="inlineStr">
        <is>
          <t>C-D09, C-D08</t>
        </is>
      </c>
      <c r="X162" s="6" t="inlineStr"/>
      <c r="Y162" s="6" t="inlineStr"/>
      <c r="Z162" s="6" t="inlineStr"/>
      <c r="AA162" s="6" t="inlineStr"/>
      <c r="AB162" s="6" t="inlineStr">
        <is>
          <t>DATA</t>
        </is>
      </c>
      <c r="AC162" s="6" t="inlineStr">
        <is>
          <t>n/a (sub-item)</t>
        </is>
      </c>
      <c r="AD162" s="6" t="inlineStr">
        <is>
          <t>NEW (SRC-11 sub-row)</t>
        </is>
      </c>
      <c r="AE162" s="6" t="inlineStr">
        <is>
          <t>2026-10-19</t>
        </is>
      </c>
      <c r="AF162" s="6" t="inlineStr">
        <is>
          <t>v4-05 section 1B</t>
        </is>
      </c>
      <c r="AG162" s="6" t="inlineStr"/>
      <c r="AH162" s="6" t="inlineStr">
        <is>
          <t>Yes</t>
        </is>
      </c>
      <c r="AI162" s="6" t="inlineStr"/>
      <c r="AJ162" s="6" t="inlineStr">
        <is>
          <t>repo: v4-05 sections 1B, 3, 4; reviews RV-0006/0007</t>
        </is>
      </c>
      <c r="AK162" s="6" t="inlineStr">
        <is>
          <t>CH-0069, CH-0070</t>
        </is>
      </c>
      <c r="AL162" s="6" t="inlineStr">
        <is>
          <t>S13</t>
        </is>
      </c>
    </row>
    <row r="163" ht="28" customHeight="1">
      <c r="A163" s="5" t="inlineStr">
        <is>
          <t>C-S08/RA6</t>
        </is>
      </c>
      <c r="B163" s="6" t="inlineStr">
        <is>
          <t>RA6: scope statement must tell the model enough to search without leaking gold information</t>
        </is>
      </c>
      <c r="C163" s="6" t="inlineStr">
        <is>
          <t>OPEN</t>
        </is>
      </c>
      <c r="D163" s="6">
        <f>IFERROR(INDEX(Lists!$B$2:$B$14,MATCH(C163,Lists!$A$2:$A$14,0)),"?")</f>
        <v/>
      </c>
      <c r="E163" s="6">
        <f>IF(COUNTIFS(Links!$B$2:$B$600,A163,Links!$E$2:$E$600,"Yes")&gt;0,"REVISE","")</f>
        <v/>
      </c>
      <c r="F163" s="6">
        <f>COUNTIFS(Links!$B$2:$B$600,A163,Links!$D$2:$D$600,"No",Links!$C$2:$C$600,"&lt;&gt;INFORMS")</f>
        <v/>
      </c>
      <c r="G163" s="13" t="inlineStr">
        <is>
          <t>DESK-ANALYSIS</t>
        </is>
      </c>
      <c r="H163" s="6" t="inlineStr">
        <is>
          <t>K8 Search initiation &amp; recovery</t>
        </is>
      </c>
      <c r="I163" s="6" t="inlineStr">
        <is>
          <t>G3 Before confirmatory study</t>
        </is>
      </c>
      <c r="J163" s="6" t="inlineStr">
        <is>
          <t>Normal</t>
        </is>
      </c>
      <c r="K163" s="6" t="n">
        <v>167</v>
      </c>
      <c r="L163" s="6" t="inlineStr">
        <is>
          <t>W3 Pilots (AUTH)</t>
        </is>
      </c>
      <c r="M163" s="6" t="inlineStr">
        <is>
          <t>S19</t>
        </is>
      </c>
      <c r="N163" s="6" t="inlineStr">
        <is>
          <t>Team</t>
        </is>
      </c>
      <c r="O163" s="6" t="inlineStr">
        <is>
          <t>Lead computes or writes it (no model runs)</t>
        </is>
      </c>
      <c r="P163" s="6" t="inlineStr">
        <is>
          <t>Partly</t>
        </is>
      </c>
      <c r="Q163" s="6" t="inlineStr">
        <is>
          <t>Assumption</t>
        </is>
      </c>
      <c r="R163" s="6" t="inlineStr">
        <is>
          <t>Sub-item</t>
        </is>
      </c>
      <c r="S163" s="6" t="inlineStr">
        <is>
          <t>C-S08</t>
        </is>
      </c>
      <c r="T163" s="6" t="inlineStr">
        <is>
          <t>Recovery assumption RA6 (v3-02): the scope statement must be informative without leaking gold information.</t>
        </is>
      </c>
      <c r="U163" s="6" t="inlineStr">
        <is>
          <t>Recorded as open in its source; not examined further in this review.</t>
        </is>
      </c>
      <c r="V163" s="6" t="inlineStr">
        <is>
          <t>Statement ladder specified and its tokens charged (C-D08/SCOPESTMT).</t>
        </is>
      </c>
      <c r="W163" s="6" t="inlineStr">
        <is>
          <t>C-D09, C-D08</t>
        </is>
      </c>
      <c r="X163" s="6" t="inlineStr"/>
      <c r="Y163" s="6" t="inlineStr"/>
      <c r="Z163" s="6" t="inlineStr"/>
      <c r="AA163" s="6" t="inlineStr"/>
      <c r="AB163" s="6" t="inlineStr">
        <is>
          <t>DATA</t>
        </is>
      </c>
      <c r="AC163" s="6" t="inlineStr">
        <is>
          <t>n/a (sub-item)</t>
        </is>
      </c>
      <c r="AD163" s="6" t="inlineStr">
        <is>
          <t>NEW (SRC-11 sub-row)</t>
        </is>
      </c>
      <c r="AE163" s="6" t="inlineStr">
        <is>
          <t>2026-10-19</t>
        </is>
      </c>
      <c r="AF163" s="6" t="inlineStr">
        <is>
          <t>v3-02 section 4 RA1-RA13</t>
        </is>
      </c>
      <c r="AG163" s="6" t="inlineStr"/>
      <c r="AH163" s="6" t="inlineStr">
        <is>
          <t>Yes</t>
        </is>
      </c>
      <c r="AI163" s="6" t="inlineStr"/>
      <c r="AJ163" s="6" t="inlineStr">
        <is>
          <t>repo: v3-02 section 4</t>
        </is>
      </c>
      <c r="AK163" s="6" t="inlineStr">
        <is>
          <t>RA6</t>
        </is>
      </c>
      <c r="AL163" s="6" t="inlineStr">
        <is>
          <t>S13</t>
        </is>
      </c>
    </row>
    <row r="164" ht="40.5" customHeight="1">
      <c r="A164" s="5" t="inlineStr">
        <is>
          <t>C-S08/UNINSTR</t>
        </is>
      </c>
      <c r="B164" s="6" t="inlineStr">
        <is>
          <t>Uninstructed search initiation: no per-task rate found</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K8 Search initiation &amp; recovery</t>
        </is>
      </c>
      <c r="I164" s="6" t="inlineStr">
        <is>
          <t>G3 Before confirmatory study</t>
        </is>
      </c>
      <c r="J164" s="6" t="inlineStr">
        <is>
          <t>Normal</t>
        </is>
      </c>
      <c r="K164" s="6" t="n">
        <v>168</v>
      </c>
      <c r="L164" s="6" t="inlineStr">
        <is>
          <t>W3 Pilots (AUTH)</t>
        </is>
      </c>
      <c r="M164" s="6" t="inlineStr">
        <is>
          <t>S19</t>
        </is>
      </c>
      <c r="N164" s="6" t="inlineStr">
        <is>
          <t>Team</t>
        </is>
      </c>
      <c r="O164" s="6" t="inlineStr">
        <is>
          <t>Needs an AUTH and a protocol</t>
        </is>
      </c>
      <c r="P164" s="6" t="inlineStr">
        <is>
          <t>Partly</t>
        </is>
      </c>
      <c r="Q164" s="6" t="inlineStr">
        <is>
          <t>Scientific unknown</t>
        </is>
      </c>
      <c r="R164" s="6" t="inlineStr">
        <is>
          <t>Sub-item</t>
        </is>
      </c>
      <c r="S164" s="6" t="inlineStr">
        <is>
          <t>C-S08</t>
        </is>
      </c>
      <c r="T164" s="6" t="inlineStr">
        <is>
          <t>No source reports the share of tasks with zero search calls when a search channel exists but is not instructed and no visible tool fits.</t>
        </is>
      </c>
      <c r="U164" s="6" t="inlineStr">
        <is>
          <t>Instructed use is measured at scale for strong models (TheMCPCompany, LiveMCPBench); uninstructed is not found in this sample.</t>
        </is>
      </c>
      <c r="V164" s="6" t="inlineStr">
        <is>
          <t>Pilot B primary cell: tool-description only.</t>
        </is>
      </c>
      <c r="W164" s="6" t="inlineStr">
        <is>
          <t>C-D09, C-D08</t>
        </is>
      </c>
      <c r="X164" s="6" t="inlineStr"/>
      <c r="Y164" s="6" t="inlineStr"/>
      <c r="Z164" s="6" t="inlineStr"/>
      <c r="AA164" s="6" t="inlineStr"/>
      <c r="AB164" s="6" t="inlineStr">
        <is>
          <t>DATA</t>
        </is>
      </c>
      <c r="AC164" s="6" t="inlineStr">
        <is>
          <t>n/a (sub-item)</t>
        </is>
      </c>
      <c r="AD164" s="6" t="inlineStr">
        <is>
          <t>NEW (SRC-11 sub-row)</t>
        </is>
      </c>
      <c r="AE164" s="6" t="inlineStr">
        <is>
          <t>2026-10-19</t>
        </is>
      </c>
      <c r="AF164" s="6" t="inlineStr">
        <is>
          <t>v4-05 section 1B</t>
        </is>
      </c>
      <c r="AG164" s="6" t="inlineStr"/>
      <c r="AH164" s="6" t="inlineStr">
        <is>
          <t>Yes</t>
        </is>
      </c>
      <c r="AI164" s="6" t="inlineStr"/>
      <c r="AJ164" s="6" t="inlineStr">
        <is>
          <t>repo: v4-05 sections 1B, 3, 4; reviews RV-0006/0007</t>
        </is>
      </c>
      <c r="AK164" s="6" t="inlineStr">
        <is>
          <t>CH-0062, RA1b</t>
        </is>
      </c>
      <c r="AL164" s="6" t="inlineStr">
        <is>
          <t>S13</t>
        </is>
      </c>
    </row>
    <row r="165" ht="53" customHeight="1">
      <c r="A165" s="5" t="inlineStr">
        <is>
          <t>C-S08</t>
        </is>
      </c>
      <c r="B165" s="6" t="inlineStr">
        <is>
          <t>Do models start a search when a needed tool is not visible (uninstructed), does recovery restore success, a...</t>
        </is>
      </c>
      <c r="C165" s="6" t="inlineStr">
        <is>
          <t>PARTLY ANSWERED</t>
        </is>
      </c>
      <c r="D165" s="6">
        <f>IFERROR(INDEX(Lists!$B$2:$B$14,MATCH(C165,Lists!$A$2:$A$14,0)),"?")</f>
        <v/>
      </c>
      <c r="E165" s="6">
        <f>IF(COUNTIFS(Links!$B$2:$B$600,A165,Links!$E$2:$E$600,"Yes")&gt;0,"REVISE","")</f>
        <v/>
      </c>
      <c r="F165" s="6">
        <f>COUNTIFS(Links!$B$2:$B$600,A165,Links!$D$2:$D$600,"No",Links!$C$2:$C$600,"&lt;&gt;INFORMS")</f>
        <v/>
      </c>
      <c r="G165" s="17" t="inlineStr">
        <is>
          <t>TEST-PILOT</t>
        </is>
      </c>
      <c r="H165" s="6" t="inlineStr">
        <is>
          <t>K8 Search initiation &amp; recovery</t>
        </is>
      </c>
      <c r="I165" s="6" t="inlineStr">
        <is>
          <t>G3 Before confirmatory study</t>
        </is>
      </c>
      <c r="J165" s="6" t="inlineStr">
        <is>
          <t>Normal</t>
        </is>
      </c>
      <c r="K165" s="6" t="n">
        <v>169</v>
      </c>
      <c r="L165" s="6" t="inlineStr">
        <is>
          <t>W3 Pilots (AUTH)</t>
        </is>
      </c>
      <c r="M165" s="6" t="inlineStr">
        <is>
          <t>S19</t>
        </is>
      </c>
      <c r="N165" s="6" t="inlineStr">
        <is>
          <t>Team</t>
        </is>
      </c>
      <c r="O165" s="6" t="inlineStr">
        <is>
          <t>Needs an AUTH and a protocol</t>
        </is>
      </c>
      <c r="P165" s="6" t="inlineStr">
        <is>
          <t>Partly</t>
        </is>
      </c>
      <c r="Q165" s="6" t="inlineStr">
        <is>
          <t>Scientific unknown</t>
        </is>
      </c>
      <c r="R165" s="6" t="inlineStr">
        <is>
          <t>Item</t>
        </is>
      </c>
      <c r="S165" s="6" t="inlineStr"/>
      <c r="T165" s="6" t="inlineStr">
        <is>
          <t>Do models start a search when a needed tool is not visible (uninstructed), does recovery restore success, and what is the no-miss overhead?</t>
        </is>
      </c>
      <c r="U165" s="6" t="inlineStr">
        <is>
          <t>Instructed use is measured at catalogue scale for strong models (TheMCPCompany, LiveMCPBench); uninstructed initiation not found; false-positive rates exist under different definitions.</t>
        </is>
      </c>
      <c r="V165" s="6" t="inlineStr">
        <is>
          <t>Pilot B: tool-description-only cell, statement ladder, hidden-but-present / nonexistent / wrong-tool-visible arms, per-task share with zero searches.</t>
        </is>
      </c>
      <c r="W165" s="6" t="inlineStr">
        <is>
          <t>C-D09, C-D08, C-S16</t>
        </is>
      </c>
      <c r="X165" s="6" t="inlineStr">
        <is>
          <t>C-D03, C-D11</t>
        </is>
      </c>
      <c r="Y165" s="6" t="inlineStr">
        <is>
          <t>Q-U03</t>
        </is>
      </c>
      <c r="Z165" s="6" t="inlineStr">
        <is>
          <t>LITERATURE-DIRECTED</t>
        </is>
      </c>
      <c r="AA165" s="6" t="inlineStr">
        <is>
          <t>K11 End-to-end comparison</t>
        </is>
      </c>
      <c r="AB165" s="6" t="inlineStr">
        <is>
          <t>DATA</t>
        </is>
      </c>
      <c r="AC165" s="6" t="inlineStr">
        <is>
          <t>OPEN</t>
        </is>
      </c>
      <c r="AD165" s="6" t="inlineStr">
        <is>
          <t>NARROWED</t>
        </is>
      </c>
      <c r="AE165" s="6" t="inlineStr">
        <is>
          <t>2026-10-19</t>
        </is>
      </c>
      <c r="AF165" s="6" t="inlineStr">
        <is>
          <t>v4-05 sections 1B, 3, 4; HYP-0010</t>
        </is>
      </c>
      <c r="AG165" s="6" t="inlineStr"/>
      <c r="AH165" s="6" t="inlineStr">
        <is>
          <t>Yes</t>
        </is>
      </c>
      <c r="AI165" s="6" t="inlineStr"/>
      <c r="AJ165" s="6" t="inlineStr">
        <is>
          <t>SRC-11 canonical</t>
        </is>
      </c>
      <c r="AK165" s="6" t="inlineStr">
        <is>
          <t>SRC-06 S21, SRC-07 14, RA1, HYP-0003, HYP-0004, HYP-0010, HYP-0011, CAVEATS 16, CH-0059, CH-0060</t>
        </is>
      </c>
      <c r="AL165" s="6" t="inlineStr">
        <is>
          <t>S13</t>
        </is>
      </c>
    </row>
    <row r="166" ht="28" customHeight="1">
      <c r="A166" s="5" t="inlineStr">
        <is>
          <t>C-S09/RA10</t>
        </is>
      </c>
      <c r="B166" s="6" t="inlineStr">
        <is>
          <t>RA10: names and arguments found by search are valid at call time</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K8 Search initiation &amp; recovery</t>
        </is>
      </c>
      <c r="I166" s="6" t="inlineStr">
        <is>
          <t>G3 Before confirmatory study</t>
        </is>
      </c>
      <c r="J166" s="6" t="inlineStr">
        <is>
          <t>Normal</t>
        </is>
      </c>
      <c r="K166" s="6" t="n">
        <v>170</v>
      </c>
      <c r="L166" s="6" t="inlineStr">
        <is>
          <t>W3 Pilots (AUTH)</t>
        </is>
      </c>
      <c r="M166" s="6" t="inlineStr">
        <is>
          <t>S19</t>
        </is>
      </c>
      <c r="N166" s="6" t="inlineStr">
        <is>
          <t>Team</t>
        </is>
      </c>
      <c r="O166" s="6" t="inlineStr">
        <is>
          <t>Needs an AUTH and a protocol</t>
        </is>
      </c>
      <c r="P166" s="6" t="inlineStr">
        <is>
          <t>No</t>
        </is>
      </c>
      <c r="Q166" s="6" t="inlineStr">
        <is>
          <t>Assumption</t>
        </is>
      </c>
      <c r="R166" s="6" t="inlineStr">
        <is>
          <t>Sub-item</t>
        </is>
      </c>
      <c r="S166" s="6" t="inlineStr">
        <is>
          <t>C-S09</t>
        </is>
      </c>
      <c r="T166" s="6" t="inlineStr">
        <is>
          <t>Recovery assumption RA10.</t>
        </is>
      </c>
      <c r="U166" s="6" t="inlineStr">
        <is>
          <t>Assumption.</t>
        </is>
      </c>
      <c r="V166" s="6" t="inlineStr">
        <is>
          <t>Tested end-to-end.</t>
        </is>
      </c>
      <c r="W166" s="6" t="inlineStr">
        <is>
          <t>C-D09, C-D08</t>
        </is>
      </c>
      <c r="X166" s="6" t="inlineStr"/>
      <c r="Y166" s="6" t="inlineStr"/>
      <c r="Z166" s="6" t="inlineStr"/>
      <c r="AA166" s="6" t="inlineStr"/>
      <c r="AB166" s="6" t="inlineStr">
        <is>
          <t>DATA</t>
        </is>
      </c>
      <c r="AC166" s="6" t="inlineStr">
        <is>
          <t>n/a (sub-item)</t>
        </is>
      </c>
      <c r="AD166" s="6" t="inlineStr">
        <is>
          <t>NEW (SRC-11 sub-row)</t>
        </is>
      </c>
      <c r="AE166" s="6" t="inlineStr">
        <is>
          <t>2026-10-19</t>
        </is>
      </c>
      <c r="AF166" s="6" t="inlineStr">
        <is>
          <t>v3-02 section 4</t>
        </is>
      </c>
      <c r="AG166" s="6" t="inlineStr"/>
      <c r="AH166" s="6" t="inlineStr">
        <is>
          <t>Yes</t>
        </is>
      </c>
      <c r="AI166" s="6" t="inlineStr"/>
      <c r="AJ166" s="6" t="inlineStr">
        <is>
          <t>repo: v3-02 section 4</t>
        </is>
      </c>
      <c r="AK166" s="6" t="inlineStr">
        <is>
          <t>RA10</t>
        </is>
      </c>
      <c r="AL166" s="6" t="inlineStr">
        <is>
          <t>S19</t>
        </is>
      </c>
    </row>
    <row r="167" ht="28" customHeight="1">
      <c r="A167" s="5" t="inlineStr">
        <is>
          <t>C-S09/RA7</t>
        </is>
      </c>
      <c r="B167" s="6" t="inlineStr">
        <is>
          <t>RA7: the model understands the interface schema</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K8 Search initiation &amp; recovery</t>
        </is>
      </c>
      <c r="I167" s="6" t="inlineStr">
        <is>
          <t>G3 Before confirmatory study</t>
        </is>
      </c>
      <c r="J167" s="6" t="inlineStr">
        <is>
          <t>Normal</t>
        </is>
      </c>
      <c r="K167" s="6" t="n">
        <v>171</v>
      </c>
      <c r="L167" s="6" t="inlineStr">
        <is>
          <t>W3 Pilots (AUTH)</t>
        </is>
      </c>
      <c r="M167" s="6" t="inlineStr">
        <is>
          <t>S19</t>
        </is>
      </c>
      <c r="N167" s="6" t="inlineStr">
        <is>
          <t>Team</t>
        </is>
      </c>
      <c r="O167" s="6" t="inlineStr">
        <is>
          <t>Needs an AUTH and a protocol</t>
        </is>
      </c>
      <c r="P167" s="6" t="inlineStr">
        <is>
          <t>No</t>
        </is>
      </c>
      <c r="Q167" s="6" t="inlineStr">
        <is>
          <t>Assumption</t>
        </is>
      </c>
      <c r="R167" s="6" t="inlineStr">
        <is>
          <t>Sub-item</t>
        </is>
      </c>
      <c r="S167" s="6" t="inlineStr">
        <is>
          <t>C-S09</t>
        </is>
      </c>
      <c r="T167" s="6" t="inlineStr">
        <is>
          <t>Recovery assumption RA7.</t>
        </is>
      </c>
      <c r="U167" s="6" t="inlineStr">
        <is>
          <t>Assumption.</t>
        </is>
      </c>
      <c r="V167" s="6" t="inlineStr">
        <is>
          <t>Tested end-to-end.</t>
        </is>
      </c>
      <c r="W167" s="6" t="inlineStr">
        <is>
          <t>C-D09, C-D08</t>
        </is>
      </c>
      <c r="X167" s="6" t="inlineStr"/>
      <c r="Y167" s="6" t="inlineStr"/>
      <c r="Z167" s="6" t="inlineStr"/>
      <c r="AA167" s="6" t="inlineStr"/>
      <c r="AB167" s="6" t="inlineStr">
        <is>
          <t>DATA</t>
        </is>
      </c>
      <c r="AC167" s="6" t="inlineStr">
        <is>
          <t>n/a (sub-item)</t>
        </is>
      </c>
      <c r="AD167" s="6" t="inlineStr">
        <is>
          <t>NEW (SRC-11 sub-row)</t>
        </is>
      </c>
      <c r="AE167" s="6" t="inlineStr">
        <is>
          <t>2026-10-19</t>
        </is>
      </c>
      <c r="AF167" s="6" t="inlineStr">
        <is>
          <t>v3-02 section 4</t>
        </is>
      </c>
      <c r="AG167" s="6" t="inlineStr"/>
      <c r="AH167" s="6" t="inlineStr">
        <is>
          <t>Yes</t>
        </is>
      </c>
      <c r="AI167" s="6" t="inlineStr"/>
      <c r="AJ167" s="6" t="inlineStr">
        <is>
          <t>repo: v3-02 section 4</t>
        </is>
      </c>
      <c r="AK167" s="6" t="inlineStr">
        <is>
          <t>RA7</t>
        </is>
      </c>
      <c r="AL167" s="6" t="inlineStr">
        <is>
          <t>S19</t>
        </is>
      </c>
    </row>
    <row r="168" ht="40.5" customHeight="1">
      <c r="A168" s="5" t="inlineStr">
        <is>
          <t>C-S09</t>
        </is>
      </c>
      <c r="B168" s="6" t="inlineStr">
        <is>
          <t>Deferred-schema argument errors vs zero-call/under-invocation, measured as a pair.</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K8 Search initiation &amp; recovery</t>
        </is>
      </c>
      <c r="I168" s="6" t="inlineStr">
        <is>
          <t>G3 Before confirmatory study</t>
        </is>
      </c>
      <c r="J168" s="6" t="inlineStr">
        <is>
          <t>Normal</t>
        </is>
      </c>
      <c r="K168" s="6" t="n">
        <v>172</v>
      </c>
      <c r="L168" s="6" t="inlineStr">
        <is>
          <t>W3 Pilots (AUTH)</t>
        </is>
      </c>
      <c r="M168" s="6" t="inlineStr">
        <is>
          <t>S19</t>
        </is>
      </c>
      <c r="N168" s="6" t="inlineStr">
        <is>
          <t>Team</t>
        </is>
      </c>
      <c r="O168" s="6" t="inlineStr">
        <is>
          <t>Needs an AUTH and a protocol</t>
        </is>
      </c>
      <c r="P168" s="6" t="inlineStr">
        <is>
          <t>No</t>
        </is>
      </c>
      <c r="Q168" s="6" t="inlineStr">
        <is>
          <t>Scientific unknown</t>
        </is>
      </c>
      <c r="R168" s="6" t="inlineStr">
        <is>
          <t>Item</t>
        </is>
      </c>
      <c r="S168" s="6" t="inlineStr"/>
      <c r="T168" s="6" t="inlineStr">
        <is>
          <t>Deferred-schema argument errors vs zero-call/under-invocation, measured as a pair.</t>
        </is>
      </c>
      <c r="U168" s="6" t="inlineStr">
        <is>
          <t>Related only: under-calling in small-model settings; nothing on deferred schemas.</t>
        </is>
      </c>
      <c r="V168" s="6" t="inlineStr">
        <is>
          <t>Eager vs deferred with parameter errors, no-call and success as separate outcomes.</t>
        </is>
      </c>
      <c r="W168" s="6" t="inlineStr">
        <is>
          <t>C-D09, C-D08, C-S16</t>
        </is>
      </c>
      <c r="X168" s="6" t="inlineStr">
        <is>
          <t>C-S08</t>
        </is>
      </c>
      <c r="Y168" s="6" t="inlineStr"/>
      <c r="Z168" s="6" t="inlineStr"/>
      <c r="AA168" s="6" t="inlineStr"/>
      <c r="AB168" s="6" t="inlineStr">
        <is>
          <t>DATA</t>
        </is>
      </c>
      <c r="AC168" s="6" t="inlineStr">
        <is>
          <t>OPEN</t>
        </is>
      </c>
      <c r="AD168" s="6" t="inlineStr">
        <is>
          <t>UNCHANGED</t>
        </is>
      </c>
      <c r="AE168" s="6" t="inlineStr">
        <is>
          <t>2026-10-19</t>
        </is>
      </c>
      <c r="AF168" s="6" t="inlineStr">
        <is>
          <t>v4-05 Round 5</t>
        </is>
      </c>
      <c r="AG168" s="6" t="inlineStr"/>
      <c r="AH168" s="6" t="inlineStr">
        <is>
          <t>Yes</t>
        </is>
      </c>
      <c r="AI168" s="6" t="inlineStr"/>
      <c r="AJ168" s="6" t="inlineStr">
        <is>
          <t>SRC-11 canonical</t>
        </is>
      </c>
      <c r="AK168" s="6" t="inlineStr">
        <is>
          <t>SRC-06 S22, SRC-06 S23, SRC-07 20</t>
        </is>
      </c>
      <c r="AL168" s="6" t="inlineStr">
        <is>
          <t>S19</t>
        </is>
      </c>
    </row>
    <row r="169" ht="28" customHeight="1">
      <c r="A169" s="5" t="inlineStr">
        <is>
          <t>C-X02</t>
        </is>
      </c>
      <c r="B169" s="6" t="inlineStr">
        <is>
          <t>E2: the omission/search test that answers C-S08.</t>
        </is>
      </c>
      <c r="C169" s="6" t="inlineStr">
        <is>
          <t>UNRUN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K8 Search initiation &amp; recovery</t>
        </is>
      </c>
      <c r="I169" s="6" t="inlineStr">
        <is>
          <t>G3 Before confirmatory study</t>
        </is>
      </c>
      <c r="J169" s="6" t="inlineStr">
        <is>
          <t>Normal</t>
        </is>
      </c>
      <c r="K169" s="6" t="n">
        <v>173</v>
      </c>
      <c r="L169" s="6" t="inlineStr">
        <is>
          <t>W3 Pilots (AUTH)</t>
        </is>
      </c>
      <c r="M169" s="6" t="inlineStr">
        <is>
          <t>S19</t>
        </is>
      </c>
      <c r="N169" s="6" t="inlineStr">
        <is>
          <t>Team</t>
        </is>
      </c>
      <c r="O169" s="6" t="inlineStr">
        <is>
          <t>Needs an AUTH and a protocol</t>
        </is>
      </c>
      <c r="P169" s="6" t="inlineStr">
        <is>
          <t>No</t>
        </is>
      </c>
      <c r="Q169" s="6" t="inlineStr">
        <is>
          <t>Test</t>
        </is>
      </c>
      <c r="R169" s="6" t="inlineStr">
        <is>
          <t>Check</t>
        </is>
      </c>
      <c r="S169" s="6" t="inlineStr"/>
      <c r="T169" s="6" t="inlineStr">
        <is>
          <t>E2: the omission/search test that answers C-S08.</t>
        </is>
      </c>
      <c r="U169" s="6" t="inlineStr">
        <is>
          <t>Pilot 2 reframed; not run.</t>
        </is>
      </c>
      <c r="V169" s="6" t="inlineStr">
        <is>
          <t>Same as C-S08.</t>
        </is>
      </c>
      <c r="W169" s="6" t="inlineStr">
        <is>
          <t>C-D09, C-D08, C-S16</t>
        </is>
      </c>
      <c r="X169" s="6" t="inlineStr">
        <is>
          <t>C-D03, C-D11</t>
        </is>
      </c>
      <c r="Y169" s="6" t="inlineStr"/>
      <c r="Z169" s="6" t="inlineStr"/>
      <c r="AA169" s="6" t="inlineStr"/>
      <c r="AB169" s="6" t="inlineStr">
        <is>
          <t>DATA</t>
        </is>
      </c>
      <c r="AC169" s="6" t="inlineStr">
        <is>
          <t>NO RESULT - OPEN</t>
        </is>
      </c>
      <c r="AD169" s="6" t="inlineStr">
        <is>
          <t>UNCHANGED</t>
        </is>
      </c>
      <c r="AE169" s="6" t="inlineStr">
        <is>
          <t>2026-10-19</t>
        </is>
      </c>
      <c r="AF169" s="6" t="inlineStr">
        <is>
          <t>v4-05 section 2 item 3</t>
        </is>
      </c>
      <c r="AG169" s="6" t="inlineStr"/>
      <c r="AH169" s="6" t="inlineStr">
        <is>
          <t>Yes</t>
        </is>
      </c>
      <c r="AI169" s="6" t="inlineStr"/>
      <c r="AJ169" s="6" t="inlineStr">
        <is>
          <t>SRC-11 canonical</t>
        </is>
      </c>
      <c r="AK169" s="6" t="inlineStr">
        <is>
          <t>E2</t>
        </is>
      </c>
      <c r="AL169" s="6" t="inlineStr">
        <is>
          <t>S19</t>
        </is>
      </c>
    </row>
    <row r="170" ht="40.5" customHeight="1">
      <c r="A170" s="5" t="inlineStr">
        <is>
          <t>C-S13/CALIB</t>
        </is>
      </c>
      <c r="B170" s="6" t="inlineStr">
        <is>
          <t>Calibration tolerance and 'roughly constant' for extrapolation above n_fit are undefined</t>
        </is>
      </c>
      <c r="C170" s="6" t="inlineStr">
        <is>
          <t>OPEN</t>
        </is>
      </c>
      <c r="D170" s="6">
        <f>IFERROR(INDEX(Lists!$B$2:$B$14,MATCH(C170,Lists!$A$2:$A$14,0)),"?")</f>
        <v/>
      </c>
      <c r="E170" s="6">
        <f>IF(COUNTIFS(Links!$B$2:$B$600,A170,Links!$E$2:$E$600,"Yes")&gt;0,"REVISE","")</f>
        <v/>
      </c>
      <c r="F170" s="6">
        <f>COUNTIFS(Links!$B$2:$B$600,A170,Links!$D$2:$D$600,"No",Links!$C$2:$C$600,"&lt;&gt;INFORMS")</f>
        <v/>
      </c>
      <c r="G170" s="10" t="inlineStr">
        <is>
          <t>JOAA-DECISION</t>
        </is>
      </c>
      <c r="H170" s="6" t="inlineStr">
        <is>
          <t>K7 Large-catalogue reference</t>
        </is>
      </c>
      <c r="I170" s="6" t="inlineStr">
        <is>
          <t>G3 Before confirmatory study</t>
        </is>
      </c>
      <c r="J170" s="6" t="inlineStr">
        <is>
          <t>Normal</t>
        </is>
      </c>
      <c r="K170" s="6" t="n">
        <v>174</v>
      </c>
      <c r="L170" s="6" t="inlineStr">
        <is>
          <t>W3 Pilots (AUTH)</t>
        </is>
      </c>
      <c r="M170" s="6" t="inlineStr">
        <is>
          <t>S20</t>
        </is>
      </c>
      <c r="N170" s="6" t="inlineStr">
        <is>
          <t>Team + Joaa</t>
        </is>
      </c>
      <c r="O170" s="6" t="inlineStr">
        <is>
          <t>Ask Joaa (Q-J13)</t>
        </is>
      </c>
      <c r="P170" s="6" t="inlineStr">
        <is>
          <t>No</t>
        </is>
      </c>
      <c r="Q170" s="6" t="inlineStr">
        <is>
          <t>Scientific unknown</t>
        </is>
      </c>
      <c r="R170" s="6" t="inlineStr">
        <is>
          <t>Sub-item</t>
        </is>
      </c>
      <c r="S170" s="6" t="inlineStr">
        <is>
          <t>C-S13</t>
        </is>
      </c>
      <c r="T170" s="6" t="inlineStr">
        <is>
          <t>R-pool calibration has no acceptance criterion; 'roughly constant' gap and the extrapolation above n_fit are assumptions; the claim above n_fit is only a trend.</t>
        </is>
      </c>
      <c r="U170" s="6" t="inlineStr">
        <is>
          <t>Documented as unresolved.</t>
        </is>
      </c>
      <c r="V170" s="6" t="inlineStr">
        <is>
          <t>A human-set tolerance and regression definition recorded.</t>
        </is>
      </c>
      <c r="W170" s="6" t="inlineStr"/>
      <c r="X170" s="6" t="inlineStr"/>
      <c r="Y170" s="6" t="inlineStr">
        <is>
          <t>Q-J13</t>
        </is>
      </c>
      <c r="Z170" s="6" t="inlineStr">
        <is>
          <t>DESK-ANALYSIS</t>
        </is>
      </c>
      <c r="AA170" s="6" t="inlineStr"/>
      <c r="AB170" s="6" t="inlineStr">
        <is>
          <t>DEC</t>
        </is>
      </c>
      <c r="AC170" s="6" t="inlineStr">
        <is>
          <t>n/a (sub-item)</t>
        </is>
      </c>
      <c r="AD170" s="6" t="inlineStr">
        <is>
          <t>NEW (SRC-11 sub-row)</t>
        </is>
      </c>
      <c r="AE170" s="6" t="inlineStr">
        <is>
          <t>2026-10-19</t>
        </is>
      </c>
      <c r="AF170" s="6" t="inlineStr">
        <is>
          <t>v4-02 section 4</t>
        </is>
      </c>
      <c r="AG170" s="6" t="inlineStr"/>
      <c r="AH170" s="6" t="inlineStr">
        <is>
          <t>Yes</t>
        </is>
      </c>
      <c r="AI170" s="6" t="inlineStr"/>
      <c r="AJ170" s="6" t="inlineStr">
        <is>
          <t>repo: v4-02 section 4 / v4-03 section 5</t>
        </is>
      </c>
      <c r="AK170" s="6" t="inlineStr">
        <is>
          <t>RV-0005 R5, RV-0005 R6</t>
        </is>
      </c>
      <c r="AL170" s="6" t="inlineStr">
        <is>
          <t>S09</t>
        </is>
      </c>
    </row>
    <row r="171" ht="53" customHeight="1">
      <c r="A171" s="5" t="inlineStr">
        <is>
          <t>C-S13/POOLDIR</t>
        </is>
      </c>
      <c r="B171" s="6" t="inlineStr">
        <is>
          <t>R-pool vs expose-all: is it a harder or an easier success bar? (retained disagreement)</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K7 Large-catalogue reference</t>
        </is>
      </c>
      <c r="I171" s="6" t="inlineStr">
        <is>
          <t>G3 Before confirmatory study</t>
        </is>
      </c>
      <c r="J171" s="6" t="inlineStr">
        <is>
          <t>Normal</t>
        </is>
      </c>
      <c r="K171" s="6" t="n">
        <v>175</v>
      </c>
      <c r="L171" s="6" t="inlineStr">
        <is>
          <t>W3 Pilots (AUTH)</t>
        </is>
      </c>
      <c r="M171" s="6" t="inlineStr">
        <is>
          <t>S20</t>
        </is>
      </c>
      <c r="N171" s="6" t="inlineStr">
        <is>
          <t>Team + Joaa</t>
        </is>
      </c>
      <c r="O171" s="6" t="inlineStr">
        <is>
          <t>Needs an AUTH and a protocol</t>
        </is>
      </c>
      <c r="P171" s="6" t="inlineStr">
        <is>
          <t>No</t>
        </is>
      </c>
      <c r="Q171" s="6" t="inlineStr">
        <is>
          <t>Disagreement</t>
        </is>
      </c>
      <c r="R171" s="6" t="inlineStr">
        <is>
          <t>Sub-item</t>
        </is>
      </c>
      <c r="S171" s="6" t="inlineStr">
        <is>
          <t>C-S13</t>
        </is>
      </c>
      <c r="T171" s="6" t="inlineStr">
        <is>
          <t>Two readings are kept: R-pool has full reachability and little distraction (harder bar if its success &gt;= expose-all's), or a gold-derived pool is weaker and favours restriction. Neither is derived; the only evidence is one cell (44.0 vs 36.0, +/-8).</t>
        </is>
      </c>
      <c r="U171" s="6" t="inlineStr">
        <is>
          <t>Documented as unresolved.</t>
        </is>
      </c>
      <c r="V171" s="6" t="inlineStr">
        <is>
          <t>Calibration of R-pool against R-full where both exist.</t>
        </is>
      </c>
      <c r="W171" s="6" t="inlineStr"/>
      <c r="X171" s="6" t="inlineStr"/>
      <c r="Y171" s="6" t="inlineStr">
        <is>
          <t>Q-J13</t>
        </is>
      </c>
      <c r="Z171" s="6" t="inlineStr"/>
      <c r="AA171" s="6" t="inlineStr"/>
      <c r="AB171" s="6" t="inlineStr">
        <is>
          <t>DATA+BOUND</t>
        </is>
      </c>
      <c r="AC171" s="6" t="inlineStr">
        <is>
          <t>n/a (sub-item)</t>
        </is>
      </c>
      <c r="AD171" s="6" t="inlineStr">
        <is>
          <t>NEW (SRC-11 sub-row)</t>
        </is>
      </c>
      <c r="AE171" s="6" t="inlineStr">
        <is>
          <t>2026-10-19</t>
        </is>
      </c>
      <c r="AF171" s="6" t="inlineStr">
        <is>
          <t>v4-02 section 4</t>
        </is>
      </c>
      <c r="AG171" s="6" t="inlineStr"/>
      <c r="AH171" s="6" t="inlineStr">
        <is>
          <t>Yes</t>
        </is>
      </c>
      <c r="AI171" s="6" t="inlineStr"/>
      <c r="AJ171" s="6" t="inlineStr">
        <is>
          <t>repo: v4-02 section 4 / v4-03 section 5</t>
        </is>
      </c>
      <c r="AK171" s="6" t="inlineStr">
        <is>
          <t>CH-0051, RV-0005 R5</t>
        </is>
      </c>
      <c r="AL171" s="6" t="inlineStr">
        <is>
          <t>S09</t>
        </is>
      </c>
    </row>
    <row r="172" ht="40.5" customHeight="1">
      <c r="A172" s="5" t="inlineStr">
        <is>
          <t>C-S13/POOLPARAMS</t>
        </is>
      </c>
      <c r="B172" s="6" t="inlineStr">
        <is>
          <t>R-pool distractor rule, seed and size m unset</t>
        </is>
      </c>
      <c r="C172" s="6" t="inlineStr">
        <is>
          <t>OPEN</t>
        </is>
      </c>
      <c r="D172" s="6">
        <f>IFERROR(INDEX(Lists!$B$2:$B$14,MATCH(C172,Lists!$A$2:$A$14,0)),"?")</f>
        <v/>
      </c>
      <c r="E172" s="6">
        <f>IF(COUNTIFS(Links!$B$2:$B$600,A172,Links!$E$2:$E$600,"Yes")&gt;0,"REVISE","")</f>
        <v/>
      </c>
      <c r="F172" s="6">
        <f>COUNTIFS(Links!$B$2:$B$600,A172,Links!$D$2:$D$600,"No",Links!$C$2:$C$600,"&lt;&gt;INFORMS")</f>
        <v/>
      </c>
      <c r="G172" s="13" t="inlineStr">
        <is>
          <t>DESK-ANALYSIS</t>
        </is>
      </c>
      <c r="H172" s="6" t="inlineStr">
        <is>
          <t>K7 Large-catalogue reference</t>
        </is>
      </c>
      <c r="I172" s="6" t="inlineStr">
        <is>
          <t>G3 Before confirmatory study</t>
        </is>
      </c>
      <c r="J172" s="6" t="inlineStr">
        <is>
          <t>Normal</t>
        </is>
      </c>
      <c r="K172" s="6" t="n">
        <v>176</v>
      </c>
      <c r="L172" s="6" t="inlineStr">
        <is>
          <t>W3 Pilots (AUTH)</t>
        </is>
      </c>
      <c r="M172" s="6" t="inlineStr">
        <is>
          <t>S20</t>
        </is>
      </c>
      <c r="N172" s="6" t="inlineStr">
        <is>
          <t>Team + Joaa</t>
        </is>
      </c>
      <c r="O172" s="6" t="inlineStr">
        <is>
          <t>Lead computes or writes it (no model runs)</t>
        </is>
      </c>
      <c r="P172" s="6" t="inlineStr">
        <is>
          <t>No</t>
        </is>
      </c>
      <c r="Q172" s="6" t="inlineStr">
        <is>
          <t>Scientific unknown</t>
        </is>
      </c>
      <c r="R172" s="6" t="inlineStr">
        <is>
          <t>Sub-item</t>
        </is>
      </c>
      <c r="S172" s="6" t="inlineStr">
        <is>
          <t>C-S13</t>
        </is>
      </c>
      <c r="T172" s="6" t="inlineStr">
        <is>
          <t>The distractor distribution, seed and m (R-pool size) are design choices that are unset; random and near-miss distractors give different difficulty.</t>
        </is>
      </c>
      <c r="U172" s="6" t="inlineStr">
        <is>
          <t>Documented as unresolved.</t>
        </is>
      </c>
      <c r="V172" s="6" t="inlineStr">
        <is>
          <t>Rule, seed and m fixed in the contract.</t>
        </is>
      </c>
      <c r="W172" s="6" t="inlineStr"/>
      <c r="X172" s="6" t="inlineStr"/>
      <c r="Y172" s="6" t="inlineStr"/>
      <c r="Z172" s="6" t="inlineStr"/>
      <c r="AA172" s="6" t="inlineStr"/>
      <c r="AB172" s="6" t="inlineStr">
        <is>
          <t>DEC</t>
        </is>
      </c>
      <c r="AC172" s="6" t="inlineStr">
        <is>
          <t>n/a (sub-item)</t>
        </is>
      </c>
      <c r="AD172" s="6" t="inlineStr">
        <is>
          <t>NEW (SRC-11 sub-row)</t>
        </is>
      </c>
      <c r="AE172" s="6" t="inlineStr">
        <is>
          <t>2026-10-19</t>
        </is>
      </c>
      <c r="AF172" s="6" t="inlineStr">
        <is>
          <t>v4-02 section 4</t>
        </is>
      </c>
      <c r="AG172" s="6" t="inlineStr"/>
      <c r="AH172" s="6" t="inlineStr">
        <is>
          <t>Yes</t>
        </is>
      </c>
      <c r="AI172" s="6" t="inlineStr"/>
      <c r="AJ172" s="6" t="inlineStr">
        <is>
          <t>repo: v4-02 section 4 / v4-03 section 5</t>
        </is>
      </c>
      <c r="AK172" s="6" t="inlineStr"/>
      <c r="AL172" s="6" t="inlineStr">
        <is>
          <t>S09</t>
        </is>
      </c>
    </row>
    <row r="173" ht="53" customHeight="1">
      <c r="A173" s="5" t="inlineStr">
        <is>
          <t>C-S13</t>
        </is>
      </c>
      <c r="B173" s="6" t="inlineStr">
        <is>
          <t>Is the substitute reference valid, and how does it relate to true full exposure?</t>
        </is>
      </c>
      <c r="C173" s="6" t="inlineStr">
        <is>
          <t>PARTLY ANSWERED</t>
        </is>
      </c>
      <c r="D173" s="6">
        <f>IFERROR(INDEX(Lists!$B$2:$B$14,MATCH(C173,Lists!$A$2:$A$14,0)),"?")</f>
        <v/>
      </c>
      <c r="E173" s="6">
        <f>IF(COUNTIFS(Links!$B$2:$B$600,A173,Links!$E$2:$E$600,"Yes")&gt;0,"REVISE","")</f>
        <v/>
      </c>
      <c r="F173" s="6">
        <f>COUNTIFS(Links!$B$2:$B$600,A173,Links!$D$2:$D$600,"No",Links!$C$2:$C$600,"&lt;&gt;INFORMS")</f>
        <v/>
      </c>
      <c r="G173" s="17" t="inlineStr">
        <is>
          <t>TEST-PILOT</t>
        </is>
      </c>
      <c r="H173" s="6" t="inlineStr">
        <is>
          <t>K7 Large-catalogue reference</t>
        </is>
      </c>
      <c r="I173" s="6" t="inlineStr">
        <is>
          <t>G3 Before confirmatory study</t>
        </is>
      </c>
      <c r="J173" s="6" t="inlineStr">
        <is>
          <t>Normal</t>
        </is>
      </c>
      <c r="K173" s="6" t="n">
        <v>177</v>
      </c>
      <c r="L173" s="6" t="inlineStr">
        <is>
          <t>W3 Pilots (AUTH)</t>
        </is>
      </c>
      <c r="M173" s="6" t="inlineStr">
        <is>
          <t>S20</t>
        </is>
      </c>
      <c r="N173" s="6" t="inlineStr">
        <is>
          <t>Team (+Joaa on margin)</t>
        </is>
      </c>
      <c r="O173" s="6" t="inlineStr">
        <is>
          <t>Needs an AUTH and a protocol</t>
        </is>
      </c>
      <c r="P173" s="6" t="inlineStr">
        <is>
          <t>Partly</t>
        </is>
      </c>
      <c r="Q173" s="6" t="inlineStr">
        <is>
          <t>Scientific unknown</t>
        </is>
      </c>
      <c r="R173" s="6" t="inlineStr">
        <is>
          <t>Item</t>
        </is>
      </c>
      <c r="S173" s="6" t="inlineStr"/>
      <c r="T173" s="6" t="inlineStr">
        <is>
          <t>Is the substitute reference valid, and how does it relate to true full exposure?</t>
        </is>
      </c>
      <c r="U173" s="6" t="inlineStr">
        <is>
          <t>v3's substitute rule was found undefined for catalogues and replaced by a reference ladder (R-full, R-pool, frontier); R-pool's direction is unresolved.</t>
        </is>
      </c>
      <c r="V173" s="6" t="inlineStr">
        <is>
          <t>R-pool calibrated against R-full where both exist; above n_fit only substitute-relative claims.</t>
        </is>
      </c>
      <c r="W173" s="6" t="inlineStr">
        <is>
          <t>C-D09, C-D08, C-E06</t>
        </is>
      </c>
      <c r="X173" s="6" t="inlineStr">
        <is>
          <t>C-S12</t>
        </is>
      </c>
      <c r="Y173" s="6" t="inlineStr">
        <is>
          <t>Q-J13, Q-U03</t>
        </is>
      </c>
      <c r="Z173" s="6" t="inlineStr">
        <is>
          <t>ACCEPT-LIMITATION, JOAA-DECISION</t>
        </is>
      </c>
      <c r="AA173" s="6" t="inlineStr">
        <is>
          <t>K5 Evaluation contract</t>
        </is>
      </c>
      <c r="AB173" s="6" t="inlineStr">
        <is>
          <t>DATA+BOUND</t>
        </is>
      </c>
      <c r="AC173" s="6" t="inlineStr">
        <is>
          <t>PARTLY ANSWERED - OPEN</t>
        </is>
      </c>
      <c r="AD173" s="6" t="inlineStr">
        <is>
          <t>RE-CHARACTERISED</t>
        </is>
      </c>
      <c r="AE173" s="6" t="inlineStr">
        <is>
          <t>2026-10-19</t>
        </is>
      </c>
      <c r="AF173" s="6" t="inlineStr">
        <is>
          <t>v4-02 section 4; v4-03 section 1 row 5</t>
        </is>
      </c>
      <c r="AG173" s="6" t="inlineStr"/>
      <c r="AH173" s="6" t="inlineStr">
        <is>
          <t>Yes</t>
        </is>
      </c>
      <c r="AI173" s="6" t="inlineStr"/>
      <c r="AJ173" s="6" t="inlineStr">
        <is>
          <t>SRC-11 canonical</t>
        </is>
      </c>
      <c r="AK173" s="6" t="inlineStr">
        <is>
          <t>SRC-06 S31, SRC-07 18, SRC-07 32, v3-04 objection 5, CH-0038</t>
        </is>
      </c>
      <c r="AL173" s="6" t="inlineStr">
        <is>
          <t>S09</t>
        </is>
      </c>
    </row>
    <row r="174" ht="40.5" customHeight="1">
      <c r="A174" s="5" t="inlineStr">
        <is>
          <t>AS-12</t>
        </is>
      </c>
      <c r="B174" s="6" t="inlineStr">
        <is>
          <t>Supervisor assertion A12: LLM behaviour does not transfer across models</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K5 Evaluation contract</t>
        </is>
      </c>
      <c r="I174" s="6" t="inlineStr">
        <is>
          <t>G4 Before claims</t>
        </is>
      </c>
      <c r="J174" s="6" t="inlineStr">
        <is>
          <t>Normal</t>
        </is>
      </c>
      <c r="K174" s="6" t="n">
        <v>178</v>
      </c>
      <c r="L174" s="6" t="inlineStr">
        <is>
          <t>W3 Pilots (AUTH)</t>
        </is>
      </c>
      <c r="M174" s="6" t="inlineStr">
        <is>
          <t>S20</t>
        </is>
      </c>
      <c r="N174" s="6" t="inlineStr">
        <is>
          <t>Lead / team</t>
        </is>
      </c>
      <c r="O174" s="6" t="inlineStr">
        <is>
          <t>Needs an AUTH and a protocol</t>
        </is>
      </c>
      <c r="P174" s="6" t="inlineStr">
        <is>
          <t>No</t>
        </is>
      </c>
      <c r="Q174" s="6" t="inlineStr">
        <is>
          <t>Claim to test</t>
        </is>
      </c>
      <c r="R174" s="6" t="inlineStr">
        <is>
          <t>Item</t>
        </is>
      </c>
      <c r="S174" s="6" t="inlineStr"/>
      <c r="T174" s="6" t="inlineStr">
        <is>
          <t>REQ-A1 A12: LLM behaviour does not transfer across models. Empirical claim; affects how many evaluation models are needed (U12).</t>
        </is>
      </c>
      <c r="U174" s="6" t="inlineStr">
        <is>
          <t>Recorded as the supervisor's position, to test, not to assume.</t>
        </is>
      </c>
      <c r="V174" s="6" t="inlineStr">
        <is>
          <t>Empirical claim; affects how many evaluation models are needed (U12).</t>
        </is>
      </c>
      <c r="W174" s="6" t="inlineStr"/>
      <c r="X174" s="6" t="inlineStr"/>
      <c r="Y174" s="6" t="inlineStr">
        <is>
          <t>Q-J21</t>
        </is>
      </c>
      <c r="Z174" s="6" t="inlineStr"/>
      <c r="AA174" s="6" t="inlineStr"/>
      <c r="AB174" s="6" t="inlineStr">
        <is>
          <t>DATA</t>
        </is>
      </c>
      <c r="AC174" s="6" t="inlineStr">
        <is>
          <t>n/a (REGISTER E)</t>
        </is>
      </c>
      <c r="AD174" s="6" t="inlineStr">
        <is>
          <t>NEW (repo sweep)</t>
        </is>
      </c>
      <c r="AE174" s="6" t="inlineStr">
        <is>
          <t>2026-10-19</t>
        </is>
      </c>
      <c r="AF174" s="6" t="inlineStr">
        <is>
          <t>evidence/extracts/EXT-0004.md; REGISTER section E</t>
        </is>
      </c>
      <c r="AG174" s="6" t="inlineStr"/>
      <c r="AH174" s="6" t="inlineStr">
        <is>
          <t>Yes</t>
        </is>
      </c>
      <c r="AI174" s="6" t="inlineStr"/>
      <c r="AJ174" s="6" t="inlineStr">
        <is>
          <t>repo: REGISTER section E / EXT-0004</t>
        </is>
      </c>
      <c r="AK174" s="6" t="inlineStr">
        <is>
          <t>REQ-A1 A12</t>
        </is>
      </c>
      <c r="AL174" s="6" t="inlineStr">
        <is>
          <t>S11</t>
        </is>
      </c>
    </row>
    <row r="175" ht="40.5" customHeight="1">
      <c r="A175" s="5" t="inlineStr">
        <is>
          <t>AS-06</t>
        </is>
      </c>
      <c r="B175" s="6" t="inlineStr">
        <is>
          <t>Supervisor assertion A6: ~50% token reduction is 'low-hanging fruit' with no accuracy loss; 50% to 10% is the hard part</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K12 Selector &amp; need estimation</t>
        </is>
      </c>
      <c r="I175" s="6" t="inlineStr">
        <is>
          <t>G4 Before claims</t>
        </is>
      </c>
      <c r="J175" s="6" t="inlineStr">
        <is>
          <t>Normal</t>
        </is>
      </c>
      <c r="K175" s="6" t="n">
        <v>179</v>
      </c>
      <c r="L175" s="6" t="inlineStr">
        <is>
          <t>W3 Pilots (AUTH)</t>
        </is>
      </c>
      <c r="M175" s="6" t="inlineStr">
        <is>
          <t>S20</t>
        </is>
      </c>
      <c r="N175" s="6" t="inlineStr">
        <is>
          <t>Lead / team</t>
        </is>
      </c>
      <c r="O175" s="6" t="inlineStr">
        <is>
          <t>Needs an AUTH and a protocol</t>
        </is>
      </c>
      <c r="P175" s="6" t="inlineStr">
        <is>
          <t>No</t>
        </is>
      </c>
      <c r="Q175" s="6" t="inlineStr">
        <is>
          <t>Claim to test</t>
        </is>
      </c>
      <c r="R175" s="6" t="inlineStr">
        <is>
          <t>Item</t>
        </is>
      </c>
      <c r="S175" s="6" t="inlineStr"/>
      <c r="T175" s="6" t="inlineStr">
        <is>
          <t>REQ-A1 A6: ~50% token reduction is 'low-hanging fruit' with no accuracy loss; 50% to 10% is the hard part. Quantitative claim; needs sources or measurement (the same premise as C-S15).</t>
        </is>
      </c>
      <c r="U175" s="6" t="inlineStr">
        <is>
          <t>Recorded as the supervisor's position, to test, not to assume.</t>
        </is>
      </c>
      <c r="V175" s="6" t="inlineStr">
        <is>
          <t>Quantitative claim; needs sources or measurement (the same premise as C-S15).</t>
        </is>
      </c>
      <c r="W175" s="6" t="inlineStr">
        <is>
          <t>C-D09, C-D08</t>
        </is>
      </c>
      <c r="X175" s="6" t="inlineStr"/>
      <c r="Y175" s="6" t="inlineStr"/>
      <c r="Z175" s="6" t="inlineStr"/>
      <c r="AA175" s="6" t="inlineStr"/>
      <c r="AB175" s="6" t="inlineStr">
        <is>
          <t>DATA</t>
        </is>
      </c>
      <c r="AC175" s="6" t="inlineStr">
        <is>
          <t>n/a (REGISTER E)</t>
        </is>
      </c>
      <c r="AD175" s="6" t="inlineStr">
        <is>
          <t>NEW (repo sweep)</t>
        </is>
      </c>
      <c r="AE175" s="6" t="inlineStr">
        <is>
          <t>2026-10-19</t>
        </is>
      </c>
      <c r="AF175" s="6" t="inlineStr">
        <is>
          <t>evidence/extracts/EXT-0004.md; REGISTER section E</t>
        </is>
      </c>
      <c r="AG175" s="6" t="inlineStr"/>
      <c r="AH175" s="6" t="inlineStr">
        <is>
          <t>Yes</t>
        </is>
      </c>
      <c r="AI175" s="6" t="inlineStr"/>
      <c r="AJ175" s="6" t="inlineStr">
        <is>
          <t>repo: REGISTER section E / EXT-0004</t>
        </is>
      </c>
      <c r="AK175" s="6" t="inlineStr">
        <is>
          <t>REQ-A1 A6</t>
        </is>
      </c>
      <c r="AL175" s="6" t="inlineStr">
        <is>
          <t>S11</t>
        </is>
      </c>
    </row>
    <row r="176" ht="40.5" customHeight="1">
      <c r="A176" s="5" t="inlineStr">
        <is>
          <t>AS-13</t>
        </is>
      </c>
      <c r="B176" s="6" t="inlineStr">
        <is>
          <t>Supervisor assertion A13: Filtering 100 to 60 is a safe 'big win'; names only for the lowest tier keep accuracy</t>
        </is>
      </c>
      <c r="C176" s="6" t="inlineStr">
        <is>
          <t>OPEN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K12 Selector &amp; need estimation</t>
        </is>
      </c>
      <c r="I176" s="6" t="inlineStr">
        <is>
          <t>G4 Before claims</t>
        </is>
      </c>
      <c r="J176" s="6" t="inlineStr">
        <is>
          <t>Normal</t>
        </is>
      </c>
      <c r="K176" s="6" t="n">
        <v>180</v>
      </c>
      <c r="L176" s="6" t="inlineStr">
        <is>
          <t>W3 Pilots (AUTH)</t>
        </is>
      </c>
      <c r="M176" s="6" t="inlineStr">
        <is>
          <t>S20</t>
        </is>
      </c>
      <c r="N176" s="6" t="inlineStr">
        <is>
          <t>Lead / team</t>
        </is>
      </c>
      <c r="O176" s="6" t="inlineStr">
        <is>
          <t>Needs an AUTH and a protocol</t>
        </is>
      </c>
      <c r="P176" s="6" t="inlineStr">
        <is>
          <t>No</t>
        </is>
      </c>
      <c r="Q176" s="6" t="inlineStr">
        <is>
          <t>Claim to test</t>
        </is>
      </c>
      <c r="R176" s="6" t="inlineStr">
        <is>
          <t>Item</t>
        </is>
      </c>
      <c r="S176" s="6" t="inlineStr"/>
      <c r="T176" s="6" t="inlineStr">
        <is>
          <t>REQ-A1 A13: Filtering 100 to 60 is a safe 'big win'; names only for the lowest tier keep accuracy. Untested design claim.</t>
        </is>
      </c>
      <c r="U176" s="6" t="inlineStr">
        <is>
          <t>Recorded as the supervisor's position, to test, not to assume.</t>
        </is>
      </c>
      <c r="V176" s="6" t="inlineStr">
        <is>
          <t>Untested design claim.</t>
        </is>
      </c>
      <c r="W176" s="6" t="inlineStr">
        <is>
          <t>C-D09, C-D08</t>
        </is>
      </c>
      <c r="X176" s="6" t="inlineStr"/>
      <c r="Y176" s="6" t="inlineStr"/>
      <c r="Z176" s="6" t="inlineStr"/>
      <c r="AA176" s="6" t="inlineStr"/>
      <c r="AB176" s="6" t="inlineStr">
        <is>
          <t>DATA</t>
        </is>
      </c>
      <c r="AC176" s="6" t="inlineStr">
        <is>
          <t>n/a (REGISTER E)</t>
        </is>
      </c>
      <c r="AD176" s="6" t="inlineStr">
        <is>
          <t>NEW (repo sweep)</t>
        </is>
      </c>
      <c r="AE176" s="6" t="inlineStr">
        <is>
          <t>2026-10-19</t>
        </is>
      </c>
      <c r="AF176" s="6" t="inlineStr">
        <is>
          <t>evidence/extracts/EXT-0004.md; REGISTER section E</t>
        </is>
      </c>
      <c r="AG176" s="6" t="inlineStr"/>
      <c r="AH176" s="6" t="inlineStr">
        <is>
          <t>Yes</t>
        </is>
      </c>
      <c r="AI176" s="6" t="inlineStr"/>
      <c r="AJ176" s="6" t="inlineStr">
        <is>
          <t>repo: REGISTER section E / EXT-0004</t>
        </is>
      </c>
      <c r="AK176" s="6" t="inlineStr">
        <is>
          <t>REQ-A1 A13</t>
        </is>
      </c>
      <c r="AL176" s="6" t="inlineStr">
        <is>
          <t>S11</t>
        </is>
      </c>
    </row>
    <row r="177" ht="40.5" customHeight="1">
      <c r="A177" s="5" t="inlineStr">
        <is>
          <t>C-S12</t>
        </is>
      </c>
      <c r="B177" s="6" t="inlineStr">
        <is>
          <t>Need labels and selector recall at large catalogue size have no valid estimator when the full reference can...</t>
        </is>
      </c>
      <c r="C177" s="6" t="inlineStr">
        <is>
          <t>OPEN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K12 Selector &amp; need estimation</t>
        </is>
      </c>
      <c r="I177" s="6" t="inlineStr">
        <is>
          <t>G3 Before confirmatory study</t>
        </is>
      </c>
      <c r="J177" s="6" t="inlineStr">
        <is>
          <t>Normal</t>
        </is>
      </c>
      <c r="K177" s="6" t="n">
        <v>181</v>
      </c>
      <c r="L177" s="6" t="inlineStr">
        <is>
          <t>W3 Pilots (AUTH)</t>
        </is>
      </c>
      <c r="M177" s="6" t="inlineStr">
        <is>
          <t>S20</t>
        </is>
      </c>
      <c r="N177" s="6" t="inlineStr">
        <is>
          <t>Team</t>
        </is>
      </c>
      <c r="O177" s="6" t="inlineStr">
        <is>
          <t>Needs an AUTH and a protocol</t>
        </is>
      </c>
      <c r="P177" s="6" t="inlineStr">
        <is>
          <t>No</t>
        </is>
      </c>
      <c r="Q177" s="6" t="inlineStr">
        <is>
          <t>Scientific unknown</t>
        </is>
      </c>
      <c r="R177" s="6" t="inlineStr">
        <is>
          <t>Item</t>
        </is>
      </c>
      <c r="S177" s="6" t="inlineStr"/>
      <c r="T177" s="6" t="inlineStr">
        <is>
          <t>Need labels and selector recall at large catalogue size have no valid estimator when the full reference cannot run.</t>
        </is>
      </c>
      <c r="U177" s="6" t="inlineStr">
        <is>
          <t>v4 brief: no legitimate labelled data for request-level narrowing recall.</t>
        </is>
      </c>
      <c r="V177" s="6" t="inlineStr">
        <is>
          <t>Estimator tested where the reference fits; transfer limit stated.</t>
        </is>
      </c>
      <c r="W177" s="6" t="inlineStr">
        <is>
          <t>C-D09, C-D08</t>
        </is>
      </c>
      <c r="X177" s="6" t="inlineStr">
        <is>
          <t>C-D11</t>
        </is>
      </c>
      <c r="Y177" s="6" t="inlineStr">
        <is>
          <t>Q-U03</t>
        </is>
      </c>
      <c r="Z177" s="6" t="inlineStr">
        <is>
          <t>LITERATURE-DIRECTED, ACCEPT-LIMITATION</t>
        </is>
      </c>
      <c r="AA177" s="6" t="inlineStr">
        <is>
          <t>K7 Large-catalogue reference</t>
        </is>
      </c>
      <c r="AB177" s="6" t="inlineStr">
        <is>
          <t>DATA+BOUND</t>
        </is>
      </c>
      <c r="AC177" s="6" t="inlineStr">
        <is>
          <t>OPEN</t>
        </is>
      </c>
      <c r="AD177" s="6" t="inlineStr">
        <is>
          <t>UNCHANGED</t>
        </is>
      </c>
      <c r="AE177" s="6" t="inlineStr">
        <is>
          <t>2026-10-19</t>
        </is>
      </c>
      <c r="AF177" s="6" t="inlineStr">
        <is>
          <t>v4-01 section 6 item 5</t>
        </is>
      </c>
      <c r="AG177" s="6" t="inlineStr"/>
      <c r="AH177" s="6" t="inlineStr">
        <is>
          <t>Yes</t>
        </is>
      </c>
      <c r="AI177" s="6" t="inlineStr"/>
      <c r="AJ177" s="6" t="inlineStr">
        <is>
          <t>SRC-11 canonical</t>
        </is>
      </c>
      <c r="AK177" s="6" t="inlineStr">
        <is>
          <t>SRC-06 S30, SRC-07 15, RA2, v3-04 objection 4</t>
        </is>
      </c>
      <c r="AL177" s="6" t="inlineStr">
        <is>
          <t>S13</t>
        </is>
      </c>
    </row>
    <row r="178" ht="28" customHeight="1">
      <c r="A178" s="5" t="inlineStr">
        <is>
          <t>C-S12/RA13</t>
        </is>
      </c>
      <c r="B178" s="6" t="inlineStr">
        <is>
          <t>RA13: model query vocabulary matches tool descriptions well enough</t>
        </is>
      </c>
      <c r="C178" s="6" t="inlineStr">
        <is>
          <t>OPEN</t>
        </is>
      </c>
      <c r="D178" s="6">
        <f>IFERROR(INDEX(Lists!$B$2:$B$14,MATCH(C178,Lists!$A$2:$A$14,0)),"?")</f>
        <v/>
      </c>
      <c r="E178" s="6">
        <f>IF(COUNTIFS(Links!$B$2:$B$600,A178,Links!$E$2:$E$600,"Yes")&gt;0,"REVISE","")</f>
        <v/>
      </c>
      <c r="F178" s="6">
        <f>COUNTIFS(Links!$B$2:$B$600,A178,Links!$D$2:$D$600,"No",Links!$C$2:$C$600,"&lt;&gt;INFORMS")</f>
        <v/>
      </c>
      <c r="G178" s="17" t="inlineStr">
        <is>
          <t>TEST-PILOT</t>
        </is>
      </c>
      <c r="H178" s="6" t="inlineStr">
        <is>
          <t>K12 Selector &amp; need estimation</t>
        </is>
      </c>
      <c r="I178" s="6" t="inlineStr">
        <is>
          <t>G3 Before confirmatory study</t>
        </is>
      </c>
      <c r="J178" s="6" t="inlineStr">
        <is>
          <t>Normal</t>
        </is>
      </c>
      <c r="K178" s="6" t="n">
        <v>182</v>
      </c>
      <c r="L178" s="6" t="inlineStr">
        <is>
          <t>W3 Pilots (AUTH)</t>
        </is>
      </c>
      <c r="M178" s="6" t="inlineStr">
        <is>
          <t>S20</t>
        </is>
      </c>
      <c r="N178" s="6" t="inlineStr">
        <is>
          <t>Team</t>
        </is>
      </c>
      <c r="O178" s="6" t="inlineStr">
        <is>
          <t>Needs an AUTH and a protocol</t>
        </is>
      </c>
      <c r="P178" s="6" t="inlineStr">
        <is>
          <t>No</t>
        </is>
      </c>
      <c r="Q178" s="6" t="inlineStr">
        <is>
          <t>Assumption</t>
        </is>
      </c>
      <c r="R178" s="6" t="inlineStr">
        <is>
          <t>Sub-item</t>
        </is>
      </c>
      <c r="S178" s="6" t="inlineStr">
        <is>
          <t>C-S12</t>
        </is>
      </c>
      <c r="T178" s="6" t="inlineStr">
        <is>
          <t>Recovery assumption RA13: a vocabulary mismatch is a recall failure counted in q.</t>
        </is>
      </c>
      <c r="U178" s="6" t="inlineStr">
        <is>
          <t>Assumption.</t>
        </is>
      </c>
      <c r="V178" s="6" t="inlineStr">
        <is>
          <t>Recall measured per query style.</t>
        </is>
      </c>
      <c r="W178" s="6" t="inlineStr">
        <is>
          <t>C-D09, C-D08</t>
        </is>
      </c>
      <c r="X178" s="6" t="inlineStr"/>
      <c r="Y178" s="6" t="inlineStr"/>
      <c r="Z178" s="6" t="inlineStr"/>
      <c r="AA178" s="6" t="inlineStr"/>
      <c r="AB178" s="6" t="inlineStr">
        <is>
          <t>DATA</t>
        </is>
      </c>
      <c r="AC178" s="6" t="inlineStr">
        <is>
          <t>n/a (sub-item)</t>
        </is>
      </c>
      <c r="AD178" s="6" t="inlineStr">
        <is>
          <t>NEW (SRC-11 sub-row)</t>
        </is>
      </c>
      <c r="AE178" s="6" t="inlineStr">
        <is>
          <t>2026-10-19</t>
        </is>
      </c>
      <c r="AF178" s="6" t="inlineStr">
        <is>
          <t>v3-02 section 4</t>
        </is>
      </c>
      <c r="AG178" s="6" t="inlineStr"/>
      <c r="AH178" s="6" t="inlineStr">
        <is>
          <t>Yes</t>
        </is>
      </c>
      <c r="AI178" s="6" t="inlineStr"/>
      <c r="AJ178" s="6" t="inlineStr">
        <is>
          <t>repo: v3-02 section 4</t>
        </is>
      </c>
      <c r="AK178" s="6" t="inlineStr">
        <is>
          <t>RA13</t>
        </is>
      </c>
      <c r="AL178" s="6" t="inlineStr">
        <is>
          <t>S13</t>
        </is>
      </c>
    </row>
    <row r="179" ht="40.5" customHeight="1">
      <c r="A179" s="5" t="inlineStr">
        <is>
          <t>C-S15</t>
        </is>
      </c>
      <c r="B179" s="6" t="inlineStr">
        <is>
          <t>Does a concentrated usage core exist and transfer to held-out tasks; do model-count effects hold at matched...</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K12 Selector &amp; need estimation</t>
        </is>
      </c>
      <c r="I179" s="6" t="inlineStr">
        <is>
          <t>G3 Before confirmatory study</t>
        </is>
      </c>
      <c r="J179" s="6" t="inlineStr">
        <is>
          <t>Normal</t>
        </is>
      </c>
      <c r="K179" s="6" t="n">
        <v>183</v>
      </c>
      <c r="L179" s="6" t="inlineStr">
        <is>
          <t>W3 Pilots (AUTH)</t>
        </is>
      </c>
      <c r="M179" s="6" t="inlineStr">
        <is>
          <t>S20</t>
        </is>
      </c>
      <c r="N179" s="6" t="inlineStr">
        <is>
          <t>Team</t>
        </is>
      </c>
      <c r="O179" s="6" t="inlineStr">
        <is>
          <t>Needs an AUTH and a protocol</t>
        </is>
      </c>
      <c r="P179" s="6" t="inlineStr">
        <is>
          <t>No</t>
        </is>
      </c>
      <c r="Q179" s="6" t="inlineStr">
        <is>
          <t>Scientific unknown</t>
        </is>
      </c>
      <c r="R179" s="6" t="inlineStr">
        <is>
          <t>Item</t>
        </is>
      </c>
      <c r="S179" s="6" t="inlineStr"/>
      <c r="T179" s="6" t="inlineStr">
        <is>
          <t>Does a concentrated usage core exist and transfer to held-out tasks; do model-count effects hold at matched tokens?</t>
        </is>
      </c>
      <c r="U179" s="6" t="inlineStr">
        <is>
          <t>No held-out evidence (HYP-0014 proposed); C-A already demoted to a component.</t>
        </is>
      </c>
      <c r="V179" s="6" t="inlineStr">
        <is>
          <t>Held-out core test plus matched-token contrasts.</t>
        </is>
      </c>
      <c r="W179" s="6" t="inlineStr">
        <is>
          <t>C-D09, C-D08</t>
        </is>
      </c>
      <c r="X179" s="6" t="inlineStr">
        <is>
          <t>C-D11, C-S01</t>
        </is>
      </c>
      <c r="Y179" s="6" t="inlineStr">
        <is>
          <t>Q-J27, Q-U03</t>
        </is>
      </c>
      <c r="Z179" s="6" t="inlineStr"/>
      <c r="AA179" s="6" t="inlineStr">
        <is>
          <t>K10 Token composition</t>
        </is>
      </c>
      <c r="AB179" s="6" t="inlineStr">
        <is>
          <t>DATA</t>
        </is>
      </c>
      <c r="AC179" s="6" t="inlineStr">
        <is>
          <t>OPEN</t>
        </is>
      </c>
      <c r="AD179" s="6" t="inlineStr">
        <is>
          <t>UNCHANGED</t>
        </is>
      </c>
      <c r="AE179" s="6" t="inlineStr">
        <is>
          <t>2026-10-19</t>
        </is>
      </c>
      <c r="AF179" s="6" t="inlineStr">
        <is>
          <t>HYP-0014; v4-01 section 5</t>
        </is>
      </c>
      <c r="AG179" s="6" t="inlineStr"/>
      <c r="AH179" s="6" t="inlineStr">
        <is>
          <t>Yes</t>
        </is>
      </c>
      <c r="AI179" s="6" t="inlineStr"/>
      <c r="AJ179" s="6" t="inlineStr">
        <is>
          <t>SRC-11 canonical</t>
        </is>
      </c>
      <c r="AK179" s="6" t="inlineStr">
        <is>
          <t>SRC-06 S33, SRC-06 S39, HYP-0014</t>
        </is>
      </c>
      <c r="AL179" s="6" t="inlineStr">
        <is>
          <t>S20</t>
        </is>
      </c>
    </row>
    <row r="180" ht="28" customHeight="1">
      <c r="A180" s="5" t="inlineStr">
        <is>
          <t>C-X03</t>
        </is>
      </c>
      <c r="B180" s="6" t="inlineStr">
        <is>
          <t>E3/E8: selector recall plus need-estimator check that answers C-S12.</t>
        </is>
      </c>
      <c r="C180" s="6" t="inlineStr">
        <is>
          <t>UNRUN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K12 Selector &amp; need estimation</t>
        </is>
      </c>
      <c r="I180" s="6" t="inlineStr">
        <is>
          <t>G3 Before confirmatory study</t>
        </is>
      </c>
      <c r="J180" s="6" t="inlineStr">
        <is>
          <t>Normal</t>
        </is>
      </c>
      <c r="K180" s="6" t="n">
        <v>184</v>
      </c>
      <c r="L180" s="6" t="inlineStr">
        <is>
          <t>W3 Pilots (AUTH)</t>
        </is>
      </c>
      <c r="M180" s="6" t="inlineStr">
        <is>
          <t>S20</t>
        </is>
      </c>
      <c r="N180" s="6" t="inlineStr">
        <is>
          <t>Team</t>
        </is>
      </c>
      <c r="O180" s="6" t="inlineStr">
        <is>
          <t>Needs an AUTH and a protocol</t>
        </is>
      </c>
      <c r="P180" s="6" t="inlineStr">
        <is>
          <t>No</t>
        </is>
      </c>
      <c r="Q180" s="6" t="inlineStr">
        <is>
          <t>Test</t>
        </is>
      </c>
      <c r="R180" s="6" t="inlineStr">
        <is>
          <t>Check</t>
        </is>
      </c>
      <c r="S180" s="6" t="inlineStr"/>
      <c r="T180" s="6" t="inlineStr">
        <is>
          <t>E3/E8: selector recall plus need-estimator check that answers C-S12.</t>
        </is>
      </c>
      <c r="U180" s="6" t="inlineStr">
        <is>
          <t>Not run.</t>
        </is>
      </c>
      <c r="V180" s="6" t="inlineStr">
        <is>
          <t>Same as C-S12.</t>
        </is>
      </c>
      <c r="W180" s="6" t="inlineStr">
        <is>
          <t>C-D09, C-D08</t>
        </is>
      </c>
      <c r="X180" s="6" t="inlineStr">
        <is>
          <t>C-D11</t>
        </is>
      </c>
      <c r="Y180" s="6" t="inlineStr"/>
      <c r="Z180" s="6" t="inlineStr"/>
      <c r="AA180" s="6" t="inlineStr"/>
      <c r="AB180" s="6" t="inlineStr">
        <is>
          <t>DATA</t>
        </is>
      </c>
      <c r="AC180" s="6" t="inlineStr">
        <is>
          <t>NO RESULT - OPEN</t>
        </is>
      </c>
      <c r="AD180" s="6" t="inlineStr">
        <is>
          <t>UNCHANGED</t>
        </is>
      </c>
      <c r="AE180" s="6" t="inlineStr">
        <is>
          <t>2026-10-19</t>
        </is>
      </c>
      <c r="AF180" s="6" t="inlineStr">
        <is>
          <t>v3-04 section 4</t>
        </is>
      </c>
      <c r="AG180" s="6" t="inlineStr"/>
      <c r="AH180" s="6" t="inlineStr">
        <is>
          <t>Yes</t>
        </is>
      </c>
      <c r="AI180" s="6" t="inlineStr"/>
      <c r="AJ180" s="6" t="inlineStr">
        <is>
          <t>SRC-11 canonical</t>
        </is>
      </c>
      <c r="AK180" s="6" t="inlineStr">
        <is>
          <t>E3, E8</t>
        </is>
      </c>
      <c r="AL180" s="6" t="inlineStr">
        <is>
          <t>S20</t>
        </is>
      </c>
    </row>
    <row r="181" ht="28" customHeight="1">
      <c r="A181" s="5" t="inlineStr">
        <is>
          <t>C-X04</t>
        </is>
      </c>
      <c r="B181" s="6" t="inlineStr">
        <is>
          <t>E4: substitute-reference validity check that answers C-S13.</t>
        </is>
      </c>
      <c r="C181" s="6" t="inlineStr">
        <is>
          <t>UNRUN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K7 Large-catalogue reference</t>
        </is>
      </c>
      <c r="I181" s="6" t="inlineStr">
        <is>
          <t>G3 Before confirmatory study</t>
        </is>
      </c>
      <c r="J181" s="6" t="inlineStr">
        <is>
          <t>Normal</t>
        </is>
      </c>
      <c r="K181" s="6" t="n">
        <v>185</v>
      </c>
      <c r="L181" s="6" t="inlineStr">
        <is>
          <t>W3 Pilots (AUTH)</t>
        </is>
      </c>
      <c r="M181" s="6" t="inlineStr">
        <is>
          <t>S20</t>
        </is>
      </c>
      <c r="N181" s="6" t="inlineStr">
        <is>
          <t>Team</t>
        </is>
      </c>
      <c r="O181" s="6" t="inlineStr">
        <is>
          <t>Needs an AUTH and a protocol</t>
        </is>
      </c>
      <c r="P181" s="6" t="inlineStr">
        <is>
          <t>No</t>
        </is>
      </c>
      <c r="Q181" s="6" t="inlineStr">
        <is>
          <t>Test</t>
        </is>
      </c>
      <c r="R181" s="6" t="inlineStr">
        <is>
          <t>Check</t>
        </is>
      </c>
      <c r="S181" s="6" t="inlineStr"/>
      <c r="T181" s="6" t="inlineStr">
        <is>
          <t>E4: substitute-reference validity check that answers C-S13.</t>
        </is>
      </c>
      <c r="U181" s="6" t="inlineStr">
        <is>
          <t>Not run; cannot prove equivalence at an infeasible size.</t>
        </is>
      </c>
      <c r="V181" s="6" t="inlineStr">
        <is>
          <t>Same as C-S13.</t>
        </is>
      </c>
      <c r="W181" s="6" t="inlineStr">
        <is>
          <t>C-D09, C-D08, C-E06</t>
        </is>
      </c>
      <c r="X181" s="6" t="inlineStr"/>
      <c r="Y181" s="6" t="inlineStr"/>
      <c r="Z181" s="6" t="inlineStr"/>
      <c r="AA181" s="6" t="inlineStr"/>
      <c r="AB181" s="6" t="inlineStr">
        <is>
          <t>DATA</t>
        </is>
      </c>
      <c r="AC181" s="6" t="inlineStr">
        <is>
          <t>NO RESULT - OPEN</t>
        </is>
      </c>
      <c r="AD181" s="6" t="inlineStr">
        <is>
          <t>UNCHANGED</t>
        </is>
      </c>
      <c r="AE181" s="6" t="inlineStr">
        <is>
          <t>2026-10-19</t>
        </is>
      </c>
      <c r="AF181" s="6" t="inlineStr">
        <is>
          <t>v4-02 section 4</t>
        </is>
      </c>
      <c r="AG181" s="6" t="inlineStr"/>
      <c r="AH181" s="6" t="inlineStr">
        <is>
          <t>Yes</t>
        </is>
      </c>
      <c r="AI181" s="6" t="inlineStr"/>
      <c r="AJ181" s="6" t="inlineStr">
        <is>
          <t>SRC-11 canonical</t>
        </is>
      </c>
      <c r="AK181" s="6" t="inlineStr">
        <is>
          <t>E4</t>
        </is>
      </c>
      <c r="AL181" s="6" t="inlineStr">
        <is>
          <t>S20</t>
        </is>
      </c>
    </row>
    <row r="182" ht="40.5" customHeight="1">
      <c r="A182" s="5" t="inlineStr">
        <is>
          <t>C-S20</t>
        </is>
      </c>
      <c r="B182" s="6" t="inlineStr">
        <is>
          <t>Cross-reference to the offline-cost convention, the definition share and the 40-50% premise.</t>
        </is>
      </c>
      <c r="C182" s="6" t="inlineStr">
        <is>
          <t>OPEN</t>
        </is>
      </c>
      <c r="D182" s="6">
        <f>IFERROR(INDEX(Lists!$B$2:$B$14,MATCH(C182,Lists!$A$2:$A$14,0)),"?")</f>
        <v/>
      </c>
      <c r="E182" s="6">
        <f>IF(COUNTIFS(Links!$B$2:$B$600,A182,Links!$E$2:$E$600,"Yes")&gt;0,"REVISE","")</f>
        <v/>
      </c>
      <c r="F182" s="6">
        <f>COUNTIFS(Links!$B$2:$B$600,A182,Links!$D$2:$D$600,"No",Links!$C$2:$C$600,"&lt;&gt;INFORMS")</f>
        <v/>
      </c>
      <c r="G182" s="18" t="inlineStr">
        <is>
          <t>CROSS-REFERENCE</t>
        </is>
      </c>
      <c r="H182" s="6" t="inlineStr">
        <is>
          <t>K2 Objective &amp; accounting</t>
        </is>
      </c>
      <c r="I182" s="6" t="inlineStr">
        <is>
          <t>G3 Before confirmatory study</t>
        </is>
      </c>
      <c r="J182" s="6" t="inlineStr">
        <is>
          <t>Normal</t>
        </is>
      </c>
      <c r="K182" s="6" t="n">
        <v>186</v>
      </c>
      <c r="L182" s="6" t="inlineStr">
        <is>
          <t>W3 Pilots (AUTH)</t>
        </is>
      </c>
      <c r="M182" s="6" t="inlineStr">
        <is>
          <t>S20</t>
        </is>
      </c>
      <c r="N182" s="6" t="inlineStr">
        <is>
          <t>n/a</t>
        </is>
      </c>
      <c r="O182" s="6" t="inlineStr">
        <is>
          <t>None; closes when its parents close</t>
        </is>
      </c>
      <c r="P182" s="6" t="inlineStr">
        <is>
          <t>No</t>
        </is>
      </c>
      <c r="Q182" s="6" t="inlineStr">
        <is>
          <t>Scientific unknown</t>
        </is>
      </c>
      <c r="R182" s="6" t="inlineStr">
        <is>
          <t>Item</t>
        </is>
      </c>
      <c r="S182" s="6" t="inlineStr"/>
      <c r="T182" s="6" t="inlineStr">
        <is>
          <t>Cross-reference to the offline-cost convention, the definition share and the 40-50% premise.</t>
        </is>
      </c>
      <c r="U182" s="6" t="inlineStr">
        <is>
          <t>Closes when C-S17, C-S01, C-S15 close; count their measurements once.</t>
        </is>
      </c>
      <c r="V182" s="6" t="inlineStr">
        <is>
          <t>All three pointed-to items closed.</t>
        </is>
      </c>
      <c r="W182" s="6" t="inlineStr">
        <is>
          <t>C-S17, C-S01, C-S15</t>
        </is>
      </c>
      <c r="X182" s="6" t="inlineStr"/>
      <c r="Y182" s="6" t="inlineStr">
        <is>
          <t>Q-J03, Q-J19</t>
        </is>
      </c>
      <c r="Z182" s="6" t="inlineStr"/>
      <c r="AA182" s="6" t="inlineStr">
        <is>
          <t>K10 Token composition, K12 Selector &amp; need estimation</t>
        </is>
      </c>
      <c r="AB182" s="6" t="inlineStr">
        <is>
          <t>DEC+DATA</t>
        </is>
      </c>
      <c r="AC182" s="6" t="inlineStr">
        <is>
          <t>OPEN</t>
        </is>
      </c>
      <c r="AD182" s="6" t="inlineStr">
        <is>
          <t>UNCHANGED</t>
        </is>
      </c>
      <c r="AE182" s="6" t="inlineStr">
        <is>
          <t>2026-10-19</t>
        </is>
      </c>
      <c r="AF182" s="6" t="inlineStr">
        <is>
          <t>SRC-11 C-S20</t>
        </is>
      </c>
      <c r="AG182" s="6" t="inlineStr"/>
      <c r="AH182" s="6" t="inlineStr">
        <is>
          <t>n/a</t>
        </is>
      </c>
      <c r="AI182" s="6" t="inlineStr"/>
      <c r="AJ182" s="6" t="inlineStr">
        <is>
          <t>SRC-11 canonical</t>
        </is>
      </c>
      <c r="AK182" s="6" t="inlineStr">
        <is>
          <t>SRC-06 S35, SRC-06 S39</t>
        </is>
      </c>
      <c r="AL182" s="6" t="inlineStr">
        <is>
          <t>S20</t>
        </is>
      </c>
    </row>
    <row r="183" ht="53" customHeight="1">
      <c r="A183" s="5" t="inlineStr">
        <is>
          <t>N-6</t>
        </is>
      </c>
      <c r="B183" s="6" t="inlineStr">
        <is>
          <t>Memory of which tools exist or were discovered, in a catalogue too large to expose, measured across sessions.</t>
        </is>
      </c>
      <c r="C183" s="6" t="inlineStr">
        <is>
          <t>OPEN</t>
        </is>
      </c>
      <c r="D183" s="6">
        <f>IFERROR(INDEX(Lists!$B$2:$B$14,MATCH(C183,Lists!$A$2:$A$14,0)),"?")</f>
        <v/>
      </c>
      <c r="E183" s="6">
        <f>IF(COUNTIFS(Links!$B$2:$B$600,A183,Links!$E$2:$E$600,"Yes")&gt;0,"REVISE","")</f>
        <v/>
      </c>
      <c r="F183" s="6">
        <f>COUNTIFS(Links!$B$2:$B$600,A183,Links!$D$2:$D$600,"No",Links!$C$2:$C$600,"&lt;&gt;INFORMS")</f>
        <v/>
      </c>
      <c r="G183" s="11" t="inlineStr">
        <is>
          <t>LITERATURE-DIRECTED</t>
        </is>
      </c>
      <c r="H183" s="6" t="inlineStr">
        <is>
          <t>K4 Memory &amp; sessions</t>
        </is>
      </c>
      <c r="I183" s="6" t="inlineStr">
        <is>
          <t>G3 Before confirmatory study</t>
        </is>
      </c>
      <c r="J183" s="6" t="inlineStr">
        <is>
          <t>Normal</t>
        </is>
      </c>
      <c r="K183" s="6" t="n">
        <v>187</v>
      </c>
      <c r="L183" s="6" t="inlineStr">
        <is>
          <t>W3 Pilots (AUTH)</t>
        </is>
      </c>
      <c r="M183" s="6" t="inlineStr">
        <is>
          <t>S21</t>
        </is>
      </c>
      <c r="N183" s="6" t="inlineStr">
        <is>
          <t>Lead (search); team (pilot D)</t>
        </is>
      </c>
      <c r="O183" s="6" t="inlineStr">
        <is>
          <t>Directed search (needs scope)</t>
        </is>
      </c>
      <c r="P183" s="6" t="inlineStr">
        <is>
          <t>No</t>
        </is>
      </c>
      <c r="Q183" s="6" t="inlineStr">
        <is>
          <t>Scientific unknown</t>
        </is>
      </c>
      <c r="R183" s="6" t="inlineStr">
        <is>
          <t>Item</t>
        </is>
      </c>
      <c r="S183" s="6" t="inlineStr"/>
      <c r="T183" s="6" t="inlineStr">
        <is>
          <t>Memory of which tools exist or were discovered, in a catalogue too large to expose, measured across sessions.</t>
        </is>
      </c>
      <c r="U183" s="6" t="inlineStr">
        <is>
          <t>Not answered in the sample; related evidence: Apple (bundled categories, single runs), MemToolAgent (fewer than 40 tools), skills directory cost effect (not tool definitions).</t>
        </is>
      </c>
      <c r="V183" s="6" t="inlineStr">
        <is>
          <t>Directed search for procedural/skill memory done; if still absent, a session pilot or a stated deferral.</t>
        </is>
      </c>
      <c r="W183" s="6" t="inlineStr">
        <is>
          <t>N-2</t>
        </is>
      </c>
      <c r="X183" s="6" t="inlineStr"/>
      <c r="Y183" s="6" t="inlineStr">
        <is>
          <t>Q-J05, Q-U21</t>
        </is>
      </c>
      <c r="Z183" s="6" t="inlineStr">
        <is>
          <t>TEST-PILOT, ACCEPT-LIMITATION</t>
        </is>
      </c>
      <c r="AA183" s="6" t="inlineStr">
        <is>
          <t>K8 Search initiation &amp; recovery</t>
        </is>
      </c>
      <c r="AB183" s="6" t="inlineStr"/>
      <c r="AC183" s="6" t="inlineStr">
        <is>
          <t>n/a (new)</t>
        </is>
      </c>
      <c r="AD183" s="6" t="inlineStr">
        <is>
          <t>NEW</t>
        </is>
      </c>
      <c r="AE183" s="6" t="inlineStr">
        <is>
          <t>2026-10-19</t>
        </is>
      </c>
      <c r="AF183" s="6" t="inlineStr">
        <is>
          <t>v4-05 section 1C, Round 4</t>
        </is>
      </c>
      <c r="AG183" s="6" t="inlineStr"/>
      <c r="AH183" s="6" t="inlineStr">
        <is>
          <t>Pilot: yes</t>
        </is>
      </c>
      <c r="AI183" s="6" t="inlineStr"/>
      <c r="AJ183" s="6" t="inlineStr">
        <is>
          <t>Review 19 Oct (section 5)</t>
        </is>
      </c>
      <c r="AK183" s="6" t="inlineStr"/>
      <c r="AL183" s="6" t="inlineStr">
        <is>
          <t>S13</t>
        </is>
      </c>
    </row>
    <row r="184" ht="40.5" customHeight="1">
      <c r="A184" s="5" t="inlineStr">
        <is>
          <t>N-7</t>
        </is>
      </c>
      <c r="B184" s="6" t="inlineStr">
        <is>
          <t>Prefix layout and cache sharing across users: memory-seeded tools could fragment a shared prefix.</t>
        </is>
      </c>
      <c r="C184" s="6" t="inlineStr">
        <is>
          <t>OPEN</t>
        </is>
      </c>
      <c r="D184" s="6">
        <f>IFERROR(INDEX(Lists!$B$2:$B$14,MATCH(C184,Lists!$A$2:$A$14,0)),"?")</f>
        <v/>
      </c>
      <c r="E184" s="6">
        <f>IF(COUNTIFS(Links!$B$2:$B$600,A184,Links!$E$2:$E$600,"Yes")&gt;0,"REVISE","")</f>
        <v/>
      </c>
      <c r="F184" s="6">
        <f>COUNTIFS(Links!$B$2:$B$600,A184,Links!$D$2:$D$600,"No",Links!$C$2:$C$600,"&lt;&gt;INFORMS")</f>
        <v/>
      </c>
      <c r="G184" s="17" t="inlineStr">
        <is>
          <t>TEST-PILOT</t>
        </is>
      </c>
      <c r="H184" s="6" t="inlineStr">
        <is>
          <t>K4 Memory &amp; sessions</t>
        </is>
      </c>
      <c r="I184" s="6" t="inlineStr">
        <is>
          <t>G3 Before confirmatory study</t>
        </is>
      </c>
      <c r="J184" s="6" t="inlineStr">
        <is>
          <t>Normal</t>
        </is>
      </c>
      <c r="K184" s="6" t="n">
        <v>188</v>
      </c>
      <c r="L184" s="6" t="inlineStr">
        <is>
          <t>W3 Pilots (AUTH)</t>
        </is>
      </c>
      <c r="M184" s="6" t="inlineStr">
        <is>
          <t>S21</t>
        </is>
      </c>
      <c r="N184" s="6" t="inlineStr">
        <is>
          <t>Team / provider</t>
        </is>
      </c>
      <c r="O184" s="6" t="inlineStr">
        <is>
          <t>Needs an AUTH and a protocol</t>
        </is>
      </c>
      <c r="P184" s="6" t="inlineStr">
        <is>
          <t>No</t>
        </is>
      </c>
      <c r="Q184" s="6" t="inlineStr">
        <is>
          <t>Test</t>
        </is>
      </c>
      <c r="R184" s="6" t="inlineStr">
        <is>
          <t>Item</t>
        </is>
      </c>
      <c r="S184" s="6" t="inlineStr"/>
      <c r="T184" s="6" t="inlineStr">
        <is>
          <t>Prefix layout and cache sharing across users: memory-seeded tools could fragment a shared prefix.</t>
        </is>
      </c>
      <c r="U184" s="6" t="inlineStr">
        <is>
          <t>Hypothesis; provider sharing behaviour is 'not established here'.</t>
        </is>
      </c>
      <c r="V184" s="6" t="inlineStr">
        <is>
          <t>Provider-specific probe of cross-user prefix sharing and layout.</t>
        </is>
      </c>
      <c r="W184" s="6" t="inlineStr">
        <is>
          <t>N-2</t>
        </is>
      </c>
      <c r="X184" s="6" t="inlineStr">
        <is>
          <t>N-6</t>
        </is>
      </c>
      <c r="Y184" s="6" t="inlineStr">
        <is>
          <t>Q-J05</t>
        </is>
      </c>
      <c r="Z184" s="6" t="inlineStr">
        <is>
          <t>SOURCE-REREAD</t>
        </is>
      </c>
      <c r="AA184" s="6" t="inlineStr">
        <is>
          <t>K9 Cache &amp; billing</t>
        </is>
      </c>
      <c r="AB184" s="6" t="inlineStr"/>
      <c r="AC184" s="6" t="inlineStr">
        <is>
          <t>n/a (new)</t>
        </is>
      </c>
      <c r="AD184" s="6" t="inlineStr">
        <is>
          <t>NEW</t>
        </is>
      </c>
      <c r="AE184" s="6" t="inlineStr">
        <is>
          <t>2026-10-19</t>
        </is>
      </c>
      <c r="AF184" s="6" t="inlineStr">
        <is>
          <t>v4-04 section 4 risk (iii)</t>
        </is>
      </c>
      <c r="AG184" s="6" t="inlineStr"/>
      <c r="AH184" s="6" t="inlineStr">
        <is>
          <t>Yes</t>
        </is>
      </c>
      <c r="AI184" s="6" t="inlineStr"/>
      <c r="AJ184" s="6" t="inlineStr">
        <is>
          <t>Review 19 Oct (section 5)</t>
        </is>
      </c>
      <c r="AK184" s="6" t="inlineStr"/>
      <c r="AL184" s="6" t="inlineStr">
        <is>
          <t>S21</t>
        </is>
      </c>
    </row>
    <row r="185" ht="40.5" customHeight="1">
      <c r="A185" s="5" t="inlineStr">
        <is>
          <t>C-S10</t>
        </is>
      </c>
      <c r="B185" s="6" t="inlineStr">
        <is>
          <t>Why does retrieval hurt (query, embedder, server granularity, judge)?</t>
        </is>
      </c>
      <c r="C185" s="6" t="inlineStr">
        <is>
          <t>OPEN</t>
        </is>
      </c>
      <c r="D185" s="6">
        <f>IFERROR(INDEX(Lists!$B$2:$B$14,MATCH(C185,Lists!$A$2:$A$14,0)),"?")</f>
        <v/>
      </c>
      <c r="E185" s="6">
        <f>IF(COUNTIFS(Links!$B$2:$B$600,A185,Links!$E$2:$E$600,"Yes")&gt;0,"REVISE","")</f>
        <v/>
      </c>
      <c r="F185" s="6">
        <f>COUNTIFS(Links!$B$2:$B$600,A185,Links!$D$2:$D$600,"No",Links!$C$2:$C$600,"&lt;&gt;INFORMS")</f>
        <v/>
      </c>
      <c r="G185" s="17" t="inlineStr">
        <is>
          <t>TEST-PILOT</t>
        </is>
      </c>
      <c r="H185" s="6" t="inlineStr">
        <is>
          <t>K11 End-to-end comparison</t>
        </is>
      </c>
      <c r="I185" s="6" t="inlineStr">
        <is>
          <t>G4 Before claims</t>
        </is>
      </c>
      <c r="J185" s="6" t="inlineStr">
        <is>
          <t>Normal</t>
        </is>
      </c>
      <c r="K185" s="6" t="n">
        <v>189</v>
      </c>
      <c r="L185" s="6" t="inlineStr">
        <is>
          <t>W4 End-to-end</t>
        </is>
      </c>
      <c r="M185" s="6" t="inlineStr">
        <is>
          <t>S22</t>
        </is>
      </c>
      <c r="N185" s="6" t="inlineStr">
        <is>
          <t>Team</t>
        </is>
      </c>
      <c r="O185" s="6" t="inlineStr">
        <is>
          <t>Needs an AUTH and a protocol</t>
        </is>
      </c>
      <c r="P185" s="6" t="inlineStr">
        <is>
          <t>No</t>
        </is>
      </c>
      <c r="Q185" s="6" t="inlineStr">
        <is>
          <t>Scientific unknown</t>
        </is>
      </c>
      <c r="R185" s="6" t="inlineStr">
        <is>
          <t>Item</t>
        </is>
      </c>
      <c r="S185" s="6" t="inlineStr"/>
      <c r="T185" s="6" t="inlineStr">
        <is>
          <t>Why does retrieval hurt (query, embedder, server granularity, judge)? Generality is not isolated.</t>
        </is>
      </c>
      <c r="U185" s="6" t="inlineStr">
        <is>
          <t>TheMCPCompany shows premiums but conflates retrieval failure with discovery.</t>
        </is>
      </c>
      <c r="V185" s="6" t="inlineStr">
        <is>
          <t>Strong-retriever full-catalogue comparison with fixed judge and query variants.</t>
        </is>
      </c>
      <c r="W185" s="6" t="inlineStr">
        <is>
          <t>C-D09, C-D08</t>
        </is>
      </c>
      <c r="X185" s="6" t="inlineStr">
        <is>
          <t>C-S11</t>
        </is>
      </c>
      <c r="Y185" s="6" t="inlineStr"/>
      <c r="Z185" s="6" t="inlineStr">
        <is>
          <t>LITERATURE-DIRECTED, SOURCE-REREAD</t>
        </is>
      </c>
      <c r="AA185" s="6" t="inlineStr">
        <is>
          <t>K12 Selector &amp; need estimation</t>
        </is>
      </c>
      <c r="AB185" s="6" t="inlineStr">
        <is>
          <t>DATA+SOURCE</t>
        </is>
      </c>
      <c r="AC185" s="6" t="inlineStr">
        <is>
          <t>OPEN</t>
        </is>
      </c>
      <c r="AD185" s="6" t="inlineStr">
        <is>
          <t>UNCHANGED</t>
        </is>
      </c>
      <c r="AE185" s="6" t="inlineStr">
        <is>
          <t>2026-10-19</t>
        </is>
      </c>
      <c r="AF185" s="6" t="inlineStr">
        <is>
          <t>v4-05 section 1A</t>
        </is>
      </c>
      <c r="AG185" s="6" t="inlineStr"/>
      <c r="AH185" s="6" t="inlineStr">
        <is>
          <t>Yes</t>
        </is>
      </c>
      <c r="AI185" s="6" t="inlineStr"/>
      <c r="AJ185" s="6" t="inlineStr">
        <is>
          <t>SRC-11 canonical</t>
        </is>
      </c>
      <c r="AK185" s="6" t="inlineStr">
        <is>
          <t>SRC-06 S24</t>
        </is>
      </c>
      <c r="AL185" s="6" t="inlineStr">
        <is>
          <t>S13</t>
        </is>
      </c>
    </row>
    <row r="186" ht="28" customHeight="1">
      <c r="A186" s="5" t="inlineStr">
        <is>
          <t>C-S10/RA3</t>
        </is>
      </c>
      <c r="B186" s="6" t="inlineStr">
        <is>
          <t>RA3: appended results do not degrade later steps</t>
        </is>
      </c>
      <c r="C186" s="6" t="inlineStr">
        <is>
          <t>OPEN</t>
        </is>
      </c>
      <c r="D186" s="6">
        <f>IFERROR(INDEX(Lists!$B$2:$B$14,MATCH(C186,Lists!$A$2:$A$14,0)),"?")</f>
        <v/>
      </c>
      <c r="E186" s="6">
        <f>IF(COUNTIFS(Links!$B$2:$B$600,A186,Links!$E$2:$E$600,"Yes")&gt;0,"REVISE","")</f>
        <v/>
      </c>
      <c r="F186" s="6">
        <f>COUNTIFS(Links!$B$2:$B$600,A186,Links!$D$2:$D$600,"No",Links!$C$2:$C$600,"&lt;&gt;INFORMS")</f>
        <v/>
      </c>
      <c r="G186" s="17" t="inlineStr">
        <is>
          <t>TEST-PILOT</t>
        </is>
      </c>
      <c r="H186" s="6" t="inlineStr">
        <is>
          <t>K11 End-to-end comparison</t>
        </is>
      </c>
      <c r="I186" s="6" t="inlineStr">
        <is>
          <t>G4 Before claims</t>
        </is>
      </c>
      <c r="J186" s="6" t="inlineStr">
        <is>
          <t>Normal</t>
        </is>
      </c>
      <c r="K186" s="6" t="n">
        <v>190</v>
      </c>
      <c r="L186" s="6" t="inlineStr">
        <is>
          <t>W4 End-to-end</t>
        </is>
      </c>
      <c r="M186" s="6" t="inlineStr">
        <is>
          <t>S22</t>
        </is>
      </c>
      <c r="N186" s="6" t="inlineStr">
        <is>
          <t>Team</t>
        </is>
      </c>
      <c r="O186" s="6" t="inlineStr">
        <is>
          <t>Needs an AUTH and a protocol</t>
        </is>
      </c>
      <c r="P186" s="6" t="inlineStr">
        <is>
          <t>No</t>
        </is>
      </c>
      <c r="Q186" s="6" t="inlineStr">
        <is>
          <t>Assumption</t>
        </is>
      </c>
      <c r="R186" s="6" t="inlineStr">
        <is>
          <t>Sub-item</t>
        </is>
      </c>
      <c r="S186" s="6" t="inlineStr">
        <is>
          <t>C-S10</t>
        </is>
      </c>
      <c r="T186" s="6" t="inlineStr">
        <is>
          <t>Recovery assumption RA3: appended search results do not degrade later steps.</t>
        </is>
      </c>
      <c r="U186" s="6" t="inlineStr">
        <is>
          <t>Assumption, not assumed true.</t>
        </is>
      </c>
      <c r="V186" s="6" t="inlineStr">
        <is>
          <t>Tested end-to-end (failure of RA1-RA4 is a lost task).</t>
        </is>
      </c>
      <c r="W186" s="6" t="inlineStr">
        <is>
          <t>C-D09, C-D08</t>
        </is>
      </c>
      <c r="X186" s="6" t="inlineStr"/>
      <c r="Y186" s="6" t="inlineStr"/>
      <c r="Z186" s="6" t="inlineStr"/>
      <c r="AA186" s="6" t="inlineStr"/>
      <c r="AB186" s="6" t="inlineStr">
        <is>
          <t>DATA</t>
        </is>
      </c>
      <c r="AC186" s="6" t="inlineStr">
        <is>
          <t>n/a (sub-item)</t>
        </is>
      </c>
      <c r="AD186" s="6" t="inlineStr">
        <is>
          <t>NEW (SRC-11 sub-row)</t>
        </is>
      </c>
      <c r="AE186" s="6" t="inlineStr">
        <is>
          <t>2026-10-19</t>
        </is>
      </c>
      <c r="AF186" s="6" t="inlineStr">
        <is>
          <t>v3-02 section 4 RA1-RA13</t>
        </is>
      </c>
      <c r="AG186" s="6" t="inlineStr"/>
      <c r="AH186" s="6" t="inlineStr">
        <is>
          <t>Yes</t>
        </is>
      </c>
      <c r="AI186" s="6" t="inlineStr"/>
      <c r="AJ186" s="6" t="inlineStr">
        <is>
          <t>repo: v3-02 section 4</t>
        </is>
      </c>
      <c r="AK186" s="6" t="inlineStr">
        <is>
          <t>RA3</t>
        </is>
      </c>
      <c r="AL186" s="6" t="inlineStr">
        <is>
          <t>S13</t>
        </is>
      </c>
    </row>
    <row r="187" ht="28" customHeight="1">
      <c r="A187" s="5" t="inlineStr">
        <is>
          <t>C-S10/RA9</t>
        </is>
      </c>
      <c r="B187" s="6" t="inlineStr">
        <is>
          <t>RA9: appended definitions remain visible for the rest of the trajectory</t>
        </is>
      </c>
      <c r="C187" s="6" t="inlineStr">
        <is>
          <t>OPEN</t>
        </is>
      </c>
      <c r="D187" s="6">
        <f>IFERROR(INDEX(Lists!$B$2:$B$14,MATCH(C187,Lists!$A$2:$A$14,0)),"?")</f>
        <v/>
      </c>
      <c r="E187" s="6">
        <f>IF(COUNTIFS(Links!$B$2:$B$600,A187,Links!$E$2:$E$600,"Yes")&gt;0,"REVISE","")</f>
        <v/>
      </c>
      <c r="F187" s="6">
        <f>COUNTIFS(Links!$B$2:$B$600,A187,Links!$D$2:$D$600,"No",Links!$C$2:$C$600,"&lt;&gt;INFORMS")</f>
        <v/>
      </c>
      <c r="G187" s="17" t="inlineStr">
        <is>
          <t>TEST-PILOT</t>
        </is>
      </c>
      <c r="H187" s="6" t="inlineStr">
        <is>
          <t>K11 End-to-end comparison</t>
        </is>
      </c>
      <c r="I187" s="6" t="inlineStr">
        <is>
          <t>G4 Before claims</t>
        </is>
      </c>
      <c r="J187" s="6" t="inlineStr">
        <is>
          <t>Normal</t>
        </is>
      </c>
      <c r="K187" s="6" t="n">
        <v>191</v>
      </c>
      <c r="L187" s="6" t="inlineStr">
        <is>
          <t>W4 End-to-end</t>
        </is>
      </c>
      <c r="M187" s="6" t="inlineStr">
        <is>
          <t>S22</t>
        </is>
      </c>
      <c r="N187" s="6" t="inlineStr">
        <is>
          <t>Team</t>
        </is>
      </c>
      <c r="O187" s="6" t="inlineStr">
        <is>
          <t>Needs an AUTH and a protocol</t>
        </is>
      </c>
      <c r="P187" s="6" t="inlineStr">
        <is>
          <t>No</t>
        </is>
      </c>
      <c r="Q187" s="6" t="inlineStr">
        <is>
          <t>Assumption</t>
        </is>
      </c>
      <c r="R187" s="6" t="inlineStr">
        <is>
          <t>Sub-item</t>
        </is>
      </c>
      <c r="S187" s="6" t="inlineStr">
        <is>
          <t>C-S10</t>
        </is>
      </c>
      <c r="T187" s="6" t="inlineStr">
        <is>
          <t>Recovery assumption RA9 (design property to verify in the vehicle).</t>
        </is>
      </c>
      <c r="U187" s="6" t="inlineStr">
        <is>
          <t>Assumption, not assumed true.</t>
        </is>
      </c>
      <c r="V187" s="6" t="inlineStr">
        <is>
          <t>Tested end-to-end (failure of RA1-RA4 is a lost task).</t>
        </is>
      </c>
      <c r="W187" s="6" t="inlineStr">
        <is>
          <t>C-D09, C-D08</t>
        </is>
      </c>
      <c r="X187" s="6" t="inlineStr"/>
      <c r="Y187" s="6" t="inlineStr"/>
      <c r="Z187" s="6" t="inlineStr"/>
      <c r="AA187" s="6" t="inlineStr"/>
      <c r="AB187" s="6" t="inlineStr">
        <is>
          <t>DATA</t>
        </is>
      </c>
      <c r="AC187" s="6" t="inlineStr">
        <is>
          <t>n/a (sub-item)</t>
        </is>
      </c>
      <c r="AD187" s="6" t="inlineStr">
        <is>
          <t>NEW (SRC-11 sub-row)</t>
        </is>
      </c>
      <c r="AE187" s="6" t="inlineStr">
        <is>
          <t>2026-10-19</t>
        </is>
      </c>
      <c r="AF187" s="6" t="inlineStr">
        <is>
          <t>v3-02 section 4 RA1-RA13</t>
        </is>
      </c>
      <c r="AG187" s="6" t="inlineStr"/>
      <c r="AH187" s="6" t="inlineStr">
        <is>
          <t>Yes</t>
        </is>
      </c>
      <c r="AI187" s="6" t="inlineStr"/>
      <c r="AJ187" s="6" t="inlineStr">
        <is>
          <t>repo: v3-02 section 4</t>
        </is>
      </c>
      <c r="AK187" s="6" t="inlineStr">
        <is>
          <t>RA9</t>
        </is>
      </c>
      <c r="AL187" s="6" t="inlineStr">
        <is>
          <t>S13</t>
        </is>
      </c>
    </row>
    <row r="188" ht="40.5" customHeight="1">
      <c r="A188" s="5" t="inlineStr">
        <is>
          <t>C-S11</t>
        </is>
      </c>
      <c r="B188" s="6" t="inlineStr">
        <is>
          <t>Does a second filtering stage or a system trigger pay; is dependency-aware discovery useful?</t>
        </is>
      </c>
      <c r="C188" s="6" t="inlineStr">
        <is>
          <t>OPEN</t>
        </is>
      </c>
      <c r="D188" s="6">
        <f>IFERROR(INDEX(Lists!$B$2:$B$14,MATCH(C188,Lists!$A$2:$A$14,0)),"?")</f>
        <v/>
      </c>
      <c r="E188" s="6">
        <f>IF(COUNTIFS(Links!$B$2:$B$600,A188,Links!$E$2:$E$600,"Yes")&gt;0,"REVISE","")</f>
        <v/>
      </c>
      <c r="F188" s="6">
        <f>COUNTIFS(Links!$B$2:$B$600,A188,Links!$D$2:$D$600,"No",Links!$C$2:$C$600,"&lt;&gt;INFORMS")</f>
        <v/>
      </c>
      <c r="G188" s="17" t="inlineStr">
        <is>
          <t>TEST-PILOT</t>
        </is>
      </c>
      <c r="H188" s="6" t="inlineStr">
        <is>
          <t>K11 End-to-end comparison</t>
        </is>
      </c>
      <c r="I188" s="6" t="inlineStr">
        <is>
          <t>G4 Before claims</t>
        </is>
      </c>
      <c r="J188" s="6" t="inlineStr">
        <is>
          <t>Normal</t>
        </is>
      </c>
      <c r="K188" s="6" t="n">
        <v>192</v>
      </c>
      <c r="L188" s="6" t="inlineStr">
        <is>
          <t>W4 End-to-end</t>
        </is>
      </c>
      <c r="M188" s="6" t="inlineStr">
        <is>
          <t>S22</t>
        </is>
      </c>
      <c r="N188" s="6" t="inlineStr">
        <is>
          <t>Team</t>
        </is>
      </c>
      <c r="O188" s="6" t="inlineStr">
        <is>
          <t>Needs an AUTH and a protocol</t>
        </is>
      </c>
      <c r="P188" s="6" t="inlineStr">
        <is>
          <t>No</t>
        </is>
      </c>
      <c r="Q188" s="6" t="inlineStr">
        <is>
          <t>Scientific unknown</t>
        </is>
      </c>
      <c r="R188" s="6" t="inlineStr">
        <is>
          <t>Item</t>
        </is>
      </c>
      <c r="S188" s="6" t="inlineStr"/>
      <c r="T188" s="6" t="inlineStr">
        <is>
          <t>Does a second filtering stage or a system trigger pay; is dependency-aware discovery useful?</t>
        </is>
      </c>
      <c r="U188" s="6" t="inlineStr">
        <is>
          <t>No stored source supports a trigger; the only trigger-like result is a termination trigger.</t>
        </is>
      </c>
      <c r="V188" s="6" t="inlineStr">
        <is>
          <t>Cascade vs best single stage; trigger and no-miss overhead measured.</t>
        </is>
      </c>
      <c r="W188" s="6" t="inlineStr">
        <is>
          <t>C-D03, C-D09, C-D08</t>
        </is>
      </c>
      <c r="X188" s="6" t="inlineStr">
        <is>
          <t>C-S08, C-S12</t>
        </is>
      </c>
      <c r="Y188" s="6" t="inlineStr">
        <is>
          <t>Q-J08, Q-J11</t>
        </is>
      </c>
      <c r="Z188" s="6" t="inlineStr">
        <is>
          <t>LITERATURE-DIRECTED</t>
        </is>
      </c>
      <c r="AA188" s="6" t="inlineStr">
        <is>
          <t>K3 Policy form, K8 Search initiation &amp; recovery</t>
        </is>
      </c>
      <c r="AB188" s="6" t="inlineStr">
        <is>
          <t>DATA</t>
        </is>
      </c>
      <c r="AC188" s="6" t="inlineStr">
        <is>
          <t>OPEN</t>
        </is>
      </c>
      <c r="AD188" s="6" t="inlineStr">
        <is>
          <t>UNCHANGED</t>
        </is>
      </c>
      <c r="AE188" s="6" t="inlineStr">
        <is>
          <t>2026-10-19</t>
        </is>
      </c>
      <c r="AF188" s="6" t="inlineStr">
        <is>
          <t>v4-01 sections 4, 6</t>
        </is>
      </c>
      <c r="AG188" s="6" t="inlineStr"/>
      <c r="AH188" s="6" t="inlineStr">
        <is>
          <t>Yes</t>
        </is>
      </c>
      <c r="AI188" s="6" t="inlineStr"/>
      <c r="AJ188" s="6" t="inlineStr">
        <is>
          <t>SRC-11 canonical</t>
        </is>
      </c>
      <c r="AK188" s="6" t="inlineStr">
        <is>
          <t>SRC-06 S25, SRC-06 S26, SRC-07 21, RA5, HYP-0002, HYP-0006, HYP-0012, v3-04 objection 8</t>
        </is>
      </c>
      <c r="AL188" s="6" t="inlineStr">
        <is>
          <t>S13</t>
        </is>
      </c>
    </row>
    <row r="189" ht="28" customHeight="1">
      <c r="A189" s="5" t="inlineStr">
        <is>
          <t>C-S11/CASCADE</t>
        </is>
      </c>
      <c r="B189" s="6" t="inlineStr">
        <is>
          <t>Does a multi-stage cascade dominate the best single stage?</t>
        </is>
      </c>
      <c r="C189" s="6" t="inlineStr">
        <is>
          <t>OPEN</t>
        </is>
      </c>
      <c r="D189" s="6">
        <f>IFERROR(INDEX(Lists!$B$2:$B$14,MATCH(C189,Lists!$A$2:$A$14,0)),"?")</f>
        <v/>
      </c>
      <c r="E189" s="6">
        <f>IF(COUNTIFS(Links!$B$2:$B$600,A189,Links!$E$2:$E$600,"Yes")&gt;0,"REVISE","")</f>
        <v/>
      </c>
      <c r="F189" s="6">
        <f>COUNTIFS(Links!$B$2:$B$600,A189,Links!$D$2:$D$600,"No",Links!$C$2:$C$600,"&lt;&gt;INFORMS")</f>
        <v/>
      </c>
      <c r="G189" s="17" t="inlineStr">
        <is>
          <t>TEST-PILOT</t>
        </is>
      </c>
      <c r="H189" s="6" t="inlineStr">
        <is>
          <t>K11 End-to-end comparison</t>
        </is>
      </c>
      <c r="I189" s="6" t="inlineStr">
        <is>
          <t>G4 Before claims</t>
        </is>
      </c>
      <c r="J189" s="6" t="inlineStr">
        <is>
          <t>Normal</t>
        </is>
      </c>
      <c r="K189" s="6" t="n">
        <v>193</v>
      </c>
      <c r="L189" s="6" t="inlineStr">
        <is>
          <t>W4 End-to-end</t>
        </is>
      </c>
      <c r="M189" s="6" t="inlineStr">
        <is>
          <t>S22</t>
        </is>
      </c>
      <c r="N189" s="6" t="inlineStr">
        <is>
          <t>Team</t>
        </is>
      </c>
      <c r="O189" s="6" t="inlineStr">
        <is>
          <t>Needs an AUTH and a protocol</t>
        </is>
      </c>
      <c r="P189" s="6" t="inlineStr">
        <is>
          <t>No</t>
        </is>
      </c>
      <c r="Q189" s="6" t="inlineStr">
        <is>
          <t>Scientific unknown</t>
        </is>
      </c>
      <c r="R189" s="6" t="inlineStr">
        <is>
          <t>Sub-item</t>
        </is>
      </c>
      <c r="S189" s="6" t="inlineStr">
        <is>
          <t>C-S11</t>
        </is>
      </c>
      <c r="T189" s="6" t="inlineStr">
        <is>
          <t>HYP-0002: in the regimes tested no specified cascade dominates the best single-stage policy.</t>
        </is>
      </c>
      <c r="U189" s="6" t="inlineStr">
        <is>
          <t>Proposed; the DMB two-stage router scored 0.7-4.0 below rag:32 inside the +/-8 interval.</t>
        </is>
      </c>
      <c r="V189" s="6" t="inlineStr">
        <is>
          <t>Cascade vs best single stage on one scorer.</t>
        </is>
      </c>
      <c r="W189" s="6" t="inlineStr">
        <is>
          <t>C-D03, C-D09, C-D08</t>
        </is>
      </c>
      <c r="X189" s="6" t="inlineStr"/>
      <c r="Y189" s="6" t="inlineStr">
        <is>
          <t>Q-J08</t>
        </is>
      </c>
      <c r="Z189" s="6" t="inlineStr"/>
      <c r="AA189" s="6" t="inlineStr"/>
      <c r="AB189" s="6" t="inlineStr">
        <is>
          <t>DATA</t>
        </is>
      </c>
      <c r="AC189" s="6" t="inlineStr">
        <is>
          <t>n/a (sub-item)</t>
        </is>
      </c>
      <c r="AD189" s="6" t="inlineStr">
        <is>
          <t>NEW (SRC-11 sub-row)</t>
        </is>
      </c>
      <c r="AE189" s="6" t="inlineStr">
        <is>
          <t>2026-10-19</t>
        </is>
      </c>
      <c r="AF189" s="6" t="inlineStr">
        <is>
          <t>HYP-0002</t>
        </is>
      </c>
      <c r="AG189" s="6" t="inlineStr"/>
      <c r="AH189" s="6" t="inlineStr">
        <is>
          <t>Yes</t>
        </is>
      </c>
      <c r="AI189" s="6" t="inlineStr"/>
      <c r="AJ189" s="6" t="inlineStr">
        <is>
          <t>repo: HYP-0002</t>
        </is>
      </c>
      <c r="AK189" s="6" t="inlineStr">
        <is>
          <t>HYP-0002</t>
        </is>
      </c>
      <c r="AL189" s="6" t="inlineStr">
        <is>
          <t>S13</t>
        </is>
      </c>
    </row>
    <row r="190" ht="53" customHeight="1">
      <c r="A190" s="5" t="inlineStr">
        <is>
          <t>C-S11/TRIG</t>
        </is>
      </c>
      <c r="B190" s="6" t="inlineStr">
        <is>
          <t>System trigger: can it tell that a tool is missing? No source shows it</t>
        </is>
      </c>
      <c r="C190" s="6" t="inlineStr">
        <is>
          <t>OPEN</t>
        </is>
      </c>
      <c r="D190" s="6">
        <f>IFERROR(INDEX(Lists!$B$2:$B$14,MATCH(C190,Lists!$A$2:$A$14,0)),"?")</f>
        <v/>
      </c>
      <c r="E190" s="6">
        <f>IF(COUNTIFS(Links!$B$2:$B$600,A190,Links!$E$2:$E$600,"Yes")&gt;0,"REVISE","")</f>
        <v/>
      </c>
      <c r="F190" s="6">
        <f>COUNTIFS(Links!$B$2:$B$600,A190,Links!$D$2:$D$600,"No",Links!$C$2:$C$600,"&lt;&gt;INFORMS")</f>
        <v/>
      </c>
      <c r="G190" s="17" t="inlineStr">
        <is>
          <t>TEST-PILOT</t>
        </is>
      </c>
      <c r="H190" s="6" t="inlineStr">
        <is>
          <t>K11 End-to-end comparison</t>
        </is>
      </c>
      <c r="I190" s="6" t="inlineStr">
        <is>
          <t>G4 Before claims</t>
        </is>
      </c>
      <c r="J190" s="6" t="inlineStr">
        <is>
          <t>Normal</t>
        </is>
      </c>
      <c r="K190" s="6" t="n">
        <v>194</v>
      </c>
      <c r="L190" s="6" t="inlineStr">
        <is>
          <t>W4 End-to-end</t>
        </is>
      </c>
      <c r="M190" s="6" t="inlineStr">
        <is>
          <t>S22</t>
        </is>
      </c>
      <c r="N190" s="6" t="inlineStr">
        <is>
          <t>Team</t>
        </is>
      </c>
      <c r="O190" s="6" t="inlineStr">
        <is>
          <t>Needs an AUTH and a protocol</t>
        </is>
      </c>
      <c r="P190" s="6" t="inlineStr">
        <is>
          <t>No</t>
        </is>
      </c>
      <c r="Q190" s="6" t="inlineStr">
        <is>
          <t>Scientific unknown</t>
        </is>
      </c>
      <c r="R190" s="6" t="inlineStr">
        <is>
          <t>Sub-item</t>
        </is>
      </c>
      <c r="S190" s="6" t="inlineStr">
        <is>
          <t>C-S11</t>
        </is>
      </c>
      <c r="T190" s="6" t="inlineStr">
        <is>
          <t>HYP-0006/0012 and RA5: a system trigger over runtime-observable signals (model text of inability, termination, repeated failure) is untested; the only trigger-like result is a termination trigger (PlanBench-XL).</t>
        </is>
      </c>
      <c r="U190" s="6" t="inlineStr">
        <is>
          <t>Proposed; no stored source.</t>
        </is>
      </c>
      <c r="V190" s="6" t="inlineStr">
        <is>
          <t>Trigger arms in the end-to-end pilot.</t>
        </is>
      </c>
      <c r="W190" s="6" t="inlineStr">
        <is>
          <t>C-D03, C-D09, C-D08</t>
        </is>
      </c>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v4-01 section 4; HYP-0006</t>
        </is>
      </c>
      <c r="AG190" s="6" t="inlineStr"/>
      <c r="AH190" s="6" t="inlineStr">
        <is>
          <t>Yes</t>
        </is>
      </c>
      <c r="AI190" s="6" t="inlineStr"/>
      <c r="AJ190" s="6" t="inlineStr">
        <is>
          <t>repo: v4-01 section 4; HYP-0006/0012</t>
        </is>
      </c>
      <c r="AK190" s="6" t="inlineStr">
        <is>
          <t>HYP-0006, HYP-0012, RA5, CH-0041</t>
        </is>
      </c>
      <c r="AL190" s="6" t="inlineStr">
        <is>
          <t>S13</t>
        </is>
      </c>
    </row>
    <row r="191" ht="40.5" customHeight="1">
      <c r="A191" s="5" t="inlineStr">
        <is>
          <t>C-S18</t>
        </is>
      </c>
      <c r="B191" s="6" t="inlineStr">
        <is>
          <t>Interaction among needed tools and the residual success-loss term are unbounded; the cited simulation was n...</t>
        </is>
      </c>
      <c r="C191" s="6" t="inlineStr">
        <is>
          <t>PARTLY ANSWERED</t>
        </is>
      </c>
      <c r="D191" s="6">
        <f>IFERROR(INDEX(Lists!$B$2:$B$14,MATCH(C191,Lists!$A$2:$A$14,0)),"?")</f>
        <v/>
      </c>
      <c r="E191" s="6">
        <f>IF(COUNTIFS(Links!$B$2:$B$600,A191,Links!$E$2:$E$600,"Yes")&gt;0,"REVISE","")</f>
        <v/>
      </c>
      <c r="F191" s="6">
        <f>COUNTIFS(Links!$B$2:$B$600,A191,Links!$D$2:$D$600,"No",Links!$C$2:$C$600,"&lt;&gt;INFORMS")</f>
        <v/>
      </c>
      <c r="G191" s="13" t="inlineStr">
        <is>
          <t>DESK-ANALYSIS</t>
        </is>
      </c>
      <c r="H191" s="6" t="inlineStr">
        <is>
          <t>K17 Record repair &amp; procedure error</t>
        </is>
      </c>
      <c r="I191" s="6" t="inlineStr">
        <is>
          <t>G4 Before claims</t>
        </is>
      </c>
      <c r="J191" s="6" t="inlineStr">
        <is>
          <t>Normal</t>
        </is>
      </c>
      <c r="K191" s="6" t="n">
        <v>195</v>
      </c>
      <c r="L191" s="6" t="inlineStr">
        <is>
          <t>W4 End-to-end</t>
        </is>
      </c>
      <c r="M191" s="6" t="inlineStr">
        <is>
          <t>S22</t>
        </is>
      </c>
      <c r="N191" s="6" t="inlineStr">
        <is>
          <t>Lead; team</t>
        </is>
      </c>
      <c r="O191" s="6" t="inlineStr">
        <is>
          <t>Lead computes or writes it (no model runs)</t>
        </is>
      </c>
      <c r="P191" s="6" t="inlineStr">
        <is>
          <t>Partly</t>
        </is>
      </c>
      <c r="Q191" s="6" t="inlineStr">
        <is>
          <t>Scientific unknown</t>
        </is>
      </c>
      <c r="R191" s="6" t="inlineStr">
        <is>
          <t>Item</t>
        </is>
      </c>
      <c r="S191" s="6" t="inlineStr"/>
      <c r="T191" s="6" t="inlineStr">
        <is>
          <t>Interaction among needed tools and the residual success-loss term are unbounded; the cited simulation was not rerun.</t>
        </is>
      </c>
      <c r="U191" s="6" t="inlineStr">
        <is>
          <t>Errata removed the false bound and the greedy-optimality claim; v3 maths not re-derived in v4.</t>
        </is>
      </c>
      <c r="V191" s="6" t="inlineStr">
        <is>
          <t>Simulation rerun; interactions measured on paired trajectories.</t>
        </is>
      </c>
      <c r="W191" s="6" t="inlineStr"/>
      <c r="X191" s="6" t="inlineStr">
        <is>
          <t>C-D08</t>
        </is>
      </c>
      <c r="Y191" s="6" t="inlineStr"/>
      <c r="Z191" s="6" t="inlineStr">
        <is>
          <t>TEST-PILOT</t>
        </is>
      </c>
      <c r="AA191" s="6" t="inlineStr">
        <is>
          <t>K12 Selector &amp; need estimation</t>
        </is>
      </c>
      <c r="AB191" s="6" t="inlineStr">
        <is>
          <t>DATA</t>
        </is>
      </c>
      <c r="AC191" s="6" t="inlineStr">
        <is>
          <t>PARTLY ANSWERED - OPEN</t>
        </is>
      </c>
      <c r="AD191" s="6" t="inlineStr">
        <is>
          <t>UNCHANGED</t>
        </is>
      </c>
      <c r="AE191" s="6" t="inlineStr">
        <is>
          <t>2026-10-19</t>
        </is>
      </c>
      <c r="AF191" s="6" t="inlineStr">
        <is>
          <t>v3-01 sections 2-3; v4-03 section 3</t>
        </is>
      </c>
      <c r="AG191" s="6" t="inlineStr"/>
      <c r="AH191" s="6" t="inlineStr">
        <is>
          <t>Measured part: yes</t>
        </is>
      </c>
      <c r="AI191" s="6" t="inlineStr"/>
      <c r="AJ191" s="6" t="inlineStr">
        <is>
          <t>SRC-11 canonical</t>
        </is>
      </c>
      <c r="AK191" s="6" t="inlineStr">
        <is>
          <t>SRC-06 S36, SRC-06 S37</t>
        </is>
      </c>
      <c r="AL191" s="6" t="inlineStr">
        <is>
          <t>S14</t>
        </is>
      </c>
    </row>
    <row r="192" ht="40.5" customHeight="1">
      <c r="A192" s="5" t="inlineStr">
        <is>
          <t>C-S07</t>
        </is>
      </c>
      <c r="B192" s="6" t="inlineStr">
        <is>
          <t>Published contrasts confound tool count, total tokens, overlap and position; a full factorial may be imposs...</t>
        </is>
      </c>
      <c r="C192" s="6" t="inlineStr">
        <is>
          <t>OPEN</t>
        </is>
      </c>
      <c r="D192" s="6">
        <f>IFERROR(INDEX(Lists!$B$2:$B$14,MATCH(C192,Lists!$A$2:$A$14,0)),"?")</f>
        <v/>
      </c>
      <c r="E192" s="6">
        <f>IF(COUNTIFS(Links!$B$2:$B$600,A192,Links!$E$2:$E$600,"Yes")&gt;0,"REVISE","")</f>
        <v/>
      </c>
      <c r="F192" s="6">
        <f>COUNTIFS(Links!$B$2:$B$600,A192,Links!$D$2:$D$600,"No",Links!$C$2:$C$600,"&lt;&gt;INFORMS")</f>
        <v/>
      </c>
      <c r="G192" s="17" t="inlineStr">
        <is>
          <t>TEST-PILOT</t>
        </is>
      </c>
      <c r="H192" s="6" t="inlineStr">
        <is>
          <t>K11 End-to-end comparison</t>
        </is>
      </c>
      <c r="I192" s="6" t="inlineStr">
        <is>
          <t>G4 Before claims</t>
        </is>
      </c>
      <c r="J192" s="6" t="inlineStr">
        <is>
          <t>Normal</t>
        </is>
      </c>
      <c r="K192" s="6" t="n">
        <v>196</v>
      </c>
      <c r="L192" s="6" t="inlineStr">
        <is>
          <t>W4 End-to-end</t>
        </is>
      </c>
      <c r="M192" s="6" t="inlineStr">
        <is>
          <t>S22</t>
        </is>
      </c>
      <c r="N192" s="6" t="inlineStr">
        <is>
          <t>Team</t>
        </is>
      </c>
      <c r="O192" s="6" t="inlineStr">
        <is>
          <t>Needs an AUTH and a protocol</t>
        </is>
      </c>
      <c r="P192" s="6" t="inlineStr">
        <is>
          <t>No</t>
        </is>
      </c>
      <c r="Q192" s="6" t="inlineStr">
        <is>
          <t>Scientific unknown</t>
        </is>
      </c>
      <c r="R192" s="6" t="inlineStr">
        <is>
          <t>Item</t>
        </is>
      </c>
      <c r="S192" s="6" t="inlineStr"/>
      <c r="T192" s="6" t="inlineStr">
        <is>
          <t>Published contrasts confound tool count, total tokens, overlap and position; a full factorial may be impossible.</t>
        </is>
      </c>
      <c r="U192" s="6" t="inlineStr">
        <is>
          <t>MCP-Universe adds a confounded observation only.</t>
        </is>
      </c>
      <c r="V192" s="6" t="inlineStr">
        <is>
          <t>Feasible token-matched contrasts run; what cannot be isolated is stated.</t>
        </is>
      </c>
      <c r="W192" s="6" t="inlineStr">
        <is>
          <t>C-D09, C-D08</t>
        </is>
      </c>
      <c r="X192" s="6" t="inlineStr"/>
      <c r="Y192" s="6" t="inlineStr"/>
      <c r="Z192" s="6" t="inlineStr">
        <is>
          <t>ACCEPT-LIMITATION</t>
        </is>
      </c>
      <c r="AA192" s="6" t="inlineStr"/>
      <c r="AB192" s="6" t="inlineStr">
        <is>
          <t>DATA+BOUND</t>
        </is>
      </c>
      <c r="AC192" s="6" t="inlineStr">
        <is>
          <t>OPEN</t>
        </is>
      </c>
      <c r="AD192" s="6" t="inlineStr">
        <is>
          <t>UNCHANGED</t>
        </is>
      </c>
      <c r="AE192" s="6" t="inlineStr">
        <is>
          <t>2026-10-19</t>
        </is>
      </c>
      <c r="AF192" s="6" t="inlineStr">
        <is>
          <t>v4-05 Round 5</t>
        </is>
      </c>
      <c r="AG192" s="6" t="inlineStr"/>
      <c r="AH192" s="6" t="inlineStr">
        <is>
          <t>Yes</t>
        </is>
      </c>
      <c r="AI192" s="6" t="inlineStr"/>
      <c r="AJ192" s="6" t="inlineStr">
        <is>
          <t>SRC-11 canonical</t>
        </is>
      </c>
      <c r="AK192" s="6" t="inlineStr">
        <is>
          <t>SRC-06 S20, SRC-07 19</t>
        </is>
      </c>
      <c r="AL192" s="6" t="inlineStr">
        <is>
          <t>S22</t>
        </is>
      </c>
    </row>
    <row r="193" ht="40.5" customHeight="1">
      <c r="A193" s="5" t="inlineStr">
        <is>
          <t>C-S14/MULT</t>
        </is>
      </c>
      <c r="B193" s="6" t="inlineStr">
        <is>
          <t>Multiplicity enumeration (CH-0040 a, b) remains open</t>
        </is>
      </c>
      <c r="C193" s="6" t="inlineStr">
        <is>
          <t>OPEN</t>
        </is>
      </c>
      <c r="D193" s="6">
        <f>IFERROR(INDEX(Lists!$B$2:$B$14,MATCH(C193,Lists!$A$2:$A$14,0)),"?")</f>
        <v/>
      </c>
      <c r="E193" s="6">
        <f>IF(COUNTIFS(Links!$B$2:$B$600,A193,Links!$E$2:$E$600,"Yes")&gt;0,"REVISE","")</f>
        <v/>
      </c>
      <c r="F193" s="6">
        <f>COUNTIFS(Links!$B$2:$B$600,A193,Links!$D$2:$D$600,"No",Links!$C$2:$C$600,"&lt;&gt;INFORMS")</f>
        <v/>
      </c>
      <c r="G193" s="13" t="inlineStr">
        <is>
          <t>DESK-ANALYSIS</t>
        </is>
      </c>
      <c r="H193" s="6" t="inlineStr">
        <is>
          <t>K5 Evaluation contract</t>
        </is>
      </c>
      <c r="I193" s="6" t="inlineStr">
        <is>
          <t>G3 Before confirmatory study</t>
        </is>
      </c>
      <c r="J193" s="6" t="inlineStr">
        <is>
          <t>Normal</t>
        </is>
      </c>
      <c r="K193" s="6" t="n">
        <v>197</v>
      </c>
      <c r="L193" s="6" t="inlineStr">
        <is>
          <t>W4 End-to-end</t>
        </is>
      </c>
      <c r="M193" s="6" t="inlineStr">
        <is>
          <t>S23</t>
        </is>
      </c>
      <c r="N193" s="6" t="inlineStr">
        <is>
          <t>Lead; team</t>
        </is>
      </c>
      <c r="O193" s="6" t="inlineStr">
        <is>
          <t>Lead computes or writes it (no model runs)</t>
        </is>
      </c>
      <c r="P193" s="6" t="inlineStr">
        <is>
          <t>No</t>
        </is>
      </c>
      <c r="Q193" s="6" t="inlineStr">
        <is>
          <t>Scientific unknown</t>
        </is>
      </c>
      <c r="R193" s="6" t="inlineStr">
        <is>
          <t>Sub-item</t>
        </is>
      </c>
      <c r="S193" s="6" t="inlineStr">
        <is>
          <t>C-S14</t>
        </is>
      </c>
      <c r="T193" s="6" t="inlineStr">
        <is>
          <t>The enumeration of contrasts and the multiplicity rule across the arm table are open.</t>
        </is>
      </c>
      <c r="U193" s="6" t="inlineStr">
        <is>
          <t>Documented as open.</t>
        </is>
      </c>
      <c r="V193" s="6" t="inlineStr">
        <is>
          <t>Contrast list fixed and correction chosen.</t>
        </is>
      </c>
      <c r="W193" s="6" t="inlineStr"/>
      <c r="X193" s="6" t="inlineStr"/>
      <c r="Y193" s="6" t="inlineStr"/>
      <c r="Z193" s="6" t="inlineStr"/>
      <c r="AA193" s="6" t="inlineStr"/>
      <c r="AB193" s="6" t="inlineStr">
        <is>
          <t>DATA</t>
        </is>
      </c>
      <c r="AC193" s="6" t="inlineStr">
        <is>
          <t>n/a (sub-item)</t>
        </is>
      </c>
      <c r="AD193" s="6" t="inlineStr">
        <is>
          <t>NEW (SRC-11 sub-row)</t>
        </is>
      </c>
      <c r="AE193" s="6" t="inlineStr">
        <is>
          <t>2026-10-19</t>
        </is>
      </c>
      <c r="AF193" s="6" t="inlineStr">
        <is>
          <t>v4-02 section 6</t>
        </is>
      </c>
      <c r="AG193" s="6" t="inlineStr"/>
      <c r="AH193" s="6" t="inlineStr">
        <is>
          <t>No for simulation; yes for cross-setting</t>
        </is>
      </c>
      <c r="AI193" s="6" t="inlineStr"/>
      <c r="AJ193" s="6" t="inlineStr">
        <is>
          <t>repo: v4-02 section 6 / v4-03 section 5</t>
        </is>
      </c>
      <c r="AK193" s="6" t="inlineStr">
        <is>
          <t>CH-0040</t>
        </is>
      </c>
      <c r="AL193" s="6" t="inlineStr">
        <is>
          <t>S14</t>
        </is>
      </c>
    </row>
    <row r="194" ht="40.5" customHeight="1">
      <c r="A194" s="5" t="inlineStr">
        <is>
          <t>C-S14/PATHDEP</t>
        </is>
      </c>
      <c r="B194" s="6" t="inlineStr">
        <is>
          <t>Stage-inclusion reading is path-dependent</t>
        </is>
      </c>
      <c r="C194" s="6" t="inlineStr">
        <is>
          <t>OPEN</t>
        </is>
      </c>
      <c r="D194" s="6">
        <f>IFERROR(INDEX(Lists!$B$2:$B$14,MATCH(C194,Lists!$A$2:$A$14,0)),"?")</f>
        <v/>
      </c>
      <c r="E194" s="6">
        <f>IF(COUNTIFS(Links!$B$2:$B$600,A194,Links!$E$2:$E$600,"Yes")&gt;0,"REVISE","")</f>
        <v/>
      </c>
      <c r="F194" s="6">
        <f>COUNTIFS(Links!$B$2:$B$600,A194,Links!$D$2:$D$600,"No",Links!$C$2:$C$600,"&lt;&gt;INFORMS")</f>
        <v/>
      </c>
      <c r="G194" s="13" t="inlineStr">
        <is>
          <t>DESK-ANALYSIS</t>
        </is>
      </c>
      <c r="H194" s="6" t="inlineStr">
        <is>
          <t>K5 Evaluation contract</t>
        </is>
      </c>
      <c r="I194" s="6" t="inlineStr">
        <is>
          <t>G3 Before confirmatory study</t>
        </is>
      </c>
      <c r="J194" s="6" t="inlineStr">
        <is>
          <t>Normal</t>
        </is>
      </c>
      <c r="K194" s="6" t="n">
        <v>198</v>
      </c>
      <c r="L194" s="6" t="inlineStr">
        <is>
          <t>W4 End-to-end</t>
        </is>
      </c>
      <c r="M194" s="6" t="inlineStr">
        <is>
          <t>S23</t>
        </is>
      </c>
      <c r="N194" s="6" t="inlineStr">
        <is>
          <t>Lead; team</t>
        </is>
      </c>
      <c r="O194" s="6" t="inlineStr">
        <is>
          <t>Lead computes or writes it (no model runs)</t>
        </is>
      </c>
      <c r="P194" s="6" t="inlineStr">
        <is>
          <t>No</t>
        </is>
      </c>
      <c r="Q194" s="6" t="inlineStr">
        <is>
          <t>Scientific unknown</t>
        </is>
      </c>
      <c r="R194" s="6" t="inlineStr">
        <is>
          <t>Sub-item</t>
        </is>
      </c>
      <c r="S194" s="6" t="inlineStr">
        <is>
          <t>C-S14</t>
        </is>
      </c>
      <c r="T194" s="6" t="inlineStr">
        <is>
          <t>A component that pays only in the presence of another is found only if that pair is in the arm table; table size drives multiplicity.</t>
        </is>
      </c>
      <c r="U194" s="6" t="inlineStr">
        <is>
          <t>Documented as open.</t>
        </is>
      </c>
      <c r="V194" s="6" t="inlineStr">
        <is>
          <t>Matched pairs listed; table size fixed.</t>
        </is>
      </c>
      <c r="W194" s="6" t="inlineStr"/>
      <c r="X194" s="6" t="inlineStr"/>
      <c r="Y194" s="6" t="inlineStr"/>
      <c r="Z194" s="6" t="inlineStr"/>
      <c r="AA194" s="6" t="inlineStr"/>
      <c r="AB194" s="6" t="inlineStr">
        <is>
          <t>DATA</t>
        </is>
      </c>
      <c r="AC194" s="6" t="inlineStr">
        <is>
          <t>n/a (sub-item)</t>
        </is>
      </c>
      <c r="AD194" s="6" t="inlineStr">
        <is>
          <t>NEW (SRC-11 sub-row)</t>
        </is>
      </c>
      <c r="AE194" s="6" t="inlineStr">
        <is>
          <t>2026-10-19</t>
        </is>
      </c>
      <c r="AF194" s="6" t="inlineStr">
        <is>
          <t>v4-02 section 6</t>
        </is>
      </c>
      <c r="AG194" s="6" t="inlineStr"/>
      <c r="AH194" s="6" t="inlineStr">
        <is>
          <t>No for simulation; yes for cross-setting</t>
        </is>
      </c>
      <c r="AI194" s="6" t="inlineStr"/>
      <c r="AJ194" s="6" t="inlineStr">
        <is>
          <t>repo: v4-02 section 6 / v4-03 section 5</t>
        </is>
      </c>
      <c r="AK194" s="6" t="inlineStr">
        <is>
          <t>CH-0049, RV-0005 R2</t>
        </is>
      </c>
      <c r="AL194" s="6" t="inlineStr">
        <is>
          <t>S14</t>
        </is>
      </c>
    </row>
    <row r="195" ht="40.5" customHeight="1">
      <c r="A195" s="5" t="inlineStr">
        <is>
          <t>C-S14/POSTSEL</t>
        </is>
      </c>
      <c r="B195" s="6" t="inlineStr">
        <is>
          <t>S is a post-selection set with unknown coverage</t>
        </is>
      </c>
      <c r="C195" s="6" t="inlineStr">
        <is>
          <t>OPEN</t>
        </is>
      </c>
      <c r="D195" s="6">
        <f>IFERROR(INDEX(Lists!$B$2:$B$14,MATCH(C195,Lists!$A$2:$A$14,0)),"?")</f>
        <v/>
      </c>
      <c r="E195" s="6">
        <f>IF(COUNTIFS(Links!$B$2:$B$600,A195,Links!$E$2:$E$600,"Yes")&gt;0,"REVISE","")</f>
        <v/>
      </c>
      <c r="F195" s="6">
        <f>COUNTIFS(Links!$B$2:$B$600,A195,Links!$D$2:$D$600,"No",Links!$C$2:$C$600,"&lt;&gt;INFORMS")</f>
        <v/>
      </c>
      <c r="G195" s="13" t="inlineStr">
        <is>
          <t>DESK-ANALYSIS</t>
        </is>
      </c>
      <c r="H195" s="6" t="inlineStr">
        <is>
          <t>K5 Evaluation contract</t>
        </is>
      </c>
      <c r="I195" s="6" t="inlineStr">
        <is>
          <t>G3 Before confirmatory study</t>
        </is>
      </c>
      <c r="J195" s="6" t="inlineStr">
        <is>
          <t>Normal</t>
        </is>
      </c>
      <c r="K195" s="6" t="n">
        <v>199</v>
      </c>
      <c r="L195" s="6" t="inlineStr">
        <is>
          <t>W4 End-to-end</t>
        </is>
      </c>
      <c r="M195" s="6" t="inlineStr">
        <is>
          <t>S23</t>
        </is>
      </c>
      <c r="N195" s="6" t="inlineStr">
        <is>
          <t>Lead; team</t>
        </is>
      </c>
      <c r="O195" s="6" t="inlineStr">
        <is>
          <t>Lead computes or writes it (no model runs)</t>
        </is>
      </c>
      <c r="P195" s="6" t="inlineStr">
        <is>
          <t>No</t>
        </is>
      </c>
      <c r="Q195" s="6" t="inlineStr">
        <is>
          <t>Scientific unknown</t>
        </is>
      </c>
      <c r="R195" s="6" t="inlineStr">
        <is>
          <t>Sub-item</t>
        </is>
      </c>
      <c r="S195" s="6" t="inlineStr">
        <is>
          <t>C-S14</t>
        </is>
      </c>
      <c r="T195" s="6" t="inlineStr">
        <is>
          <t>F and S are estimated on the same split, so S's coverage is not nominal; its error rate is unknown (E6).</t>
        </is>
      </c>
      <c r="U195" s="6" t="inlineStr">
        <is>
          <t>Documented as open.</t>
        </is>
      </c>
      <c r="V195" s="6" t="inlineStr">
        <is>
          <t>Simulation of coverage and sensitivity.</t>
        </is>
      </c>
      <c r="W195" s="6" t="inlineStr"/>
      <c r="X195" s="6" t="inlineStr"/>
      <c r="Y195" s="6" t="inlineStr"/>
      <c r="Z195" s="6" t="inlineStr"/>
      <c r="AA195" s="6" t="inlineStr"/>
      <c r="AB195" s="6" t="inlineStr">
        <is>
          <t>DATA</t>
        </is>
      </c>
      <c r="AC195" s="6" t="inlineStr">
        <is>
          <t>n/a (sub-item)</t>
        </is>
      </c>
      <c r="AD195" s="6" t="inlineStr">
        <is>
          <t>NEW (SRC-11 sub-row)</t>
        </is>
      </c>
      <c r="AE195" s="6" t="inlineStr">
        <is>
          <t>2026-10-19</t>
        </is>
      </c>
      <c r="AF195" s="6" t="inlineStr">
        <is>
          <t>v4-02 section 6</t>
        </is>
      </c>
      <c r="AG195" s="6" t="inlineStr"/>
      <c r="AH195" s="6" t="inlineStr">
        <is>
          <t>No for simulation; yes for cross-setting</t>
        </is>
      </c>
      <c r="AI195" s="6" t="inlineStr"/>
      <c r="AJ195" s="6" t="inlineStr">
        <is>
          <t>repo: v4-02 section 6 / v4-03 section 5</t>
        </is>
      </c>
      <c r="AK195" s="6" t="inlineStr">
        <is>
          <t>CH-0050</t>
        </is>
      </c>
      <c r="AL195" s="6" t="inlineStr">
        <is>
          <t>S14</t>
        </is>
      </c>
    </row>
    <row r="196" ht="53" customHeight="1">
      <c r="A196" s="5" t="inlineStr">
        <is>
          <t>C-S14</t>
        </is>
      </c>
      <c r="B196" s="6" t="inlineStr">
        <is>
          <t>Error of the arm-selection procedure (multiplicity, strata, tails, power); margins and arm table unset.</t>
        </is>
      </c>
      <c r="C196" s="6" t="inlineStr">
        <is>
          <t>PARTLY ANSWERED</t>
        </is>
      </c>
      <c r="D196" s="6">
        <f>IFERROR(INDEX(Lists!$B$2:$B$14,MATCH(C196,Lists!$A$2:$A$14,0)),"?")</f>
        <v/>
      </c>
      <c r="E196" s="6">
        <f>IF(COUNTIFS(Links!$B$2:$B$600,A196,Links!$E$2:$E$600,"Yes")&gt;0,"REVISE","")</f>
        <v/>
      </c>
      <c r="F196" s="6">
        <f>COUNTIFS(Links!$B$2:$B$600,A196,Links!$D$2:$D$600,"No",Links!$C$2:$C$600,"&lt;&gt;INFORMS")</f>
        <v/>
      </c>
      <c r="G196" s="13" t="inlineStr">
        <is>
          <t>DESK-ANALYSIS</t>
        </is>
      </c>
      <c r="H196" s="6" t="inlineStr">
        <is>
          <t>K5 Evaluation contract</t>
        </is>
      </c>
      <c r="I196" s="6" t="inlineStr">
        <is>
          <t>G3 Before confirmatory study</t>
        </is>
      </c>
      <c r="J196" s="6" t="inlineStr">
        <is>
          <t>Normal</t>
        </is>
      </c>
      <c r="K196" s="6" t="n">
        <v>200</v>
      </c>
      <c r="L196" s="6" t="inlineStr">
        <is>
          <t>W4 End-to-end</t>
        </is>
      </c>
      <c r="M196" s="6" t="inlineStr">
        <is>
          <t>S23</t>
        </is>
      </c>
      <c r="N196" s="6" t="inlineStr">
        <is>
          <t>Lead (simulation); Joaa/you (parameters)</t>
        </is>
      </c>
      <c r="O196" s="6" t="inlineStr">
        <is>
          <t>Lead computes or writes it (no model runs)</t>
        </is>
      </c>
      <c r="P196" s="6" t="inlineStr">
        <is>
          <t>Partly</t>
        </is>
      </c>
      <c r="Q196" s="6" t="inlineStr">
        <is>
          <t>Scientific unknown</t>
        </is>
      </c>
      <c r="R196" s="6" t="inlineStr">
        <is>
          <t>Item</t>
        </is>
      </c>
      <c r="S196" s="6" t="inlineStr"/>
      <c r="T196" s="6" t="inlineStr">
        <is>
          <t>Error of the arm-selection procedure (multiplicity, strata, tails, power); margins and arm table unset.</t>
        </is>
      </c>
      <c r="U196" s="6" t="inlineStr">
        <is>
          <t>Tie rule rewritten (feasible set F, directional set S, human epsilon); power table verified; selection error unmeasured; multiplicity enumeration (CH-0040) open.</t>
        </is>
      </c>
      <c r="V196" s="6" t="inlineStr">
        <is>
          <t>Simulation done; cross-setting test run on confirmatory data.</t>
        </is>
      </c>
      <c r="W196" s="6" t="inlineStr">
        <is>
          <t>C-D08, C-D06</t>
        </is>
      </c>
      <c r="X196" s="6" t="inlineStr"/>
      <c r="Y196" s="6" t="inlineStr">
        <is>
          <t>Q-J14, Q-J20</t>
        </is>
      </c>
      <c r="Z196" s="6" t="inlineStr">
        <is>
          <t>JOAA-DECISION, TEST-PILOT</t>
        </is>
      </c>
      <c r="AA196" s="6" t="inlineStr">
        <is>
          <t>K17 Record repair &amp; procedure error</t>
        </is>
      </c>
      <c r="AB196" s="6" t="inlineStr">
        <is>
          <t>DATA+DEC</t>
        </is>
      </c>
      <c r="AC196" s="6" t="inlineStr">
        <is>
          <t>PARTLY ANSWERED - OPEN</t>
        </is>
      </c>
      <c r="AD196" s="6" t="inlineStr">
        <is>
          <t>RE-CHARACTERISED</t>
        </is>
      </c>
      <c r="AE196" s="6" t="inlineStr">
        <is>
          <t>2026-10-19</t>
        </is>
      </c>
      <c r="AF196" s="6" t="inlineStr">
        <is>
          <t>v4-02 sections 6-7; v4-03 section 5</t>
        </is>
      </c>
      <c r="AG196" s="6" t="inlineStr"/>
      <c r="AH196" s="6" t="inlineStr">
        <is>
          <t>No for simulation; yes for cross-setting</t>
        </is>
      </c>
      <c r="AI196" s="6" t="inlineStr"/>
      <c r="AJ196" s="6" t="inlineStr">
        <is>
          <t>SRC-11 canonical</t>
        </is>
      </c>
      <c r="AK196" s="6" t="inlineStr">
        <is>
          <t>SRC-06 S32, SRC-06 S38, SRC-06 C01, SRC-06 C12, SRC-07 09, SRC-07 16, SRC-07 17, CH-0040, v3-04 objection 1</t>
        </is>
      </c>
      <c r="AL196" s="6" t="inlineStr">
        <is>
          <t>S14</t>
        </is>
      </c>
    </row>
    <row r="197" ht="28" customHeight="1">
      <c r="A197" s="5" t="inlineStr">
        <is>
          <t>C-X06</t>
        </is>
      </c>
      <c r="B197" s="6" t="inlineStr">
        <is>
          <t>E6: error rates of the arm-selection procedure (simulation plus cross-setting test).</t>
        </is>
      </c>
      <c r="C197" s="6" t="inlineStr">
        <is>
          <t>UNRUN</t>
        </is>
      </c>
      <c r="D197" s="6">
        <f>IFERROR(INDEX(Lists!$B$2:$B$14,MATCH(C197,Lists!$A$2:$A$14,0)),"?")</f>
        <v/>
      </c>
      <c r="E197" s="6">
        <f>IF(COUNTIFS(Links!$B$2:$B$600,A197,Links!$E$2:$E$600,"Yes")&gt;0,"REVISE","")</f>
        <v/>
      </c>
      <c r="F197" s="6">
        <f>COUNTIFS(Links!$B$2:$B$600,A197,Links!$D$2:$D$600,"No",Links!$C$2:$C$600,"&lt;&gt;INFORMS")</f>
        <v/>
      </c>
      <c r="G197" s="13" t="inlineStr">
        <is>
          <t>DESK-ANALYSIS</t>
        </is>
      </c>
      <c r="H197" s="6" t="inlineStr">
        <is>
          <t>K5 Evaluation contract</t>
        </is>
      </c>
      <c r="I197" s="6" t="inlineStr">
        <is>
          <t>G3 Before confirmatory study</t>
        </is>
      </c>
      <c r="J197" s="6" t="inlineStr">
        <is>
          <t>Normal</t>
        </is>
      </c>
      <c r="K197" s="6" t="n">
        <v>201</v>
      </c>
      <c r="L197" s="6" t="inlineStr">
        <is>
          <t>W4 End-to-end</t>
        </is>
      </c>
      <c r="M197" s="6" t="inlineStr">
        <is>
          <t>S23</t>
        </is>
      </c>
      <c r="N197" s="6" t="inlineStr">
        <is>
          <t>Lead / team</t>
        </is>
      </c>
      <c r="O197" s="6" t="inlineStr">
        <is>
          <t>Lead computes or writes it (no model runs)</t>
        </is>
      </c>
      <c r="P197" s="6" t="inlineStr">
        <is>
          <t>No</t>
        </is>
      </c>
      <c r="Q197" s="6" t="inlineStr">
        <is>
          <t>Test</t>
        </is>
      </c>
      <c r="R197" s="6" t="inlineStr">
        <is>
          <t>Check</t>
        </is>
      </c>
      <c r="S197" s="6" t="inlineStr"/>
      <c r="T197" s="6" t="inlineStr">
        <is>
          <t>E6: error rates of the arm-selection procedure (simulation plus cross-setting test).</t>
        </is>
      </c>
      <c r="U197" s="6" t="inlineStr">
        <is>
          <t>Not run.</t>
        </is>
      </c>
      <c r="V197" s="6" t="inlineStr">
        <is>
          <t>Same as C-S14.</t>
        </is>
      </c>
      <c r="W197" s="6" t="inlineStr">
        <is>
          <t>C-D08</t>
        </is>
      </c>
      <c r="X197" s="6" t="inlineStr"/>
      <c r="Y197" s="6" t="inlineStr"/>
      <c r="Z197" s="6" t="inlineStr">
        <is>
          <t>TEST-PILOT</t>
        </is>
      </c>
      <c r="AA197" s="6" t="inlineStr">
        <is>
          <t>K17 Record repair &amp; procedure error</t>
        </is>
      </c>
      <c r="AB197" s="6" t="inlineStr">
        <is>
          <t>DATA</t>
        </is>
      </c>
      <c r="AC197" s="6" t="inlineStr">
        <is>
          <t>NO RESULT - OPEN</t>
        </is>
      </c>
      <c r="AD197" s="6" t="inlineStr">
        <is>
          <t>UNCHANGED</t>
        </is>
      </c>
      <c r="AE197" s="6" t="inlineStr">
        <is>
          <t>2026-10-19</t>
        </is>
      </c>
      <c r="AF197" s="6" t="inlineStr">
        <is>
          <t>v4-02 section 6</t>
        </is>
      </c>
      <c r="AG197" s="6" t="inlineStr"/>
      <c r="AH197" s="6" t="inlineStr">
        <is>
          <t>Cross-setting part: yes</t>
        </is>
      </c>
      <c r="AI197" s="6" t="inlineStr"/>
      <c r="AJ197" s="6" t="inlineStr">
        <is>
          <t>SRC-11 canonical</t>
        </is>
      </c>
      <c r="AK197" s="6" t="inlineStr">
        <is>
          <t>E6</t>
        </is>
      </c>
      <c r="AL197" s="6" t="inlineStr">
        <is>
          <t>S14</t>
        </is>
      </c>
    </row>
    <row r="198" ht="53" customHeight="1">
      <c r="A198" s="5" t="inlineStr">
        <is>
          <t>N-12</t>
        </is>
      </c>
      <c r="B198" s="6" t="inlineStr">
        <is>
          <t>Does an early-observable quantity predict whether restriction pays?</t>
        </is>
      </c>
      <c r="C198" s="6" t="inlineStr">
        <is>
          <t>OPEN</t>
        </is>
      </c>
      <c r="D198" s="6">
        <f>IFERROR(INDEX(Lists!$B$2:$B$14,MATCH(C198,Lists!$A$2:$A$14,0)),"?")</f>
        <v/>
      </c>
      <c r="E198" s="6">
        <f>IF(COUNTIFS(Links!$B$2:$B$600,A198,Links!$E$2:$E$600,"Yes")&gt;0,"REVISE","")</f>
        <v/>
      </c>
      <c r="F198" s="6">
        <f>COUNTIFS(Links!$B$2:$B$600,A198,Links!$D$2:$D$600,"No",Links!$C$2:$C$600,"&lt;&gt;INFORMS")</f>
        <v/>
      </c>
      <c r="G198" s="17" t="inlineStr">
        <is>
          <t>TEST-PILOT</t>
        </is>
      </c>
      <c r="H198" s="6" t="inlineStr">
        <is>
          <t>K9 Cache &amp; billing</t>
        </is>
      </c>
      <c r="I198" s="6" t="inlineStr">
        <is>
          <t>G3 Before confirmatory study</t>
        </is>
      </c>
      <c r="J198" s="6" t="inlineStr">
        <is>
          <t>Normal</t>
        </is>
      </c>
      <c r="K198" s="6" t="n">
        <v>202</v>
      </c>
      <c r="L198" s="6" t="inlineStr">
        <is>
          <t>W4 End-to-end</t>
        </is>
      </c>
      <c r="M198" s="6" t="inlineStr">
        <is>
          <t>S23</t>
        </is>
      </c>
      <c r="N198" s="6" t="inlineStr">
        <is>
          <t>Team</t>
        </is>
      </c>
      <c r="O198" s="6" t="inlineStr">
        <is>
          <t>Needs an AUTH and a protocol</t>
        </is>
      </c>
      <c r="P198" s="6" t="inlineStr">
        <is>
          <t>No</t>
        </is>
      </c>
      <c r="Q198" s="6" t="inlineStr">
        <is>
          <t>Scientific unknown</t>
        </is>
      </c>
      <c r="R198" s="6" t="inlineStr">
        <is>
          <t>Item</t>
        </is>
      </c>
      <c r="S198" s="6" t="inlineStr"/>
      <c r="T198" s="6" t="inlineStr">
        <is>
          <t>HYP-0001: a quantity observable at or shortly after session start (early cache-read share, request repetition) predicts which exposure arm is non-dominated better than pre-session variables.</t>
        </is>
      </c>
      <c r="U198" s="6" t="inlineStr">
        <is>
          <t>Proposed; falsifier stated.</t>
        </is>
      </c>
      <c r="V198" s="6" t="inlineStr">
        <is>
          <t>Regime grid run with early-observable features; falsifier tested.</t>
        </is>
      </c>
      <c r="W198" s="6" t="inlineStr">
        <is>
          <t>C-D09, C-D08</t>
        </is>
      </c>
      <c r="X198" s="6" t="inlineStr">
        <is>
          <t>N-3</t>
        </is>
      </c>
      <c r="Y198" s="6" t="inlineStr">
        <is>
          <t>Q-J04</t>
        </is>
      </c>
      <c r="Z198" s="6" t="inlineStr"/>
      <c r="AA198" s="6" t="inlineStr"/>
      <c r="AB198" s="6" t="inlineStr">
        <is>
          <t>DATA</t>
        </is>
      </c>
      <c r="AC198" s="6" t="inlineStr">
        <is>
          <t>n/a (new)</t>
        </is>
      </c>
      <c r="AD198" s="6" t="inlineStr">
        <is>
          <t>NEW (repo sweep)</t>
        </is>
      </c>
      <c r="AE198" s="6" t="inlineStr">
        <is>
          <t>2026-10-19</t>
        </is>
      </c>
      <c r="AF198" s="6" t="inlineStr">
        <is>
          <t>HYP-0001 (proposed); untestable on the closest vehicle (no sessions, no cache fields)</t>
        </is>
      </c>
      <c r="AG198" s="6" t="inlineStr"/>
      <c r="AH198" s="6" t="inlineStr">
        <is>
          <t>Yes</t>
        </is>
      </c>
      <c r="AI198" s="6" t="inlineStr"/>
      <c r="AJ198" s="6" t="inlineStr">
        <is>
          <t>repo: hypotheses/HYP-0001.md</t>
        </is>
      </c>
      <c r="AK198" s="6" t="inlineStr">
        <is>
          <t>HYP-0001</t>
        </is>
      </c>
      <c r="AL198" s="6" t="inlineStr">
        <is>
          <t>S18</t>
        </is>
      </c>
    </row>
    <row r="199" ht="40.5" customHeight="1">
      <c r="A199" s="5" t="inlineStr">
        <is>
          <t>C-S02/INVERSION</t>
        </is>
      </c>
      <c r="B199" s="6" t="inlineStr">
        <is>
          <t>Does a regime exist where fewer exposed tokens cost more in billed terms?</t>
        </is>
      </c>
      <c r="C199" s="6" t="inlineStr">
        <is>
          <t>OPEN</t>
        </is>
      </c>
      <c r="D199" s="6">
        <f>IFERROR(INDEX(Lists!$B$2:$B$14,MATCH(C199,Lists!$A$2:$A$14,0)),"?")</f>
        <v/>
      </c>
      <c r="E199" s="6">
        <f>IF(COUNTIFS(Links!$B$2:$B$600,A199,Links!$E$2:$E$600,"Yes")&gt;0,"REVISE","")</f>
        <v/>
      </c>
      <c r="F199" s="6">
        <f>COUNTIFS(Links!$B$2:$B$600,A199,Links!$D$2:$D$600,"No",Links!$C$2:$C$600,"&lt;&gt;INFORMS")</f>
        <v/>
      </c>
      <c r="G199" s="19" t="inlineStr">
        <is>
          <t>TEST-CONFIRMATORY</t>
        </is>
      </c>
      <c r="H199" s="6" t="inlineStr">
        <is>
          <t>K11 End-to-end comparison</t>
        </is>
      </c>
      <c r="I199" s="6" t="inlineStr">
        <is>
          <t>G4 Before claims</t>
        </is>
      </c>
      <c r="J199" s="6" t="inlineStr">
        <is>
          <t>Normal</t>
        </is>
      </c>
      <c r="K199" s="6" t="n">
        <v>203</v>
      </c>
      <c r="L199" s="6" t="inlineStr">
        <is>
          <t>W4 End-to-end</t>
        </is>
      </c>
      <c r="M199" s="6" t="inlineStr">
        <is>
          <t>S23</t>
        </is>
      </c>
      <c r="N199" s="6" t="inlineStr">
        <is>
          <t>Team</t>
        </is>
      </c>
      <c r="O199" s="6" t="inlineStr">
        <is>
          <t>Only after pilots, decisions and an AUTH</t>
        </is>
      </c>
      <c r="P199" s="6" t="inlineStr">
        <is>
          <t>No</t>
        </is>
      </c>
      <c r="Q199" s="6" t="inlineStr">
        <is>
          <t>Scientific unknown</t>
        </is>
      </c>
      <c r="R199" s="6" t="inlineStr">
        <is>
          <t>Sub-item</t>
        </is>
      </c>
      <c r="S199" s="6" t="inlineStr">
        <is>
          <t>C-S02</t>
        </is>
      </c>
      <c r="T199" s="6" t="inlineStr">
        <is>
          <t>HYP-0005/0008: the exposure-cost relation is not monotone; an inversion arises only via a lower hit rate, longer decision path or higher price of the restricted arm.</t>
        </is>
      </c>
      <c r="U199" s="6" t="inlineStr">
        <is>
          <t>Proposed.</t>
        </is>
      </c>
      <c r="V199" s="6" t="inlineStr">
        <is>
          <t>Sweep over cache regimes and surface policies with intervals.</t>
        </is>
      </c>
      <c r="W199" s="6" t="inlineStr">
        <is>
          <t>C-D09, C-D08</t>
        </is>
      </c>
      <c r="X199" s="6" t="inlineStr"/>
      <c r="Y199" s="6" t="inlineStr"/>
      <c r="Z199" s="6" t="inlineStr"/>
      <c r="AA199" s="6" t="inlineStr"/>
      <c r="AB199" s="6" t="inlineStr">
        <is>
          <t>DATA</t>
        </is>
      </c>
      <c r="AC199" s="6" t="inlineStr">
        <is>
          <t>n/a (sub-item)</t>
        </is>
      </c>
      <c r="AD199" s="6" t="inlineStr">
        <is>
          <t>NEW (SRC-11 sub-row)</t>
        </is>
      </c>
      <c r="AE199" s="6" t="inlineStr">
        <is>
          <t>2026-10-19</t>
        </is>
      </c>
      <c r="AF199" s="6" t="inlineStr">
        <is>
          <t>HYP-0005, HYP-0008</t>
        </is>
      </c>
      <c r="AG199" s="6" t="inlineStr"/>
      <c r="AH199" s="6" t="inlineStr">
        <is>
          <t>Yes</t>
        </is>
      </c>
      <c r="AI199" s="6" t="inlineStr"/>
      <c r="AJ199" s="6" t="inlineStr">
        <is>
          <t>repo: HYP records / CH-0042</t>
        </is>
      </c>
      <c r="AK199" s="6" t="inlineStr">
        <is>
          <t>HYP-0005, HYP-0008</t>
        </is>
      </c>
      <c r="AL199" s="6" t="inlineStr">
        <is>
          <t>S22</t>
        </is>
      </c>
    </row>
    <row r="200" ht="40.5" customHeight="1">
      <c r="A200" s="5" t="inlineStr">
        <is>
          <t>C-S02/PERVERSE</t>
        </is>
      </c>
      <c r="B200" s="6" t="inlineStr">
        <is>
          <t>Perverse optima of the token objective (tail dilution, expensive-task shedding, uncounted compute)</t>
        </is>
      </c>
      <c r="C200" s="6" t="inlineStr">
        <is>
          <t>OPEN</t>
        </is>
      </c>
      <c r="D200" s="6">
        <f>IFERROR(INDEX(Lists!$B$2:$B$14,MATCH(C200,Lists!$A$2:$A$14,0)),"?")</f>
        <v/>
      </c>
      <c r="E200" s="6">
        <f>IF(COUNTIFS(Links!$B$2:$B$600,A200,Links!$E$2:$E$600,"Yes")&gt;0,"REVISE","")</f>
        <v/>
      </c>
      <c r="F200" s="6">
        <f>COUNTIFS(Links!$B$2:$B$600,A200,Links!$D$2:$D$600,"No",Links!$C$2:$C$600,"&lt;&gt;INFORMS")</f>
        <v/>
      </c>
      <c r="G200" s="13" t="inlineStr">
        <is>
          <t>DESK-ANALYSIS</t>
        </is>
      </c>
      <c r="H200" s="6" t="inlineStr">
        <is>
          <t>K11 End-to-end comparison</t>
        </is>
      </c>
      <c r="I200" s="6" t="inlineStr">
        <is>
          <t>G4 Before claims</t>
        </is>
      </c>
      <c r="J200" s="6" t="inlineStr">
        <is>
          <t>Normal</t>
        </is>
      </c>
      <c r="K200" s="6" t="n">
        <v>204</v>
      </c>
      <c r="L200" s="6" t="inlineStr">
        <is>
          <t>W4 End-to-end</t>
        </is>
      </c>
      <c r="M200" s="6" t="inlineStr">
        <is>
          <t>S23</t>
        </is>
      </c>
      <c r="N200" s="6" t="inlineStr">
        <is>
          <t>Team</t>
        </is>
      </c>
      <c r="O200" s="6" t="inlineStr">
        <is>
          <t>Lead computes or writes it (no model runs)</t>
        </is>
      </c>
      <c r="P200" s="6" t="inlineStr">
        <is>
          <t>No</t>
        </is>
      </c>
      <c r="Q200" s="6" t="inlineStr">
        <is>
          <t>Scientific unknown</t>
        </is>
      </c>
      <c r="R200" s="6" t="inlineStr">
        <is>
          <t>Sub-item</t>
        </is>
      </c>
      <c r="S200" s="6" t="inlineStr">
        <is>
          <t>C-S02</t>
        </is>
      </c>
      <c r="T200" s="6" t="inlineStr">
        <is>
          <t>CH-0042: an aggregate noninferiority constraint on tokens can have perverse optima; non-token compute is uncounted.</t>
        </is>
      </c>
      <c r="U200" s="6" t="inlineStr">
        <is>
          <t>Stratum guard added; tokens split by outcome belong to E1.</t>
        </is>
      </c>
      <c r="V200" s="6" t="inlineStr">
        <is>
          <t>Success and tokens reported by stratum and outcome; non-token compute listed.</t>
        </is>
      </c>
      <c r="W200" s="6" t="inlineStr">
        <is>
          <t>C-D09, C-D08</t>
        </is>
      </c>
      <c r="X200" s="6" t="inlineStr"/>
      <c r="Y200" s="6" t="inlineStr"/>
      <c r="Z200" s="6" t="inlineStr"/>
      <c r="AA200" s="6" t="inlineStr"/>
      <c r="AB200" s="6" t="inlineStr">
        <is>
          <t>DATA</t>
        </is>
      </c>
      <c r="AC200" s="6" t="inlineStr">
        <is>
          <t>n/a (sub-item)</t>
        </is>
      </c>
      <c r="AD200" s="6" t="inlineStr">
        <is>
          <t>NEW (SRC-11 sub-row)</t>
        </is>
      </c>
      <c r="AE200" s="6" t="inlineStr">
        <is>
          <t>2026-10-19</t>
        </is>
      </c>
      <c r="AF200" s="6" t="inlineStr">
        <is>
          <t>v3-04 section 1 (CH-0042 residual)</t>
        </is>
      </c>
      <c r="AG200" s="6" t="inlineStr"/>
      <c r="AH200" s="6" t="inlineStr">
        <is>
          <t>Yes</t>
        </is>
      </c>
      <c r="AI200" s="6" t="inlineStr"/>
      <c r="AJ200" s="6" t="inlineStr">
        <is>
          <t>repo: HYP records / CH-0042</t>
        </is>
      </c>
      <c r="AK200" s="6" t="inlineStr">
        <is>
          <t>CH-0042</t>
        </is>
      </c>
      <c r="AL200" s="6" t="inlineStr">
        <is>
          <t>S22</t>
        </is>
      </c>
    </row>
    <row r="201" ht="40.5" customHeight="1">
      <c r="A201" s="5" t="inlineStr">
        <is>
          <t>C-S02/PREV</t>
        </is>
      </c>
      <c r="B201" s="6" t="inlineStr">
        <is>
          <t>Is recovery worth its price as a function of prevalence w of tasks needing non-core tools?</t>
        </is>
      </c>
      <c r="C201" s="6" t="inlineStr">
        <is>
          <t>OPEN</t>
        </is>
      </c>
      <c r="D201" s="6">
        <f>IFERROR(INDEX(Lists!$B$2:$B$14,MATCH(C201,Lists!$A$2:$A$14,0)),"?")</f>
        <v/>
      </c>
      <c r="E201" s="6">
        <f>IF(COUNTIFS(Links!$B$2:$B$600,A201,Links!$E$2:$E$600,"Yes")&gt;0,"REVISE","")</f>
        <v/>
      </c>
      <c r="F201" s="6">
        <f>COUNTIFS(Links!$B$2:$B$600,A201,Links!$D$2:$D$600,"No",Links!$C$2:$C$600,"&lt;&gt;INFORMS")</f>
        <v/>
      </c>
      <c r="G201" s="19" t="inlineStr">
        <is>
          <t>TEST-CONFIRMATORY</t>
        </is>
      </c>
      <c r="H201" s="6" t="inlineStr">
        <is>
          <t>K11 End-to-end comparison</t>
        </is>
      </c>
      <c r="I201" s="6" t="inlineStr">
        <is>
          <t>G4 Before claims</t>
        </is>
      </c>
      <c r="J201" s="6" t="inlineStr">
        <is>
          <t>Normal</t>
        </is>
      </c>
      <c r="K201" s="6" t="n">
        <v>205</v>
      </c>
      <c r="L201" s="6" t="inlineStr">
        <is>
          <t>W4 End-to-end</t>
        </is>
      </c>
      <c r="M201" s="6" t="inlineStr">
        <is>
          <t>S23</t>
        </is>
      </c>
      <c r="N201" s="6" t="inlineStr">
        <is>
          <t>Team</t>
        </is>
      </c>
      <c r="O201" s="6" t="inlineStr">
        <is>
          <t>Only after pilots, decisions and an AUTH</t>
        </is>
      </c>
      <c r="P201" s="6" t="inlineStr">
        <is>
          <t>No</t>
        </is>
      </c>
      <c r="Q201" s="6" t="inlineStr">
        <is>
          <t>Scientific unknown</t>
        </is>
      </c>
      <c r="R201" s="6" t="inlineStr">
        <is>
          <t>Sub-item</t>
        </is>
      </c>
      <c r="S201" s="6" t="inlineStr">
        <is>
          <t>C-S02</t>
        </is>
      </c>
      <c r="T201" s="6" t="inlineStr">
        <is>
          <t>HYP-0011: value accrues only in tasks needing a tool outside the core while price accrues in all tasks.</t>
        </is>
      </c>
      <c r="U201" s="6" t="inlineStr">
        <is>
          <t>Proposed.</t>
        </is>
      </c>
      <c r="V201" s="6" t="inlineStr">
        <is>
          <t>Population net effect w x gain - (1-w) x price estimated; prevalence reported.</t>
        </is>
      </c>
      <c r="W201" s="6" t="inlineStr">
        <is>
          <t>C-D09, C-D08</t>
        </is>
      </c>
      <c r="X201" s="6" t="inlineStr"/>
      <c r="Y201" s="6" t="inlineStr"/>
      <c r="Z201" s="6" t="inlineStr"/>
      <c r="AA201" s="6" t="inlineStr"/>
      <c r="AB201" s="6" t="inlineStr">
        <is>
          <t>DATA</t>
        </is>
      </c>
      <c r="AC201" s="6" t="inlineStr">
        <is>
          <t>n/a (sub-item)</t>
        </is>
      </c>
      <c r="AD201" s="6" t="inlineStr">
        <is>
          <t>NEW (SRC-11 sub-row)</t>
        </is>
      </c>
      <c r="AE201" s="6" t="inlineStr">
        <is>
          <t>2026-10-19</t>
        </is>
      </c>
      <c r="AF201" s="6" t="inlineStr">
        <is>
          <t>HYP-0011</t>
        </is>
      </c>
      <c r="AG201" s="6" t="inlineStr"/>
      <c r="AH201" s="6" t="inlineStr">
        <is>
          <t>Yes</t>
        </is>
      </c>
      <c r="AI201" s="6" t="inlineStr"/>
      <c r="AJ201" s="6" t="inlineStr">
        <is>
          <t>repo: HYP records / CH-0042</t>
        </is>
      </c>
      <c r="AK201" s="6" t="inlineStr">
        <is>
          <t>HYP-0011</t>
        </is>
      </c>
      <c r="AL201" s="6" t="inlineStr">
        <is>
          <t>S22</t>
        </is>
      </c>
    </row>
    <row r="202" ht="90.5" customHeight="1">
      <c r="A202" s="5" t="inlineStr">
        <is>
          <t>C-S02</t>
        </is>
      </c>
      <c r="B202" s="6" t="inlineStr">
        <is>
          <t>Repeated complete-trajectory success and cache-aware billed cost: deferral/discovery vs cached full exposure.</t>
        </is>
      </c>
      <c r="C202" s="6" t="inlineStr">
        <is>
          <t>OPEN</t>
        </is>
      </c>
      <c r="D202" s="6">
        <f>IFERROR(INDEX(Lists!$B$2:$B$14,MATCH(C202,Lists!$A$2:$A$14,0)),"?")</f>
        <v/>
      </c>
      <c r="E202" s="6">
        <f>IF(COUNTIFS(Links!$B$2:$B$600,A202,Links!$E$2:$E$600,"Yes")&gt;0,"REVISE","")</f>
        <v/>
      </c>
      <c r="F202" s="6">
        <f>COUNTIFS(Links!$B$2:$B$600,A202,Links!$D$2:$D$600,"No",Links!$C$2:$C$600,"&lt;&gt;INFORMS")</f>
        <v/>
      </c>
      <c r="G202" s="19" t="inlineStr">
        <is>
          <t>TEST-CONFIRMATORY</t>
        </is>
      </c>
      <c r="H202" s="6" t="inlineStr">
        <is>
          <t>K11 End-to-end comparison</t>
        </is>
      </c>
      <c r="I202" s="6" t="inlineStr">
        <is>
          <t>G4 Before claims</t>
        </is>
      </c>
      <c r="J202" s="6" t="inlineStr">
        <is>
          <t>Normal</t>
        </is>
      </c>
      <c r="K202" s="6" t="n">
        <v>206</v>
      </c>
      <c r="L202" s="6" t="inlineStr">
        <is>
          <t>W4 End-to-end</t>
        </is>
      </c>
      <c r="M202" s="6" t="inlineStr">
        <is>
          <t>S23</t>
        </is>
      </c>
      <c r="N202" s="6" t="inlineStr">
        <is>
          <t>Team</t>
        </is>
      </c>
      <c r="O202" s="6" t="inlineStr">
        <is>
          <t>Only after pilots, decisions and an AUTH</t>
        </is>
      </c>
      <c r="P202" s="6" t="inlineStr">
        <is>
          <t>No</t>
        </is>
      </c>
      <c r="Q202" s="6" t="inlineStr">
        <is>
          <t>Scientific unknown</t>
        </is>
      </c>
      <c r="R202" s="6" t="inlineStr">
        <is>
          <t>Item</t>
        </is>
      </c>
      <c r="S202" s="6" t="inlineStr"/>
      <c r="T202" s="6" t="inlineStr">
        <is>
          <t>Repeated complete-trajectory success and cache-aware billed cost: deferral/discovery vs cached full exposure.</t>
        </is>
      </c>
      <c r="U20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t>
        </is>
      </c>
      <c r="V202" s="6" t="inlineStr">
        <is>
          <t>Feasibility pilot, then an appropriately powered paired comparison with provider usage and invoice reconciliation.</t>
        </is>
      </c>
      <c r="W202" s="6" t="inlineStr">
        <is>
          <t>C-D09, C-D08, C-D02, C-D06, C-E06, C-S01, C-S03, C-S08, C-S14</t>
        </is>
      </c>
      <c r="X202" s="6" t="inlineStr">
        <is>
          <t>C-S12, C-S13, C-S15, C-D11</t>
        </is>
      </c>
      <c r="Y202" s="6" t="inlineStr">
        <is>
          <t>Q-U03</t>
        </is>
      </c>
      <c r="Z202" s="6" t="inlineStr">
        <is>
          <t>TEST-PILOT</t>
        </is>
      </c>
      <c r="AA202" s="6" t="inlineStr">
        <is>
          <t>K9 Cache &amp; billing</t>
        </is>
      </c>
      <c r="AB202" s="6" t="inlineStr">
        <is>
          <t>DATA</t>
        </is>
      </c>
      <c r="AC202" s="6" t="inlineStr">
        <is>
          <t>OPEN</t>
        </is>
      </c>
      <c r="AD202" s="6" t="inlineStr">
        <is>
          <t>UNCHANGED</t>
        </is>
      </c>
      <c r="AE202" s="6" t="inlineStr">
        <is>
          <t>2026-10-19</t>
        </is>
      </c>
      <c r="AF202" s="6" t="inlineStr">
        <is>
          <t>v4-05 section 1A; v4-04 section 3</t>
        </is>
      </c>
      <c r="AG202" s="6" t="inlineStr"/>
      <c r="AH202" s="6" t="inlineStr">
        <is>
          <t>Yes</t>
        </is>
      </c>
      <c r="AI202" s="6" t="inlineStr"/>
      <c r="AJ202" s="6" t="inlineStr">
        <is>
          <t>SRC-11 canonical</t>
        </is>
      </c>
      <c r="AK202" s="6" t="inlineStr">
        <is>
          <t>SRC-06 S01, SRC-06 S03, SRC-07 13, SRC-07 22, v3-04 E5, v3-04 E7, HYP-0005, HYP-0008, RA11</t>
        </is>
      </c>
      <c r="AL202" s="6" t="inlineStr">
        <is>
          <t>S22</t>
        </is>
      </c>
    </row>
    <row r="203" ht="40.5" customHeight="1">
      <c r="A203" s="5" t="inlineStr">
        <is>
          <t>C-X05</t>
        </is>
      </c>
      <c r="B203" s="6" t="inlineStr">
        <is>
          <t>E5: repeated end-to-end success/cost sweep that answers C-S02.</t>
        </is>
      </c>
      <c r="C203" s="6" t="inlineStr">
        <is>
          <t>UNRUN</t>
        </is>
      </c>
      <c r="D203" s="6">
        <f>IFERROR(INDEX(Lists!$B$2:$B$14,MATCH(C203,Lists!$A$2:$A$14,0)),"?")</f>
        <v/>
      </c>
      <c r="E203" s="6">
        <f>IF(COUNTIFS(Links!$B$2:$B$600,A203,Links!$E$2:$E$600,"Yes")&gt;0,"REVISE","")</f>
        <v/>
      </c>
      <c r="F203" s="6">
        <f>COUNTIFS(Links!$B$2:$B$600,A203,Links!$D$2:$D$600,"No",Links!$C$2:$C$600,"&lt;&gt;INFORMS")</f>
        <v/>
      </c>
      <c r="G203" s="19" t="inlineStr">
        <is>
          <t>TEST-CONFIRMATORY</t>
        </is>
      </c>
      <c r="H203" s="6" t="inlineStr">
        <is>
          <t>K11 End-to-end comparison</t>
        </is>
      </c>
      <c r="I203" s="6" t="inlineStr">
        <is>
          <t>G4 Before claims</t>
        </is>
      </c>
      <c r="J203" s="6" t="inlineStr">
        <is>
          <t>Normal</t>
        </is>
      </c>
      <c r="K203" s="6" t="n">
        <v>207</v>
      </c>
      <c r="L203" s="6" t="inlineStr">
        <is>
          <t>W4 End-to-end</t>
        </is>
      </c>
      <c r="M203" s="6" t="inlineStr">
        <is>
          <t>S23</t>
        </is>
      </c>
      <c r="N203" s="6" t="inlineStr">
        <is>
          <t>Team</t>
        </is>
      </c>
      <c r="O203" s="6" t="inlineStr">
        <is>
          <t>Only after pilots, decisions and an AUTH</t>
        </is>
      </c>
      <c r="P203" s="6" t="inlineStr">
        <is>
          <t>No</t>
        </is>
      </c>
      <c r="Q203" s="6" t="inlineStr">
        <is>
          <t>Test</t>
        </is>
      </c>
      <c r="R203" s="6" t="inlineStr">
        <is>
          <t>Check</t>
        </is>
      </c>
      <c r="S203" s="6" t="inlineStr"/>
      <c r="T203" s="6" t="inlineStr">
        <is>
          <t>E5: repeated end-to-end success/cost sweep that answers C-S02.</t>
        </is>
      </c>
      <c r="U203" s="6" t="inlineStr">
        <is>
          <t>Power arithmetic only: about 495 pairs for a single five-point contrast; 800-2,300 for several contrasts or strata.</t>
        </is>
      </c>
      <c r="V203" s="6" t="inlineStr">
        <is>
          <t>Same as C-S02.</t>
        </is>
      </c>
      <c r="W203" s="6" t="inlineStr">
        <is>
          <t>C-D09, C-D08, C-D02, C-D06, C-E06, C-S01, C-S03, C-S08</t>
        </is>
      </c>
      <c r="X203" s="6" t="inlineStr">
        <is>
          <t>C-D11</t>
        </is>
      </c>
      <c r="Y203" s="6" t="inlineStr"/>
      <c r="Z203" s="6" t="inlineStr">
        <is>
          <t>TEST-PILOT</t>
        </is>
      </c>
      <c r="AA203" s="6" t="inlineStr"/>
      <c r="AB203" s="6" t="inlineStr">
        <is>
          <t>DATA</t>
        </is>
      </c>
      <c r="AC203" s="6" t="inlineStr">
        <is>
          <t>NO RESULT - OPEN</t>
        </is>
      </c>
      <c r="AD203" s="6" t="inlineStr">
        <is>
          <t>UNCHANGED</t>
        </is>
      </c>
      <c r="AE203" s="6" t="inlineStr">
        <is>
          <t>2026-10-19</t>
        </is>
      </c>
      <c r="AF203" s="6" t="inlineStr">
        <is>
          <t>v4-02 section 7</t>
        </is>
      </c>
      <c r="AG203" s="6" t="inlineStr"/>
      <c r="AH203" s="6" t="inlineStr">
        <is>
          <t>Yes</t>
        </is>
      </c>
      <c r="AI203" s="6" t="inlineStr"/>
      <c r="AJ203" s="6" t="inlineStr">
        <is>
          <t>SRC-11 canonical</t>
        </is>
      </c>
      <c r="AK203" s="6" t="inlineStr">
        <is>
          <t>E5</t>
        </is>
      </c>
      <c r="AL203" s="6" t="inlineStr">
        <is>
          <t>S22</t>
        </is>
      </c>
    </row>
    <row r="204" ht="40.5" customHeight="1">
      <c r="A204" s="5" t="inlineStr">
        <is>
          <t>C-E03</t>
        </is>
      </c>
      <c r="B204" s="6" t="inlineStr">
        <is>
          <t>Version drift, vendor arithmetic and evaluator error need version labels and primary checks.</t>
        </is>
      </c>
      <c r="C204" s="6" t="inlineStr">
        <is>
          <t>OPEN</t>
        </is>
      </c>
      <c r="D204" s="6">
        <f>IFERROR(INDEX(Lists!$B$2:$B$14,MATCH(C204,Lists!$A$2:$A$14,0)),"?")</f>
        <v/>
      </c>
      <c r="E204" s="6">
        <f>IF(COUNTIFS(Links!$B$2:$B$600,A204,Links!$E$2:$E$600,"Yes")&gt;0,"REVISE","")</f>
        <v/>
      </c>
      <c r="F204" s="6">
        <f>COUNTIFS(Links!$B$2:$B$600,A204,Links!$D$2:$D$600,"No",Links!$C$2:$C$600,"&lt;&gt;INFORMS")</f>
        <v/>
      </c>
      <c r="G204" s="14" t="inlineStr">
        <is>
          <t>SOURCE-REREAD</t>
        </is>
      </c>
      <c r="H204" s="6" t="inlineStr">
        <is>
          <t>K14 Source &amp; vendor verification</t>
        </is>
      </c>
      <c r="I204" s="6" t="inlineStr">
        <is>
          <t>G4 Before claims</t>
        </is>
      </c>
      <c r="J204" s="6" t="inlineStr">
        <is>
          <t>Normal</t>
        </is>
      </c>
      <c r="K204" s="6" t="n">
        <v>208</v>
      </c>
      <c r="L204" s="6" t="inlineStr">
        <is>
          <t>W5 Claim-time</t>
        </is>
      </c>
      <c r="M204" s="6" t="inlineStr">
        <is>
          <t>S24</t>
        </is>
      </c>
      <c r="N204" s="6" t="inlineStr">
        <is>
          <t>Lead</t>
        </is>
      </c>
      <c r="O204" s="6" t="inlineStr">
        <is>
          <t>Read the stored text first (tools/origin_extract.py)</t>
        </is>
      </c>
      <c r="P204" s="6" t="inlineStr">
        <is>
          <t>Yes - stored text, unread</t>
        </is>
      </c>
      <c r="Q204" s="6" t="inlineStr">
        <is>
          <t>Source check</t>
        </is>
      </c>
      <c r="R204" s="6" t="inlineStr">
        <is>
          <t>Item</t>
        </is>
      </c>
      <c r="S204" s="6" t="inlineStr"/>
      <c r="T204" s="6" t="inlineStr">
        <is>
          <t>Version drift, vendor arithmetic and evaluator error need version labels and primary checks.</t>
        </is>
      </c>
      <c r="U204" s="6" t="inlineStr">
        <is>
          <t>No version-tagging pass done.</t>
        </is>
      </c>
      <c r="V204" s="6" t="inlineStr">
        <is>
          <t>Every quoted number carries its version and date.</t>
        </is>
      </c>
      <c r="W204" s="6" t="inlineStr"/>
      <c r="X204" s="6" t="inlineStr">
        <is>
          <t>C-D01</t>
        </is>
      </c>
      <c r="Y204" s="6" t="inlineStr"/>
      <c r="Z204" s="6" t="inlineStr">
        <is>
          <t>TIME-RECHECK</t>
        </is>
      </c>
      <c r="AA204" s="6" t="inlineStr">
        <is>
          <t>K15 Expiring provider facts</t>
        </is>
      </c>
      <c r="AB204" s="6" t="inlineStr">
        <is>
          <t>SOURCE+TIME+DATA</t>
        </is>
      </c>
      <c r="AC204" s="6" t="inlineStr">
        <is>
          <t>OPEN</t>
        </is>
      </c>
      <c r="AD204" s="6" t="inlineStr">
        <is>
          <t>UNCHANGED</t>
        </is>
      </c>
      <c r="AE204" s="6" t="inlineStr">
        <is>
          <t>2026-10-19</t>
        </is>
      </c>
      <c r="AF204" s="6" t="inlineStr">
        <is>
          <t>CAVEATS rows 7-9</t>
        </is>
      </c>
      <c r="AG204" s="6" t="inlineStr">
        <is>
          <t>When a claim is used in the thesis</t>
        </is>
      </c>
      <c r="AH204" s="6" t="inlineStr">
        <is>
          <t>No</t>
        </is>
      </c>
      <c r="AI204" s="6" t="inlineStr"/>
      <c r="AJ204" s="6" t="inlineStr">
        <is>
          <t>SRC-11 canonical</t>
        </is>
      </c>
      <c r="AK204" s="6" t="inlineStr">
        <is>
          <t>SRC-06 E03, SRC-06 E40, SRC-07 25-27, CAVEATS 7, CAVEATS 8, CAVEATS 9</t>
        </is>
      </c>
      <c r="AL204" s="6" t="inlineStr">
        <is>
          <t>S11</t>
        </is>
      </c>
    </row>
    <row r="205" ht="65.5" customHeight="1">
      <c r="A205" s="5" t="inlineStr">
        <is>
          <t>C-E03/E40</t>
        </is>
      </c>
      <c r="B205" s="6" t="inlineStr">
        <is>
          <t>MCPVerse, MCP-Atlas, LiveMCPBench version-sensitive numbers</t>
        </is>
      </c>
      <c r="C205" s="6" t="inlineStr">
        <is>
          <t>PARTLY ANSWERED</t>
        </is>
      </c>
      <c r="D205" s="6">
        <f>IFERROR(INDEX(Lists!$B$2:$B$14,MATCH(C205,Lists!$A$2:$A$14,0)),"?")</f>
        <v/>
      </c>
      <c r="E205" s="6">
        <f>IF(COUNTIFS(Links!$B$2:$B$600,A205,Links!$E$2:$E$600,"Yes")&gt;0,"REVISE","")</f>
        <v/>
      </c>
      <c r="F205" s="6">
        <f>COUNTIFS(Links!$B$2:$B$600,A205,Links!$D$2:$D$600,"No",Links!$C$2:$C$600,"&lt;&gt;INFORMS")</f>
        <v/>
      </c>
      <c r="G205" s="14" t="inlineStr">
        <is>
          <t>SOURCE-REREAD</t>
        </is>
      </c>
      <c r="H205" s="6" t="inlineStr">
        <is>
          <t>K14 Source &amp; vendor verification</t>
        </is>
      </c>
      <c r="I205" s="6" t="inlineStr">
        <is>
          <t>G4 Before claims</t>
        </is>
      </c>
      <c r="J205" s="6" t="inlineStr">
        <is>
          <t>Normal</t>
        </is>
      </c>
      <c r="K205" s="6" t="n">
        <v>209</v>
      </c>
      <c r="L205" s="6" t="inlineStr">
        <is>
          <t>W5 Claim-time</t>
        </is>
      </c>
      <c r="M205" s="6" t="inlineStr">
        <is>
          <t>S24</t>
        </is>
      </c>
      <c r="N205" s="6" t="inlineStr">
        <is>
          <t>Lead</t>
        </is>
      </c>
      <c r="O205" s="6" t="inlineStr">
        <is>
          <t>Read the stored text first (tools/origin_extract.py)</t>
        </is>
      </c>
      <c r="P205" s="6" t="inlineStr">
        <is>
          <t>Yes - stored text, unread</t>
        </is>
      </c>
      <c r="Q205" s="6" t="inlineStr">
        <is>
          <t>Source check</t>
        </is>
      </c>
      <c r="R205" s="6" t="inlineStr">
        <is>
          <t>Sub-item</t>
        </is>
      </c>
      <c r="S205" s="6" t="inlineStr">
        <is>
          <t>C-E03</t>
        </is>
      </c>
      <c r="T205" s="6" t="inlineStr">
        <is>
          <t>SRC-06 E40 / SRC-07 25: MCPVerse, MCP-Atlas and LiveMCPBench numbers and attribution are version-sensitive.</t>
        </is>
      </c>
      <c r="U205" s="6" t="inlineStr">
        <is>
          <t>The repo already holds a version report and both versions of each paper; version-tagging of every quoted claim is not done.</t>
        </is>
      </c>
      <c r="V205" s="6" t="inlineStr">
        <is>
          <t>Every quoted number carries version and date.</t>
        </is>
      </c>
      <c r="W205" s="6" t="inlineStr"/>
      <c r="X205" s="6" t="inlineStr"/>
      <c r="Y205" s="6" t="inlineStr"/>
      <c r="Z205" s="6" t="inlineStr"/>
      <c r="AA205" s="6" t="inlineStr"/>
      <c r="AB205" s="6" t="inlineStr">
        <is>
          <t>SOURCE+TIME</t>
        </is>
      </c>
      <c r="AC205" s="6" t="inlineStr">
        <is>
          <t>n/a (sub-item)</t>
        </is>
      </c>
      <c r="AD205" s="6" t="inlineStr">
        <is>
          <t>NARROWED</t>
        </is>
      </c>
      <c r="AE205" s="6" t="inlineStr">
        <is>
          <t>2026-10-19</t>
        </is>
      </c>
      <c r="AF205" s="6" t="inlineStr">
        <is>
          <t>evidence/governing/audit-s4h-20261015/B1-source-version-report.md; stored both versions: r3-mcpverse(v2)+s4h-b1-mcpverse-v1, r3-mcpatlas(v3)+s4h-b1-mcpatlas-v1, r3-livemcpbench(v2)+s4h-b1-livemcpbench-v1</t>
        </is>
      </c>
      <c r="AG205" s="6" t="inlineStr"/>
      <c r="AH205" s="6" t="inlineStr">
        <is>
          <t>No</t>
        </is>
      </c>
      <c r="AI205" s="6" t="inlineStr"/>
      <c r="AJ205" s="6" t="inlineStr">
        <is>
          <t>SRC-11 section D1</t>
        </is>
      </c>
      <c r="AK205" s="6" t="inlineStr">
        <is>
          <t>SRC-06 E40, SRC-07 25, CAVEATS 7</t>
        </is>
      </c>
      <c r="AL205" s="6" t="inlineStr">
        <is>
          <t>S11</t>
        </is>
      </c>
    </row>
    <row r="206" ht="28" customHeight="1">
      <c r="A206" s="5" t="inlineStr">
        <is>
          <t>C-E03/O7-26</t>
        </is>
      </c>
      <c r="B206" s="6" t="inlineStr">
        <is>
          <t>Vendor figures unreplicated/inconsistent (GitHub 27.5 vs 25.5; Anthropic 85% vs ~89%)</t>
        </is>
      </c>
      <c r="C206" s="6" t="inlineStr">
        <is>
          <t>PARTLY ANSWERED</t>
        </is>
      </c>
      <c r="D206" s="6">
        <f>IFERROR(INDEX(Lists!$B$2:$B$14,MATCH(C206,Lists!$A$2:$A$14,0)),"?")</f>
        <v/>
      </c>
      <c r="E206" s="6">
        <f>IF(COUNTIFS(Links!$B$2:$B$600,A206,Links!$E$2:$E$600,"Yes")&gt;0,"REVISE","")</f>
        <v/>
      </c>
      <c r="F206" s="6">
        <f>COUNTIFS(Links!$B$2:$B$600,A206,Links!$D$2:$D$600,"No",Links!$C$2:$C$600,"&lt;&gt;INFORMS")</f>
        <v/>
      </c>
      <c r="G206" s="14" t="inlineStr">
        <is>
          <t>SOURCE-REREAD</t>
        </is>
      </c>
      <c r="H206" s="6" t="inlineStr">
        <is>
          <t>K14 Source &amp; vendor verification</t>
        </is>
      </c>
      <c r="I206" s="6" t="inlineStr">
        <is>
          <t>G4 Before claims</t>
        </is>
      </c>
      <c r="J206" s="6" t="inlineStr">
        <is>
          <t>Normal</t>
        </is>
      </c>
      <c r="K206" s="6" t="n">
        <v>210</v>
      </c>
      <c r="L206" s="6" t="inlineStr">
        <is>
          <t>W5 Claim-time</t>
        </is>
      </c>
      <c r="M206" s="6" t="inlineStr">
        <is>
          <t>S24</t>
        </is>
      </c>
      <c r="N206" s="6" t="inlineStr">
        <is>
          <t>Lead</t>
        </is>
      </c>
      <c r="O206" s="6" t="inlineStr">
        <is>
          <t>Read the decisive passage; fetch only if not stored</t>
        </is>
      </c>
      <c r="P206" s="6" t="inlineStr">
        <is>
          <t>Partly</t>
        </is>
      </c>
      <c r="Q206" s="6" t="inlineStr">
        <is>
          <t>Source check</t>
        </is>
      </c>
      <c r="R206" s="6" t="inlineStr">
        <is>
          <t>Sub-item</t>
        </is>
      </c>
      <c r="S206" s="6" t="inlineStr">
        <is>
          <t>C-E03</t>
        </is>
      </c>
      <c r="T206" s="6" t="inlineStr">
        <is>
          <t>SRC-07 26: vendor figures are unreplicated or inconsistent (GitHub 27.5 vs 25.5; Anthropic 85% vs ~89%).</t>
        </is>
      </c>
      <c r="U206" s="6" t="inlineStr">
        <is>
          <t>The inconsistency is documented in CAVEATS; denominators not recomputed.</t>
        </is>
      </c>
      <c r="V206" s="6" t="inlineStr">
        <is>
          <t>Denominators recomputed; vendor report separated from independent results.</t>
        </is>
      </c>
      <c r="W206" s="6" t="inlineStr"/>
      <c r="X206" s="6" t="inlineStr"/>
      <c r="Y206" s="6" t="inlineStr"/>
      <c r="Z206" s="6" t="inlineStr"/>
      <c r="AA206" s="6" t="inlineStr"/>
      <c r="AB206" s="6" t="inlineStr">
        <is>
          <t>SOURCE+DATA</t>
        </is>
      </c>
      <c r="AC206" s="6" t="inlineStr">
        <is>
          <t>n/a (sub-item)</t>
        </is>
      </c>
      <c r="AD206" s="6" t="inlineStr">
        <is>
          <t>NEW (SRC-11 sub-row)</t>
        </is>
      </c>
      <c r="AE206" s="6" t="inlineStr">
        <is>
          <t>2026-10-19</t>
        </is>
      </c>
      <c r="AF206" s="6" t="inlineStr">
        <is>
          <t>CAVEATS row 8; stored r4-github-copilot-fewer-tools, r4-anthropic-advanced-tool-use</t>
        </is>
      </c>
      <c r="AG206" s="6" t="inlineStr"/>
      <c r="AH206" s="6" t="inlineStr">
        <is>
          <t>No</t>
        </is>
      </c>
      <c r="AI206" s="6" t="inlineStr"/>
      <c r="AJ206" s="6" t="inlineStr">
        <is>
          <t>SRC-11 section D1</t>
        </is>
      </c>
      <c r="AK206" s="6" t="inlineStr">
        <is>
          <t>SRC-07 26, CAVEATS 8</t>
        </is>
      </c>
      <c r="AL206" s="6" t="inlineStr">
        <is>
          <t>S11</t>
        </is>
      </c>
    </row>
    <row r="207" ht="40.5" customHeight="1">
      <c r="A207" s="5" t="inlineStr">
        <is>
          <t>C-E03/O7-27</t>
        </is>
      </c>
      <c r="B207" s="6" t="inlineStr">
        <is>
          <t>Evaluator-human disagreement and incomplete LLM-judge answers</t>
        </is>
      </c>
      <c r="C207" s="6" t="inlineStr">
        <is>
          <t>PARTLY ANSWERED</t>
        </is>
      </c>
      <c r="D207" s="6">
        <f>IFERROR(INDEX(Lists!$B$2:$B$14,MATCH(C207,Lists!$A$2:$A$14,0)),"?")</f>
        <v/>
      </c>
      <c r="E207" s="6">
        <f>IF(COUNTIFS(Links!$B$2:$B$600,A207,Links!$E$2:$E$600,"Yes")&gt;0,"REVISE","")</f>
        <v/>
      </c>
      <c r="F207" s="6">
        <f>COUNTIFS(Links!$B$2:$B$600,A207,Links!$D$2:$D$600,"No",Links!$C$2:$C$600,"&lt;&gt;INFORMS")</f>
        <v/>
      </c>
      <c r="G207" s="14" t="inlineStr">
        <is>
          <t>SOURCE-REREAD</t>
        </is>
      </c>
      <c r="H207" s="6" t="inlineStr">
        <is>
          <t>K14 Source &amp; vendor verification</t>
        </is>
      </c>
      <c r="I207" s="6" t="inlineStr">
        <is>
          <t>G4 Before claims</t>
        </is>
      </c>
      <c r="J207" s="6" t="inlineStr">
        <is>
          <t>Normal</t>
        </is>
      </c>
      <c r="K207" s="6" t="n">
        <v>211</v>
      </c>
      <c r="L207" s="6" t="inlineStr">
        <is>
          <t>W5 Claim-time</t>
        </is>
      </c>
      <c r="M207" s="6" t="inlineStr">
        <is>
          <t>S24</t>
        </is>
      </c>
      <c r="N207" s="6" t="inlineStr">
        <is>
          <t>Team</t>
        </is>
      </c>
      <c r="O207" s="6" t="inlineStr">
        <is>
          <t>Read the stored text first (tools/origin_extract.py)</t>
        </is>
      </c>
      <c r="P207" s="6" t="inlineStr">
        <is>
          <t>Yes - stored text, unread</t>
        </is>
      </c>
      <c r="Q207" s="6" t="inlineStr">
        <is>
          <t>Source check</t>
        </is>
      </c>
      <c r="R207" s="6" t="inlineStr">
        <is>
          <t>Sub-item</t>
        </is>
      </c>
      <c r="S207" s="6" t="inlineStr">
        <is>
          <t>C-E03</t>
        </is>
      </c>
      <c r="T207" s="6" t="inlineStr">
        <is>
          <t>SRC-07 27: evaluator-human disagreement (18.5% in one audit) and plausible but incomplete LLM-judge answers.</t>
        </is>
      </c>
      <c r="U207" s="6" t="inlineStr">
        <is>
          <t>The 18.5% figure is recorded; the audit source is stored; scorer choice and human sample audit not done.</t>
        </is>
      </c>
      <c r="V207" s="6" t="inlineStr">
        <is>
          <t>Source figure verified; scorer chosen; a sample audited against humans.</t>
        </is>
      </c>
      <c r="W207" s="6" t="inlineStr"/>
      <c r="X207" s="6" t="inlineStr"/>
      <c r="Y207" s="6" t="inlineStr"/>
      <c r="Z207" s="6" t="inlineStr"/>
      <c r="AA207" s="6" t="inlineStr"/>
      <c r="AB207" s="6" t="inlineStr">
        <is>
          <t>DATA+SOURCE</t>
        </is>
      </c>
      <c r="AC207" s="6" t="inlineStr">
        <is>
          <t>n/a (sub-item)</t>
        </is>
      </c>
      <c r="AD207" s="6" t="inlineStr">
        <is>
          <t>NEW (SRC-11 sub-row)</t>
        </is>
      </c>
      <c r="AE207" s="6" t="inlineStr">
        <is>
          <t>2026-10-19</t>
        </is>
      </c>
      <c r="AF207" s="6" t="inlineStr">
        <is>
          <t>CAVEATS row 9; stored r3-validityaudit-2607.02577</t>
        </is>
      </c>
      <c r="AG207" s="6" t="inlineStr"/>
      <c r="AH207" s="6" t="inlineStr">
        <is>
          <t>No</t>
        </is>
      </c>
      <c r="AI207" s="6" t="inlineStr"/>
      <c r="AJ207" s="6" t="inlineStr">
        <is>
          <t>SRC-11 section D1</t>
        </is>
      </c>
      <c r="AK207" s="6" t="inlineStr">
        <is>
          <t>SRC-07 27, CAVEATS 9</t>
        </is>
      </c>
      <c r="AL207" s="6" t="inlineStr">
        <is>
          <t>S11</t>
        </is>
      </c>
    </row>
    <row r="208" ht="53" customHeight="1">
      <c r="A208" s="5" t="inlineStr">
        <is>
          <t>N-23</t>
        </is>
      </c>
      <c r="B208" s="6" t="inlineStr">
        <is>
          <t>Move the review and this ledger into tracked docs; record an AUTH row for the review</t>
        </is>
      </c>
      <c r="C208" s="6" t="inlineStr">
        <is>
          <t>PARTLY ANSWERED</t>
        </is>
      </c>
      <c r="D208" s="6">
        <f>IFERROR(INDEX(Lists!$B$2:$B$14,MATCH(C208,Lists!$A$2:$A$14,0)),"?")</f>
        <v/>
      </c>
      <c r="E208" s="6">
        <f>IF(COUNTIFS(Links!$B$2:$B$600,A208,Links!$E$2:$E$600,"Yes")&gt;0,"REVISE","")</f>
        <v/>
      </c>
      <c r="F208" s="6">
        <f>COUNTIFS(Links!$B$2:$B$600,A208,Links!$D$2:$D$600,"No",Links!$C$2:$C$600,"&lt;&gt;INFORMS")</f>
        <v/>
      </c>
      <c r="G208" s="9" t="inlineStr">
        <is>
          <t>USER-DECISION</t>
        </is>
      </c>
      <c r="H208" s="6" t="inlineStr">
        <is>
          <t>K16 Limits &amp; provenance</t>
        </is>
      </c>
      <c r="I208" s="6" t="inlineStr">
        <is>
          <t>G5 Housekeeping / no block</t>
        </is>
      </c>
      <c r="J208" s="6" t="inlineStr">
        <is>
          <t>Low</t>
        </is>
      </c>
      <c r="K208" s="6" t="n">
        <v>220</v>
      </c>
      <c r="L208" s="6" t="inlineStr">
        <is>
          <t>W5 Claim-time</t>
        </is>
      </c>
      <c r="M208" s="6" t="inlineStr">
        <is>
          <t>S25</t>
        </is>
      </c>
      <c r="N208" s="6" t="inlineStr">
        <is>
          <t>You</t>
        </is>
      </c>
      <c r="O208" s="6" t="inlineStr">
        <is>
          <t>Answer Q-U18</t>
        </is>
      </c>
      <c r="P208" s="6" t="inlineStr">
        <is>
          <t>n/a</t>
        </is>
      </c>
      <c r="Q208" s="6" t="inlineStr">
        <is>
          <t>Decision</t>
        </is>
      </c>
      <c r="R208" s="6" t="inlineStr">
        <is>
          <t>Item</t>
        </is>
      </c>
      <c r="S208" s="6" t="inlineStr"/>
      <c r="T208" s="6" t="inlineStr">
        <is>
          <t>Review section 9: no AUTH covers the review or the ledger; moving them into tracked documentation needs your approval; SRC-11/12 would need an intake route if they become inputs; the .workspace folder is untracked and not in the remote backup.</t>
        </is>
      </c>
      <c r="U208" s="6" t="inlineStr">
        <is>
          <t>Ledger workbook is tracked at design/ledger/ under AUTH-016 (CSV export alongside). The review report and SRC-11/12 remain untracked in .workspace; admitting them is undecided.</t>
        </is>
      </c>
      <c r="V208" s="6" t="inlineStr">
        <is>
          <t>Review report and SRC-11/12 either admitted (review as SUM; SRC-11/12 via the intake route with provenance) or explicitly kept outside.</t>
        </is>
      </c>
      <c r="W208" s="6" t="inlineStr"/>
      <c r="X208" s="6" t="inlineStr"/>
      <c r="Y208" s="6" t="inlineStr">
        <is>
          <t>Q-U18</t>
        </is>
      </c>
      <c r="Z208" s="6" t="inlineStr"/>
      <c r="AA208" s="6" t="inlineStr"/>
      <c r="AB208" s="6" t="inlineStr">
        <is>
          <t>DEC+RECORD</t>
        </is>
      </c>
      <c r="AC208" s="6" t="inlineStr">
        <is>
          <t>n/a (new)</t>
        </is>
      </c>
      <c r="AD208" s="6" t="inlineStr">
        <is>
          <t>NEW (repo sweep)</t>
        </is>
      </c>
      <c r="AE208" s="6" t="inlineStr">
        <is>
          <t>2026-10-19</t>
        </is>
      </c>
      <c r="AF208" s="6" t="inlineStr">
        <is>
          <t>ops/AUTHORIZATIONS.md AUTH-016; Questions Q-U18 answer</t>
        </is>
      </c>
      <c r="AG208" s="6" t="inlineStr"/>
      <c r="AH208" s="6" t="inlineStr">
        <is>
          <t>Yes (AUTH row)</t>
        </is>
      </c>
      <c r="AI208" s="6" t="inlineStr"/>
      <c r="AJ208" s="6" t="inlineStr">
        <is>
          <t>review 19 Oct section 9</t>
        </is>
      </c>
      <c r="AK208" s="6" t="inlineStr"/>
      <c r="AL208" s="6" t="inlineStr">
        <is>
          <t>S03</t>
        </is>
      </c>
    </row>
    <row r="209" ht="40.5" customHeight="1">
      <c r="A209" s="5" t="inlineStr">
        <is>
          <t>AS-02</t>
        </is>
      </c>
      <c r="B209" s="6" t="inlineStr">
        <is>
          <t>Supervisor assertion A2: No symbolic algorithm can beat the LLM across all cases</t>
        </is>
      </c>
      <c r="C209" s="6" t="inlineStr">
        <is>
          <t>OPEN</t>
        </is>
      </c>
      <c r="D209" s="6">
        <f>IFERROR(INDEX(Lists!$B$2:$B$14,MATCH(C209,Lists!$A$2:$A$14,0)),"?")</f>
        <v/>
      </c>
      <c r="E209" s="6">
        <f>IF(COUNTIFS(Links!$B$2:$B$600,A209,Links!$E$2:$E$600,"Yes")&gt;0,"REVISE","")</f>
        <v/>
      </c>
      <c r="F209" s="6">
        <f>COUNTIFS(Links!$B$2:$B$600,A209,Links!$D$2:$D$600,"No",Links!$C$2:$C$600,"&lt;&gt;INFORMS")</f>
        <v/>
      </c>
      <c r="G209" s="12" t="inlineStr">
        <is>
          <t>ACCEPT-LIMITATION</t>
        </is>
      </c>
      <c r="H209" s="6" t="inlineStr">
        <is>
          <t>K14 Source &amp; vendor verification</t>
        </is>
      </c>
      <c r="I209" s="6" t="inlineStr">
        <is>
          <t>G5 Housekeeping / no block</t>
        </is>
      </c>
      <c r="J209" s="6" t="inlineStr">
        <is>
          <t>Low</t>
        </is>
      </c>
      <c r="K209" s="6" t="n">
        <v>221</v>
      </c>
      <c r="L209" s="6" t="inlineStr">
        <is>
          <t>W5 Claim-time</t>
        </is>
      </c>
      <c r="M209" s="6" t="inlineStr">
        <is>
          <t>S25</t>
        </is>
      </c>
      <c r="N209" s="6" t="inlineStr">
        <is>
          <t>Lead / team</t>
        </is>
      </c>
      <c r="O209" s="6" t="inlineStr">
        <is>
          <t>You accept or reject the limit (Q-U20)</t>
        </is>
      </c>
      <c r="P209" s="6" t="inlineStr">
        <is>
          <t>No</t>
        </is>
      </c>
      <c r="Q209" s="6" t="inlineStr">
        <is>
          <t>Claim to test</t>
        </is>
      </c>
      <c r="R209" s="6" t="inlineStr">
        <is>
          <t>Item</t>
        </is>
      </c>
      <c r="S209" s="6" t="inlineStr"/>
      <c r="T209" s="6" t="inlineStr">
        <is>
          <t>REQ-A1 A2: No symbolic algorithm can beat the LLM across all cases. Universal, partly definitional claim; hard to test as stated.</t>
        </is>
      </c>
      <c r="U209" s="6" t="inlineStr">
        <is>
          <t>Recorded as the supervisor's position, to test, not to assume.</t>
        </is>
      </c>
      <c r="V209" s="6" t="inlineStr">
        <is>
          <t>Universal, partly definitional claim; hard to test as stated.</t>
        </is>
      </c>
      <c r="W209" s="6" t="inlineStr"/>
      <c r="X209" s="6" t="inlineStr"/>
      <c r="Y209" s="6" t="inlineStr"/>
      <c r="Z209" s="6" t="inlineStr"/>
      <c r="AA209" s="6" t="inlineStr"/>
      <c r="AB209" s="6" t="inlineStr">
        <is>
          <t>SOURCE</t>
        </is>
      </c>
      <c r="AC209" s="6" t="inlineStr">
        <is>
          <t>n/a (REGISTER E)</t>
        </is>
      </c>
      <c r="AD209" s="6" t="inlineStr">
        <is>
          <t>NEW (repo sweep)</t>
        </is>
      </c>
      <c r="AE209" s="6" t="inlineStr">
        <is>
          <t>2026-10-19</t>
        </is>
      </c>
      <c r="AF209" s="6" t="inlineStr">
        <is>
          <t>evidence/extracts/EXT-0004.md; REGISTER section E</t>
        </is>
      </c>
      <c r="AG209" s="6" t="inlineStr"/>
      <c r="AH209" s="6" t="inlineStr">
        <is>
          <t>No</t>
        </is>
      </c>
      <c r="AI209" s="6" t="inlineStr"/>
      <c r="AJ209" s="6" t="inlineStr">
        <is>
          <t>repo: REGISTER section E / EXT-0004</t>
        </is>
      </c>
      <c r="AK209" s="6" t="inlineStr">
        <is>
          <t>REQ-A1 A2</t>
        </is>
      </c>
      <c r="AL209" s="6" t="inlineStr">
        <is>
          <t>S11</t>
        </is>
      </c>
    </row>
    <row r="210" ht="40.5" customHeight="1">
      <c r="A210" s="5" t="inlineStr">
        <is>
          <t>AS-08</t>
        </is>
      </c>
      <c r="B210" s="6" t="inlineStr">
        <is>
          <t>Supervisor assertion A8: Industry has tried to solve LLM interpretability for years without a solution</t>
        </is>
      </c>
      <c r="C210" s="6" t="inlineStr">
        <is>
          <t>OPEN</t>
        </is>
      </c>
      <c r="D210" s="6">
        <f>IFERROR(INDEX(Lists!$B$2:$B$14,MATCH(C210,Lists!$A$2:$A$14,0)),"?")</f>
        <v/>
      </c>
      <c r="E210" s="6">
        <f>IF(COUNTIFS(Links!$B$2:$B$600,A210,Links!$E$2:$E$600,"Yes")&gt;0,"REVISE","")</f>
        <v/>
      </c>
      <c r="F210" s="6">
        <f>COUNTIFS(Links!$B$2:$B$600,A210,Links!$D$2:$D$600,"No",Links!$C$2:$C$600,"&lt;&gt;INFORMS")</f>
        <v/>
      </c>
      <c r="G210" s="12" t="inlineStr">
        <is>
          <t>ACCEPT-LIMITATION</t>
        </is>
      </c>
      <c r="H210" s="6" t="inlineStr">
        <is>
          <t>K14 Source &amp; vendor verification</t>
        </is>
      </c>
      <c r="I210" s="6" t="inlineStr">
        <is>
          <t>G5 Housekeeping / no block</t>
        </is>
      </c>
      <c r="J210" s="6" t="inlineStr">
        <is>
          <t>Low</t>
        </is>
      </c>
      <c r="K210" s="6" t="n">
        <v>222</v>
      </c>
      <c r="L210" s="6" t="inlineStr">
        <is>
          <t>W5 Claim-time</t>
        </is>
      </c>
      <c r="M210" s="6" t="inlineStr">
        <is>
          <t>S25</t>
        </is>
      </c>
      <c r="N210" s="6" t="inlineStr">
        <is>
          <t>Lead / team</t>
        </is>
      </c>
      <c r="O210" s="6" t="inlineStr">
        <is>
          <t>You accept or reject the limit (Q-U20)</t>
        </is>
      </c>
      <c r="P210" s="6" t="inlineStr">
        <is>
          <t>No</t>
        </is>
      </c>
      <c r="Q210" s="6" t="inlineStr">
        <is>
          <t>Claim to test</t>
        </is>
      </c>
      <c r="R210" s="6" t="inlineStr">
        <is>
          <t>Item</t>
        </is>
      </c>
      <c r="S210" s="6" t="inlineStr"/>
      <c r="T210" s="6" t="inlineStr">
        <is>
          <t>REQ-A1 A8: Industry has tried to solve LLM interpretability for years without a solution. Background claim; low priority.</t>
        </is>
      </c>
      <c r="U210" s="6" t="inlineStr">
        <is>
          <t>Recorded as the supervisor's position, to test, not to assume.</t>
        </is>
      </c>
      <c r="V210" s="6" t="inlineStr">
        <is>
          <t>Background claim; low priority.</t>
        </is>
      </c>
      <c r="W210" s="6" t="inlineStr"/>
      <c r="X210" s="6" t="inlineStr"/>
      <c r="Y210" s="6" t="inlineStr"/>
      <c r="Z210" s="6" t="inlineStr"/>
      <c r="AA210" s="6" t="inlineStr"/>
      <c r="AB210" s="6" t="inlineStr">
        <is>
          <t>SOURCE</t>
        </is>
      </c>
      <c r="AC210" s="6" t="inlineStr">
        <is>
          <t>n/a (REGISTER E)</t>
        </is>
      </c>
      <c r="AD210" s="6" t="inlineStr">
        <is>
          <t>NEW (repo sweep)</t>
        </is>
      </c>
      <c r="AE210" s="6" t="inlineStr">
        <is>
          <t>2026-10-19</t>
        </is>
      </c>
      <c r="AF210" s="6" t="inlineStr">
        <is>
          <t>evidence/extracts/EXT-0004.md; REGISTER section E</t>
        </is>
      </c>
      <c r="AG210" s="6" t="inlineStr"/>
      <c r="AH210" s="6" t="inlineStr">
        <is>
          <t>No</t>
        </is>
      </c>
      <c r="AI210" s="6" t="inlineStr"/>
      <c r="AJ210" s="6" t="inlineStr">
        <is>
          <t>repo: REGISTER section E / EXT-0004</t>
        </is>
      </c>
      <c r="AK210" s="6" t="inlineStr">
        <is>
          <t>REQ-A1 A8</t>
        </is>
      </c>
      <c r="AL210" s="6" t="inlineStr">
        <is>
          <t>S11</t>
        </is>
      </c>
    </row>
    <row r="211" ht="40.5" customHeight="1">
      <c r="A211" s="5" t="inlineStr">
        <is>
          <t>AS-10</t>
        </is>
      </c>
      <c r="B211" s="6" t="inlineStr">
        <is>
          <t>Supervisor assertion A10: Synonyms get the same embedding; keyword search is 'a layer before' semantic search</t>
        </is>
      </c>
      <c r="C211" s="6" t="inlineStr">
        <is>
          <t>OPEN</t>
        </is>
      </c>
      <c r="D211" s="6">
        <f>IFERROR(INDEX(Lists!$B$2:$B$14,MATCH(C211,Lists!$A$2:$A$14,0)),"?")</f>
        <v/>
      </c>
      <c r="E211" s="6">
        <f>IF(COUNTIFS(Links!$B$2:$B$600,A211,Links!$E$2:$E$600,"Yes")&gt;0,"REVISE","")</f>
        <v/>
      </c>
      <c r="F211" s="6">
        <f>COUNTIFS(Links!$B$2:$B$600,A211,Links!$D$2:$D$600,"No",Links!$C$2:$C$600,"&lt;&gt;INFORMS")</f>
        <v/>
      </c>
      <c r="G211" s="12" t="inlineStr">
        <is>
          <t>ACCEPT-LIMITATION</t>
        </is>
      </c>
      <c r="H211" s="6" t="inlineStr">
        <is>
          <t>K14 Source &amp; vendor verification</t>
        </is>
      </c>
      <c r="I211" s="6" t="inlineStr">
        <is>
          <t>G5 Housekeeping / no block</t>
        </is>
      </c>
      <c r="J211" s="6" t="inlineStr">
        <is>
          <t>Low</t>
        </is>
      </c>
      <c r="K211" s="6" t="n">
        <v>223</v>
      </c>
      <c r="L211" s="6" t="inlineStr">
        <is>
          <t>W5 Claim-time</t>
        </is>
      </c>
      <c r="M211" s="6" t="inlineStr">
        <is>
          <t>S25</t>
        </is>
      </c>
      <c r="N211" s="6" t="inlineStr">
        <is>
          <t>Lead / team</t>
        </is>
      </c>
      <c r="O211" s="6" t="inlineStr">
        <is>
          <t>You accept or reject the limit (Q-U20)</t>
        </is>
      </c>
      <c r="P211" s="6" t="inlineStr">
        <is>
          <t>No</t>
        </is>
      </c>
      <c r="Q211" s="6" t="inlineStr">
        <is>
          <t>Claim to test</t>
        </is>
      </c>
      <c r="R211" s="6" t="inlineStr">
        <is>
          <t>Item</t>
        </is>
      </c>
      <c r="S211" s="6" t="inlineStr"/>
      <c r="T211" s="6" t="inlineStr">
        <is>
          <t>REQ-A1 A10: Synonyms get the same embedding; keyword search is 'a layer before' semantic search. Simplification; low priority.</t>
        </is>
      </c>
      <c r="U211" s="6" t="inlineStr">
        <is>
          <t>Recorded as the supervisor's position, to test, not to assume.</t>
        </is>
      </c>
      <c r="V211" s="6" t="inlineStr">
        <is>
          <t>Simplification; low priority.</t>
        </is>
      </c>
      <c r="W211" s="6" t="inlineStr"/>
      <c r="X211" s="6" t="inlineStr"/>
      <c r="Y211" s="6" t="inlineStr"/>
      <c r="Z211" s="6" t="inlineStr"/>
      <c r="AA211" s="6" t="inlineStr"/>
      <c r="AB211" s="6" t="inlineStr">
        <is>
          <t>SOURCE</t>
        </is>
      </c>
      <c r="AC211" s="6" t="inlineStr">
        <is>
          <t>n/a (REGISTER E)</t>
        </is>
      </c>
      <c r="AD211" s="6" t="inlineStr">
        <is>
          <t>NEW (repo sweep)</t>
        </is>
      </c>
      <c r="AE211" s="6" t="inlineStr">
        <is>
          <t>2026-10-19</t>
        </is>
      </c>
      <c r="AF211" s="6" t="inlineStr">
        <is>
          <t>evidence/extracts/EXT-0004.md; REGISTER section E</t>
        </is>
      </c>
      <c r="AG211" s="6" t="inlineStr"/>
      <c r="AH211" s="6" t="inlineStr">
        <is>
          <t>No</t>
        </is>
      </c>
      <c r="AI211" s="6" t="inlineStr"/>
      <c r="AJ211" s="6" t="inlineStr">
        <is>
          <t>repo: REGISTER section E / EXT-0004</t>
        </is>
      </c>
      <c r="AK211" s="6" t="inlineStr">
        <is>
          <t>REQ-A1 A10</t>
        </is>
      </c>
      <c r="AL211" s="6" t="inlineStr">
        <is>
          <t>S11</t>
        </is>
      </c>
    </row>
    <row r="212" ht="28" customHeight="1">
      <c r="A212" s="5" t="inlineStr">
        <is>
          <t>AS-11</t>
        </is>
      </c>
      <c r="B212" s="6" t="inlineStr">
        <is>
          <t>Supervisor assertion A11: 'Semantic is doing the same thing LLM is doing'</t>
        </is>
      </c>
      <c r="C212" s="6" t="inlineStr">
        <is>
          <t>OPEN</t>
        </is>
      </c>
      <c r="D212" s="6">
        <f>IFERROR(INDEX(Lists!$B$2:$B$14,MATCH(C212,Lists!$A$2:$A$14,0)),"?")</f>
        <v/>
      </c>
      <c r="E212" s="6">
        <f>IF(COUNTIFS(Links!$B$2:$B$600,A212,Links!$E$2:$E$600,"Yes")&gt;0,"REVISE","")</f>
        <v/>
      </c>
      <c r="F212" s="6">
        <f>COUNTIFS(Links!$B$2:$B$600,A212,Links!$D$2:$D$600,"No",Links!$C$2:$C$600,"&lt;&gt;INFORMS")</f>
        <v/>
      </c>
      <c r="G212" s="12" t="inlineStr">
        <is>
          <t>ACCEPT-LIMITATION</t>
        </is>
      </c>
      <c r="H212" s="6" t="inlineStr">
        <is>
          <t>K14 Source &amp; vendor verification</t>
        </is>
      </c>
      <c r="I212" s="6" t="inlineStr">
        <is>
          <t>G5 Housekeeping / no block</t>
        </is>
      </c>
      <c r="J212" s="6" t="inlineStr">
        <is>
          <t>Low</t>
        </is>
      </c>
      <c r="K212" s="6" t="n">
        <v>224</v>
      </c>
      <c r="L212" s="6" t="inlineStr">
        <is>
          <t>W5 Claim-time</t>
        </is>
      </c>
      <c r="M212" s="6" t="inlineStr">
        <is>
          <t>S25</t>
        </is>
      </c>
      <c r="N212" s="6" t="inlineStr">
        <is>
          <t>Lead / team</t>
        </is>
      </c>
      <c r="O212" s="6" t="inlineStr">
        <is>
          <t>You accept or reject the limit (Q-U20)</t>
        </is>
      </c>
      <c r="P212" s="6" t="inlineStr">
        <is>
          <t>No</t>
        </is>
      </c>
      <c r="Q212" s="6" t="inlineStr">
        <is>
          <t>Claim to test</t>
        </is>
      </c>
      <c r="R212" s="6" t="inlineStr">
        <is>
          <t>Item</t>
        </is>
      </c>
      <c r="S212" s="6" t="inlineStr"/>
      <c r="T212" s="6" t="inlineStr">
        <is>
          <t>REQ-A1 A11: 'Semantic is doing the same thing LLM is doing'. Analogy, not an established claim.</t>
        </is>
      </c>
      <c r="U212" s="6" t="inlineStr">
        <is>
          <t>Recorded as the supervisor's position, to test, not to assume.</t>
        </is>
      </c>
      <c r="V212" s="6" t="inlineStr">
        <is>
          <t>Analogy, not an established claim.</t>
        </is>
      </c>
      <c r="W212" s="6" t="inlineStr"/>
      <c r="X212" s="6" t="inlineStr"/>
      <c r="Y212" s="6" t="inlineStr"/>
      <c r="Z212" s="6" t="inlineStr"/>
      <c r="AA212" s="6" t="inlineStr"/>
      <c r="AB212" s="6" t="inlineStr">
        <is>
          <t>SOURCE</t>
        </is>
      </c>
      <c r="AC212" s="6" t="inlineStr">
        <is>
          <t>n/a (REGISTER E)</t>
        </is>
      </c>
      <c r="AD212" s="6" t="inlineStr">
        <is>
          <t>NEW (repo sweep)</t>
        </is>
      </c>
      <c r="AE212" s="6" t="inlineStr">
        <is>
          <t>2026-10-19</t>
        </is>
      </c>
      <c r="AF212" s="6" t="inlineStr">
        <is>
          <t>evidence/extracts/EXT-0004.md; REGISTER section E</t>
        </is>
      </c>
      <c r="AG212" s="6" t="inlineStr"/>
      <c r="AH212" s="6" t="inlineStr">
        <is>
          <t>No</t>
        </is>
      </c>
      <c r="AI212" s="6" t="inlineStr"/>
      <c r="AJ212" s="6" t="inlineStr">
        <is>
          <t>repo: REGISTER section E / EXT-0004</t>
        </is>
      </c>
      <c r="AK212" s="6" t="inlineStr">
        <is>
          <t>REQ-A1 A11</t>
        </is>
      </c>
      <c r="AL212" s="6" t="inlineStr">
        <is>
          <t>S11</t>
        </is>
      </c>
    </row>
    <row r="213" ht="28" customHeight="1">
      <c r="A213" s="5" t="inlineStr">
        <is>
          <t>C-D12</t>
        </is>
      </c>
      <c r="B213" s="6" t="inlineStr">
        <is>
          <t>Whether to commission a further independent replication track.</t>
        </is>
      </c>
      <c r="C213" s="6" t="inlineStr">
        <is>
          <t>OPEN</t>
        </is>
      </c>
      <c r="D213" s="6">
        <f>IFERROR(INDEX(Lists!$B$2:$B$14,MATCH(C213,Lists!$A$2:$A$14,0)),"?")</f>
        <v/>
      </c>
      <c r="E213" s="6">
        <f>IF(COUNTIFS(Links!$B$2:$B$600,A213,Links!$E$2:$E$600,"Yes")&gt;0,"REVISE","")</f>
        <v/>
      </c>
      <c r="F213" s="6">
        <f>COUNTIFS(Links!$B$2:$B$600,A213,Links!$D$2:$D$600,"No",Links!$C$2:$C$600,"&lt;&gt;INFORMS")</f>
        <v/>
      </c>
      <c r="G213" s="9" t="inlineStr">
        <is>
          <t>USER-DECISION</t>
        </is>
      </c>
      <c r="H213" s="6" t="inlineStr">
        <is>
          <t>K16 Limits &amp; provenance</t>
        </is>
      </c>
      <c r="I213" s="6" t="inlineStr">
        <is>
          <t>G5 Housekeeping / no block</t>
        </is>
      </c>
      <c r="J213" s="6" t="inlineStr">
        <is>
          <t>Low</t>
        </is>
      </c>
      <c r="K213" s="6" t="n">
        <v>225</v>
      </c>
      <c r="L213" s="6" t="inlineStr">
        <is>
          <t>W5 Claim-time</t>
        </is>
      </c>
      <c r="M213" s="6" t="inlineStr">
        <is>
          <t>S25</t>
        </is>
      </c>
      <c r="N213" s="6" t="inlineStr">
        <is>
          <t>You</t>
        </is>
      </c>
      <c r="O213" s="6" t="inlineStr">
        <is>
          <t>You decide (Q-U13, Q-U15)</t>
        </is>
      </c>
      <c r="P213" s="6" t="inlineStr">
        <is>
          <t>n/a</t>
        </is>
      </c>
      <c r="Q213" s="6" t="inlineStr">
        <is>
          <t>Decision</t>
        </is>
      </c>
      <c r="R213" s="6" t="inlineStr">
        <is>
          <t>Item</t>
        </is>
      </c>
      <c r="S213" s="6" t="inlineStr"/>
      <c r="T213" s="6" t="inlineStr">
        <is>
          <t>Whether to commission a further independent replication track.</t>
        </is>
      </c>
      <c r="U213" s="6" t="inlineStr">
        <is>
          <t>Phase 1/2/2b exist outside the repo; this is a separate decision.</t>
        </is>
      </c>
      <c r="V213" s="6" t="inlineStr">
        <is>
          <t>Decide after checking existing Project A evidence.</t>
        </is>
      </c>
      <c r="W213" s="6" t="inlineStr"/>
      <c r="X213" s="6" t="inlineStr"/>
      <c r="Y213" s="6" t="inlineStr">
        <is>
          <t>Q-U13, Q-U15</t>
        </is>
      </c>
      <c r="Z213" s="6" t="inlineStr"/>
      <c r="AA213" s="6" t="inlineStr"/>
      <c r="AB213" s="6" t="inlineStr">
        <is>
          <t>DEC</t>
        </is>
      </c>
      <c r="AC213" s="6" t="inlineStr">
        <is>
          <t>OPEN</t>
        </is>
      </c>
      <c r="AD213" s="6" t="inlineStr">
        <is>
          <t>UNCHANGED</t>
        </is>
      </c>
      <c r="AE213" s="6" t="inlineStr">
        <is>
          <t>2026-10-19</t>
        </is>
      </c>
      <c r="AF213" s="6" t="inlineStr">
        <is>
          <t>STATE; AUTH-007..009</t>
        </is>
      </c>
      <c r="AG213" s="6" t="inlineStr">
        <is>
          <t>After existing Project A evidence is checked</t>
        </is>
      </c>
      <c r="AH213" s="6" t="inlineStr">
        <is>
          <t>No</t>
        </is>
      </c>
      <c r="AI213" s="6" t="inlineStr"/>
      <c r="AJ213" s="6" t="inlineStr">
        <is>
          <t>SRC-11 canonical</t>
        </is>
      </c>
      <c r="AK213" s="6" t="inlineStr">
        <is>
          <t>SRC-06 D15</t>
        </is>
      </c>
      <c r="AL213" s="6" t="inlineStr">
        <is>
          <t>S25</t>
        </is>
      </c>
    </row>
    <row r="214" ht="28" customHeight="1">
      <c r="A214" s="5" t="inlineStr">
        <is>
          <t>C-D14</t>
        </is>
      </c>
      <c r="B214" s="6" t="inlineStr">
        <is>
          <t>Optional dated near-miss-source note: add or decline.</t>
        </is>
      </c>
      <c r="C214" s="6" t="inlineStr">
        <is>
          <t>OPEN</t>
        </is>
      </c>
      <c r="D214" s="6">
        <f>IFERROR(INDEX(Lists!$B$2:$B$14,MATCH(C214,Lists!$A$2:$A$14,0)),"?")</f>
        <v/>
      </c>
      <c r="E214" s="6">
        <f>IF(COUNTIFS(Links!$B$2:$B$600,A214,Links!$E$2:$E$600,"Yes")&gt;0,"REVISE","")</f>
        <v/>
      </c>
      <c r="F214" s="6">
        <f>COUNTIFS(Links!$B$2:$B$600,A214,Links!$D$2:$D$600,"No",Links!$C$2:$C$600,"&lt;&gt;INFORMS")</f>
        <v/>
      </c>
      <c r="G214" s="9" t="inlineStr">
        <is>
          <t>USER-DECISION</t>
        </is>
      </c>
      <c r="H214" s="6" t="inlineStr">
        <is>
          <t>K16 Limits &amp; provenance</t>
        </is>
      </c>
      <c r="I214" s="6" t="inlineStr">
        <is>
          <t>G5 Housekeeping / no block</t>
        </is>
      </c>
      <c r="J214" s="6" t="inlineStr">
        <is>
          <t>Low</t>
        </is>
      </c>
      <c r="K214" s="6" t="n">
        <v>226</v>
      </c>
      <c r="L214" s="6" t="inlineStr">
        <is>
          <t>W5 Claim-time</t>
        </is>
      </c>
      <c r="M214" s="6" t="inlineStr">
        <is>
          <t>S25</t>
        </is>
      </c>
      <c r="N214" s="6" t="inlineStr">
        <is>
          <t>You</t>
        </is>
      </c>
      <c r="O214" s="6" t="inlineStr">
        <is>
          <t>You decide (Q-U16)</t>
        </is>
      </c>
      <c r="P214" s="6" t="inlineStr">
        <is>
          <t>n/a</t>
        </is>
      </c>
      <c r="Q214" s="6" t="inlineStr">
        <is>
          <t>Decision</t>
        </is>
      </c>
      <c r="R214" s="6" t="inlineStr">
        <is>
          <t>Item</t>
        </is>
      </c>
      <c r="S214" s="6" t="inlineStr"/>
      <c r="T214" s="6" t="inlineStr">
        <is>
          <t>Optional dated near-miss-source note: add or decline.</t>
        </is>
      </c>
      <c r="U214" s="6" t="inlineStr">
        <is>
          <t>No decision found.</t>
        </is>
      </c>
      <c r="V214" s="6" t="inlineStr">
        <is>
          <t>Added or explicitly declined.</t>
        </is>
      </c>
      <c r="W214" s="6" t="inlineStr"/>
      <c r="X214" s="6" t="inlineStr"/>
      <c r="Y214" s="6" t="inlineStr">
        <is>
          <t>Q-U16</t>
        </is>
      </c>
      <c r="Z214" s="6" t="inlineStr"/>
      <c r="AA214" s="6" t="inlineStr"/>
      <c r="AB214" s="6" t="inlineStr">
        <is>
          <t>DEC+RECORD</t>
        </is>
      </c>
      <c r="AC214" s="6" t="inlineStr">
        <is>
          <t>OPEN</t>
        </is>
      </c>
      <c r="AD214" s="6" t="inlineStr">
        <is>
          <t>UNCHANGED</t>
        </is>
      </c>
      <c r="AE214" s="6" t="inlineStr">
        <is>
          <t>2026-10-19</t>
        </is>
      </c>
      <c r="AF214" s="6" t="inlineStr">
        <is>
          <t>not found</t>
        </is>
      </c>
      <c r="AG214" s="6" t="inlineStr">
        <is>
          <t>Before the final literature audit</t>
        </is>
      </c>
      <c r="AH214" s="6" t="inlineStr">
        <is>
          <t>No</t>
        </is>
      </c>
      <c r="AI214" s="6" t="inlineStr"/>
      <c r="AJ214" s="6" t="inlineStr">
        <is>
          <t>SRC-11 canonical</t>
        </is>
      </c>
      <c r="AK214" s="6" t="inlineStr">
        <is>
          <t>SRC-06 D17</t>
        </is>
      </c>
      <c r="AL214" s="6" t="inlineStr">
        <is>
          <t>S25</t>
        </is>
      </c>
    </row>
    <row r="215" ht="40.5" customHeight="1">
      <c r="A215" s="5" t="inlineStr">
        <is>
          <t>C-E04</t>
        </is>
      </c>
      <c r="B215" s="6" t="inlineStr">
        <is>
          <t>Blind investigator, comparator, the repo's agents and this review share a model family and some sources.</t>
        </is>
      </c>
      <c r="C215" s="6" t="inlineStr">
        <is>
          <t>LIMITATION - ACCEPTANCE PENDING</t>
        </is>
      </c>
      <c r="D215" s="6">
        <f>IFERROR(INDEX(Lists!$B$2:$B$14,MATCH(C215,Lists!$A$2:$A$14,0)),"?")</f>
        <v/>
      </c>
      <c r="E215" s="6">
        <f>IF(COUNTIFS(Links!$B$2:$B$600,A215,Links!$E$2:$E$600,"Yes")&gt;0,"REVISE","")</f>
        <v/>
      </c>
      <c r="F215" s="6">
        <f>COUNTIFS(Links!$B$2:$B$600,A215,Links!$D$2:$D$600,"No",Links!$C$2:$C$600,"&lt;&gt;INFORMS")</f>
        <v/>
      </c>
      <c r="G215" s="12" t="inlineStr">
        <is>
          <t>ACCEPT-LIMITATION</t>
        </is>
      </c>
      <c r="H215" s="6" t="inlineStr">
        <is>
          <t>K16 Limits &amp; provenance</t>
        </is>
      </c>
      <c r="I215" s="6" t="inlineStr">
        <is>
          <t>G5 Housekeeping / no block</t>
        </is>
      </c>
      <c r="J215" s="6" t="inlineStr">
        <is>
          <t>Low</t>
        </is>
      </c>
      <c r="K215" s="6" t="n">
        <v>227</v>
      </c>
      <c r="L215" s="6" t="inlineStr">
        <is>
          <t>W5 Claim-time</t>
        </is>
      </c>
      <c r="M215" s="6" t="inlineStr">
        <is>
          <t>S25</t>
        </is>
      </c>
      <c r="N215" s="6" t="inlineStr">
        <is>
          <t>You</t>
        </is>
      </c>
      <c r="O215" s="6" t="inlineStr">
        <is>
          <t>You accept or reject the limit (Q-U20)</t>
        </is>
      </c>
      <c r="P215" s="6" t="inlineStr">
        <is>
          <t>n/a</t>
        </is>
      </c>
      <c r="Q215" s="6" t="inlineStr">
        <is>
          <t>Limitation</t>
        </is>
      </c>
      <c r="R215" s="6" t="inlineStr">
        <is>
          <t>Item</t>
        </is>
      </c>
      <c r="S215" s="6" t="inlineStr"/>
      <c r="T215" s="6" t="inlineStr">
        <is>
          <t>Blind investigator, comparator, the repo's agents and this review share a model family and some sources.</t>
        </is>
      </c>
      <c r="U215" s="6" t="inlineStr">
        <is>
          <t>Now also true of the repo's steward/challenger checks (all Sonnet).</t>
        </is>
      </c>
      <c r="V215" s="6" t="inlineStr">
        <is>
          <t>Limitation stated; different-provider replication optional.</t>
        </is>
      </c>
      <c r="W215" s="6" t="inlineStr"/>
      <c r="X215" s="6" t="inlineStr"/>
      <c r="Y215" s="6" t="inlineStr">
        <is>
          <t>Q-U20</t>
        </is>
      </c>
      <c r="Z215" s="6" t="inlineStr"/>
      <c r="AA215" s="6" t="inlineStr"/>
      <c r="AB215" s="6" t="inlineStr">
        <is>
          <t>BOUND+RECORD</t>
        </is>
      </c>
      <c r="AC215" s="6" t="inlineStr">
        <is>
          <t>BOUNDARY</t>
        </is>
      </c>
      <c r="AD215" s="6" t="inlineStr">
        <is>
          <t>UNCHANGED</t>
        </is>
      </c>
      <c r="AE215" s="6" t="inlineStr">
        <is>
          <t>2026-10-19</t>
        </is>
      </c>
      <c r="AF215" s="6" t="inlineStr">
        <is>
          <t>SAFEGUARDS row 12; CAVEATS row 11</t>
        </is>
      </c>
      <c r="AG215" s="6" t="inlineStr"/>
      <c r="AH215" s="6" t="inlineStr">
        <is>
          <t>No</t>
        </is>
      </c>
      <c r="AI215" s="6" t="inlineStr"/>
      <c r="AJ215" s="6" t="inlineStr">
        <is>
          <t>SRC-11 canonical</t>
        </is>
      </c>
      <c r="AK215" s="6" t="inlineStr">
        <is>
          <t>SRC-06 P05, SRC-06 P08, SRC-07 30, CAVEATS 11</t>
        </is>
      </c>
      <c r="AL215" s="6" t="inlineStr">
        <is>
          <t>S25</t>
        </is>
      </c>
    </row>
    <row r="216" ht="40.5" customHeight="1">
      <c r="A216" s="5" t="inlineStr">
        <is>
          <t>C-P01</t>
        </is>
      </c>
      <c r="B216" s="6" t="inlineStr">
        <is>
          <t>Aborted launch attempts are provenance, not findings; two copied thesis workspaces remain in the parent tree.</t>
        </is>
      </c>
      <c r="C216" s="6" t="inlineStr">
        <is>
          <t>OPEN</t>
        </is>
      </c>
      <c r="D216" s="6">
        <f>IFERROR(INDEX(Lists!$B$2:$B$14,MATCH(C216,Lists!$A$2:$A$14,0)),"?")</f>
        <v/>
      </c>
      <c r="E216" s="6">
        <f>IF(COUNTIFS(Links!$B$2:$B$600,A216,Links!$E$2:$E$600,"Yes")&gt;0,"REVISE","")</f>
        <v/>
      </c>
      <c r="F216" s="6">
        <f>COUNTIFS(Links!$B$2:$B$600,A216,Links!$D$2:$D$600,"No",Links!$C$2:$C$600,"&lt;&gt;INFORMS")</f>
        <v/>
      </c>
      <c r="G216" s="9" t="inlineStr">
        <is>
          <t>USER-DECISION</t>
        </is>
      </c>
      <c r="H216" s="6" t="inlineStr">
        <is>
          <t>K16 Limits &amp; provenance</t>
        </is>
      </c>
      <c r="I216" s="6" t="inlineStr">
        <is>
          <t>G5 Housekeeping / no block</t>
        </is>
      </c>
      <c r="J216" s="6" t="inlineStr">
        <is>
          <t>Low</t>
        </is>
      </c>
      <c r="K216" s="6" t="n">
        <v>228</v>
      </c>
      <c r="L216" s="6" t="inlineStr">
        <is>
          <t>W5 Claim-time</t>
        </is>
      </c>
      <c r="M216" s="6" t="inlineStr">
        <is>
          <t>S25</t>
        </is>
      </c>
      <c r="N216" s="6" t="inlineStr">
        <is>
          <t>You</t>
        </is>
      </c>
      <c r="O216" s="6" t="inlineStr">
        <is>
          <t>You decide (Q-U17)</t>
        </is>
      </c>
      <c r="P216" s="6" t="inlineStr">
        <is>
          <t>No</t>
        </is>
      </c>
      <c r="Q216" s="6" t="inlineStr">
        <is>
          <t>Decision</t>
        </is>
      </c>
      <c r="R216" s="6" t="inlineStr">
        <is>
          <t>Item</t>
        </is>
      </c>
      <c r="S216" s="6" t="inlineStr"/>
      <c r="T216" s="6" t="inlineStr">
        <is>
          <t>Aborted launch attempts are provenance, not findings; two copied thesis workspaces remain in the parent tree.</t>
        </is>
      </c>
      <c r="U216" s="6" t="inlineStr">
        <is>
          <t>Outside the repo.</t>
        </is>
      </c>
      <c r="V216" s="6" t="inlineStr">
        <is>
          <t>Keep/move/remove decided; provenance preserved.</t>
        </is>
      </c>
      <c r="W216" s="6" t="inlineStr"/>
      <c r="X216" s="6" t="inlineStr"/>
      <c r="Y216" s="6" t="inlineStr">
        <is>
          <t>Q-U17</t>
        </is>
      </c>
      <c r="Z216" s="6" t="inlineStr">
        <is>
          <t>ACCEPT-LIMITATION</t>
        </is>
      </c>
      <c r="AA216" s="6" t="inlineStr"/>
      <c r="AB216" s="6" t="inlineStr">
        <is>
          <t>RECORD+DEC</t>
        </is>
      </c>
      <c r="AC216" s="6" t="inlineStr">
        <is>
          <t>BOUNDARY - OPEN</t>
        </is>
      </c>
      <c r="AD216" s="6" t="inlineStr">
        <is>
          <t>UNCHANGED</t>
        </is>
      </c>
      <c r="AE216" s="6" t="inlineStr">
        <is>
          <t>2026-10-19</t>
        </is>
      </c>
      <c r="AF216" s="6" t="inlineStr">
        <is>
          <t>SRC-11 C-P01</t>
        </is>
      </c>
      <c r="AG216" s="6" t="inlineStr"/>
      <c r="AH216" s="6" t="inlineStr">
        <is>
          <t>No</t>
        </is>
      </c>
      <c r="AI216" s="6" t="inlineStr"/>
      <c r="AJ216" s="6" t="inlineStr">
        <is>
          <t>SRC-11 canonical</t>
        </is>
      </c>
      <c r="AK216" s="6" t="inlineStr">
        <is>
          <t>SRC-06 P01-P02</t>
        </is>
      </c>
      <c r="AL216" s="6" t="inlineStr">
        <is>
          <t>S25</t>
        </is>
      </c>
    </row>
    <row r="217" ht="28" customHeight="1">
      <c r="A217" s="5" t="inlineStr">
        <is>
          <t>C-P01/P01</t>
        </is>
      </c>
      <c r="B217" s="6" t="inlineStr">
        <is>
          <t>Four aborted/unfinished launch attempts</t>
        </is>
      </c>
      <c r="C217" s="6" t="inlineStr">
        <is>
          <t>OPEN</t>
        </is>
      </c>
      <c r="D217" s="6">
        <f>IFERROR(INDEX(Lists!$B$2:$B$14,MATCH(C217,Lists!$A$2:$A$14,0)),"?")</f>
        <v/>
      </c>
      <c r="E217" s="6">
        <f>IF(COUNTIFS(Links!$B$2:$B$600,A217,Links!$E$2:$E$600,"Yes")&gt;0,"REVISE","")</f>
        <v/>
      </c>
      <c r="F217" s="6">
        <f>COUNTIFS(Links!$B$2:$B$600,A217,Links!$D$2:$D$600,"No",Links!$C$2:$C$600,"&lt;&gt;INFORMS")</f>
        <v/>
      </c>
      <c r="G217" s="9" t="inlineStr">
        <is>
          <t>USER-DECISION</t>
        </is>
      </c>
      <c r="H217" s="6" t="inlineStr">
        <is>
          <t>K16 Limits &amp; provenance</t>
        </is>
      </c>
      <c r="I217" s="6" t="inlineStr">
        <is>
          <t>G5 Housekeeping / no block</t>
        </is>
      </c>
      <c r="J217" s="6" t="inlineStr">
        <is>
          <t>Low</t>
        </is>
      </c>
      <c r="K217" s="6" t="n">
        <v>229</v>
      </c>
      <c r="L217" s="6" t="inlineStr">
        <is>
          <t>W5 Claim-time</t>
        </is>
      </c>
      <c r="M217" s="6" t="inlineStr">
        <is>
          <t>S25</t>
        </is>
      </c>
      <c r="N217" s="6" t="inlineStr">
        <is>
          <t>You</t>
        </is>
      </c>
      <c r="O217" s="6" t="inlineStr">
        <is>
          <t>You decide (Q-U17)</t>
        </is>
      </c>
      <c r="P217" s="6" t="inlineStr">
        <is>
          <t>No</t>
        </is>
      </c>
      <c r="Q217" s="6" t="inlineStr">
        <is>
          <t>Record fix</t>
        </is>
      </c>
      <c r="R217" s="6" t="inlineStr">
        <is>
          <t>Sub-item</t>
        </is>
      </c>
      <c r="S217" s="6" t="inlineStr">
        <is>
          <t>C-P01</t>
        </is>
      </c>
      <c r="T217" s="6" t="inlineStr">
        <is>
          <t>SRC-06 P01: four aborted or unfinished launch attempts are provenance, not independent findings.</t>
        </is>
      </c>
      <c r="U217" s="6" t="inlineStr">
        <is>
          <t>Outside the repo.</t>
        </is>
      </c>
      <c r="V217" s="6" t="inlineStr">
        <is>
          <t>Repaired or disclosed.</t>
        </is>
      </c>
      <c r="W217" s="6" t="inlineStr"/>
      <c r="X217" s="6" t="inlineStr"/>
      <c r="Y217" s="6" t="inlineStr">
        <is>
          <t>Q-U17</t>
        </is>
      </c>
      <c r="Z217" s="6" t="inlineStr"/>
      <c r="AA217" s="6" t="inlineStr"/>
      <c r="AB217" s="6" t="inlineStr">
        <is>
          <t>RECORD+DEC</t>
        </is>
      </c>
      <c r="AC217" s="6" t="inlineStr">
        <is>
          <t>n/a (sub-item)</t>
        </is>
      </c>
      <c r="AD217" s="6" t="inlineStr">
        <is>
          <t>NEW (SRC-11 sub-row)</t>
        </is>
      </c>
      <c r="AE217" s="6" t="inlineStr">
        <is>
          <t>2026-10-19</t>
        </is>
      </c>
      <c r="AF217" s="6" t="inlineStr">
        <is>
          <t>Outside repo (SRC-11 D5)</t>
        </is>
      </c>
      <c r="AG217" s="6" t="inlineStr"/>
      <c r="AH217" s="6" t="inlineStr">
        <is>
          <t>No</t>
        </is>
      </c>
      <c r="AI217" s="6" t="inlineStr"/>
      <c r="AJ217" s="6" t="inlineStr">
        <is>
          <t>SRC-11 section D5</t>
        </is>
      </c>
      <c r="AK217" s="6" t="inlineStr">
        <is>
          <t>SRC-06 P01</t>
        </is>
      </c>
      <c r="AL217" s="6" t="inlineStr">
        <is>
          <t>S25</t>
        </is>
      </c>
    </row>
    <row r="218" ht="28" customHeight="1">
      <c r="A218" s="5" t="inlineStr">
        <is>
          <t>C-P01/P02</t>
        </is>
      </c>
      <c r="B218" s="6" t="inlineStr">
        <is>
          <t>Two copied thesis workspaces remain in the parent tree</t>
        </is>
      </c>
      <c r="C218" s="6" t="inlineStr">
        <is>
          <t>OPEN</t>
        </is>
      </c>
      <c r="D218" s="6">
        <f>IFERROR(INDEX(Lists!$B$2:$B$14,MATCH(C218,Lists!$A$2:$A$14,0)),"?")</f>
        <v/>
      </c>
      <c r="E218" s="6">
        <f>IF(COUNTIFS(Links!$B$2:$B$600,A218,Links!$E$2:$E$600,"Yes")&gt;0,"REVISE","")</f>
        <v/>
      </c>
      <c r="F218" s="6">
        <f>COUNTIFS(Links!$B$2:$B$600,A218,Links!$D$2:$D$600,"No",Links!$C$2:$C$600,"&lt;&gt;INFORMS")</f>
        <v/>
      </c>
      <c r="G218" s="9" t="inlineStr">
        <is>
          <t>USER-DECISION</t>
        </is>
      </c>
      <c r="H218" s="6" t="inlineStr">
        <is>
          <t>K16 Limits &amp; provenance</t>
        </is>
      </c>
      <c r="I218" s="6" t="inlineStr">
        <is>
          <t>G5 Housekeeping / no block</t>
        </is>
      </c>
      <c r="J218" s="6" t="inlineStr">
        <is>
          <t>Low</t>
        </is>
      </c>
      <c r="K218" s="6" t="n">
        <v>230</v>
      </c>
      <c r="L218" s="6" t="inlineStr">
        <is>
          <t>W5 Claim-time</t>
        </is>
      </c>
      <c r="M218" s="6" t="inlineStr">
        <is>
          <t>S25</t>
        </is>
      </c>
      <c r="N218" s="6" t="inlineStr">
        <is>
          <t>You</t>
        </is>
      </c>
      <c r="O218" s="6" t="inlineStr">
        <is>
          <t>You decide (Q-U17)</t>
        </is>
      </c>
      <c r="P218" s="6" t="inlineStr">
        <is>
          <t>No</t>
        </is>
      </c>
      <c r="Q218" s="6" t="inlineStr">
        <is>
          <t>Record fix</t>
        </is>
      </c>
      <c r="R218" s="6" t="inlineStr">
        <is>
          <t>Sub-item</t>
        </is>
      </c>
      <c r="S218" s="6" t="inlineStr">
        <is>
          <t>C-P01</t>
        </is>
      </c>
      <c r="T218" s="6" t="inlineStr">
        <is>
          <t>SRC-06 P02: two copied thesis workspaces remain in the parent tree; moving them cannot retroactively create independence.</t>
        </is>
      </c>
      <c r="U218" s="6" t="inlineStr">
        <is>
          <t>Outside the repo.</t>
        </is>
      </c>
      <c r="V218" s="6" t="inlineStr">
        <is>
          <t>Repaired or disclosed.</t>
        </is>
      </c>
      <c r="W218" s="6" t="inlineStr"/>
      <c r="X218" s="6" t="inlineStr"/>
      <c r="Y218" s="6" t="inlineStr">
        <is>
          <t>Q-U17</t>
        </is>
      </c>
      <c r="Z218" s="6" t="inlineStr"/>
      <c r="AA218" s="6" t="inlineStr"/>
      <c r="AB218" s="6" t="inlineStr">
        <is>
          <t>RECORD+DEC</t>
        </is>
      </c>
      <c r="AC218" s="6" t="inlineStr">
        <is>
          <t>n/a (sub-item)</t>
        </is>
      </c>
      <c r="AD218" s="6" t="inlineStr">
        <is>
          <t>NEW (SRC-11 sub-row)</t>
        </is>
      </c>
      <c r="AE218" s="6" t="inlineStr">
        <is>
          <t>2026-10-19</t>
        </is>
      </c>
      <c r="AF218" s="6" t="inlineStr">
        <is>
          <t>Outside repo (SRC-11 D5)</t>
        </is>
      </c>
      <c r="AG218" s="6" t="inlineStr"/>
      <c r="AH218" s="6" t="inlineStr">
        <is>
          <t>No</t>
        </is>
      </c>
      <c r="AI218" s="6" t="inlineStr"/>
      <c r="AJ218" s="6" t="inlineStr">
        <is>
          <t>SRC-11 section D5</t>
        </is>
      </c>
      <c r="AK218" s="6" t="inlineStr">
        <is>
          <t>SRC-06 P02</t>
        </is>
      </c>
      <c r="AL218" s="6" t="inlineStr">
        <is>
          <t>S25</t>
        </is>
      </c>
    </row>
    <row r="219" ht="40.5" customHeight="1">
      <c r="A219" s="5" t="inlineStr">
        <is>
          <t>C-P02</t>
        </is>
      </c>
      <c r="B219" s="6" t="inlineStr">
        <is>
          <t>Hash gaps, wrong boilerplate, same-model/operator/source risk, asymmetric coverage in the independent track.</t>
        </is>
      </c>
      <c r="C219" s="6" t="inlineStr">
        <is>
          <t>LIMITATION - ACCEPTANCE PENDING</t>
        </is>
      </c>
      <c r="D219" s="6">
        <f>IFERROR(INDEX(Lists!$B$2:$B$14,MATCH(C219,Lists!$A$2:$A$14,0)),"?")</f>
        <v/>
      </c>
      <c r="E219" s="6">
        <f>IF(COUNTIFS(Links!$B$2:$B$600,A219,Links!$E$2:$E$600,"Yes")&gt;0,"REVISE","")</f>
        <v/>
      </c>
      <c r="F219" s="6">
        <f>COUNTIFS(Links!$B$2:$B$600,A219,Links!$D$2:$D$600,"No",Links!$C$2:$C$600,"&lt;&gt;INFORMS")</f>
        <v/>
      </c>
      <c r="G219" s="8" t="inlineStr">
        <is>
          <t>RECORDS-AT-HAND</t>
        </is>
      </c>
      <c r="H219" s="6" t="inlineStr">
        <is>
          <t>K16 Limits &amp; provenance</t>
        </is>
      </c>
      <c r="I219" s="6" t="inlineStr">
        <is>
          <t>G5 Housekeeping / no block</t>
        </is>
      </c>
      <c r="J219" s="6" t="inlineStr">
        <is>
          <t>Low</t>
        </is>
      </c>
      <c r="K219" s="6" t="n">
        <v>231</v>
      </c>
      <c r="L219" s="6" t="inlineStr">
        <is>
          <t>W5 Claim-time</t>
        </is>
      </c>
      <c r="M219" s="6" t="inlineStr">
        <is>
          <t>S25</t>
        </is>
      </c>
      <c r="N219" s="6" t="inlineStr">
        <is>
          <t>You</t>
        </is>
      </c>
      <c r="O219" s="6" t="inlineStr">
        <is>
          <t>Lead drafts the fix; you approve</t>
        </is>
      </c>
      <c r="P219" s="6" t="inlineStr">
        <is>
          <t>No</t>
        </is>
      </c>
      <c r="Q219" s="6" t="inlineStr">
        <is>
          <t>Record fix</t>
        </is>
      </c>
      <c r="R219" s="6" t="inlineStr">
        <is>
          <t>Item</t>
        </is>
      </c>
      <c r="S219" s="6" t="inlineStr"/>
      <c r="T219" s="6" t="inlineStr">
        <is>
          <t>Hash gaps, wrong boilerplate, same-model/operator/source risk, asymmetric coverage in the independent track.</t>
        </is>
      </c>
      <c r="U219" s="6" t="inlineStr">
        <is>
          <t>Outside the repo.</t>
        </is>
      </c>
      <c r="V219" s="6" t="inlineStr">
        <is>
          <t>Repairs made where cheap; independence claims qualified.</t>
        </is>
      </c>
      <c r="W219" s="6" t="inlineStr"/>
      <c r="X219" s="6" t="inlineStr"/>
      <c r="Y219" s="6" t="inlineStr">
        <is>
          <t>Q-U20</t>
        </is>
      </c>
      <c r="Z219" s="6" t="inlineStr">
        <is>
          <t>ACCEPT-LIMITATION</t>
        </is>
      </c>
      <c r="AA219" s="6" t="inlineStr"/>
      <c r="AB219" s="6" t="inlineStr">
        <is>
          <t>RECORD+BOUND</t>
        </is>
      </c>
      <c r="AC219" s="6" t="inlineStr">
        <is>
          <t>BOUNDARY - OPEN</t>
        </is>
      </c>
      <c r="AD219" s="6" t="inlineStr">
        <is>
          <t>UNCHANGED</t>
        </is>
      </c>
      <c r="AE219" s="6" t="inlineStr">
        <is>
          <t>2026-10-19</t>
        </is>
      </c>
      <c r="AF219" s="6" t="inlineStr">
        <is>
          <t>SRC-11 C-P02</t>
        </is>
      </c>
      <c r="AG219" s="6" t="inlineStr"/>
      <c r="AH219" s="6" t="inlineStr">
        <is>
          <t>No</t>
        </is>
      </c>
      <c r="AI219" s="6" t="inlineStr"/>
      <c r="AJ219" s="6" t="inlineStr">
        <is>
          <t>SRC-11 canonical</t>
        </is>
      </c>
      <c r="AK219" s="6" t="inlineStr">
        <is>
          <t>SRC-06 P03-P10</t>
        </is>
      </c>
      <c r="AL219" s="6" t="inlineStr">
        <is>
          <t>S25</t>
        </is>
      </c>
    </row>
    <row r="220" ht="28" customHeight="1">
      <c r="A220" s="5" t="inlineStr">
        <is>
          <t>C-P02/P03</t>
        </is>
      </c>
      <c r="B220" s="6" t="inlineStr">
        <is>
          <t>Incomplete externally held hashes</t>
        </is>
      </c>
      <c r="C220" s="6" t="inlineStr">
        <is>
          <t>OPEN</t>
        </is>
      </c>
      <c r="D220" s="6">
        <f>IFERROR(INDEX(Lists!$B$2:$B$14,MATCH(C220,Lists!$A$2:$A$14,0)),"?")</f>
        <v/>
      </c>
      <c r="E220" s="6">
        <f>IF(COUNTIFS(Links!$B$2:$B$600,A220,Links!$E$2:$E$600,"Yes")&gt;0,"REVISE","")</f>
        <v/>
      </c>
      <c r="F220" s="6">
        <f>COUNTIFS(Links!$B$2:$B$600,A220,Links!$D$2:$D$600,"No",Links!$C$2:$C$600,"&lt;&gt;INFORMS")</f>
        <v/>
      </c>
      <c r="G220" s="8" t="inlineStr">
        <is>
          <t>RECORDS-AT-HAND</t>
        </is>
      </c>
      <c r="H220" s="6" t="inlineStr">
        <is>
          <t>K16 Limits &amp; provenance</t>
        </is>
      </c>
      <c r="I220" s="6" t="inlineStr">
        <is>
          <t>G5 Housekeeping / no block</t>
        </is>
      </c>
      <c r="J220" s="6" t="inlineStr">
        <is>
          <t>Low</t>
        </is>
      </c>
      <c r="K220" s="6" t="n">
        <v>232</v>
      </c>
      <c r="L220" s="6" t="inlineStr">
        <is>
          <t>W5 Claim-time</t>
        </is>
      </c>
      <c r="M220" s="6" t="inlineStr">
        <is>
          <t>S25</t>
        </is>
      </c>
      <c r="N220" s="6" t="inlineStr">
        <is>
          <t>You</t>
        </is>
      </c>
      <c r="O220" s="6" t="inlineStr">
        <is>
          <t>Lead drafts the fix; you approve</t>
        </is>
      </c>
      <c r="P220" s="6" t="inlineStr">
        <is>
          <t>No</t>
        </is>
      </c>
      <c r="Q220" s="6" t="inlineStr">
        <is>
          <t>Record fix</t>
        </is>
      </c>
      <c r="R220" s="6" t="inlineStr">
        <is>
          <t>Sub-item</t>
        </is>
      </c>
      <c r="S220" s="6" t="inlineStr">
        <is>
          <t>C-P02</t>
        </is>
      </c>
      <c r="T220" s="6" t="inlineStr">
        <is>
          <t>SRC-06 P03: externally held hashes are incomplete.</t>
        </is>
      </c>
      <c r="U220" s="6" t="inlineStr">
        <is>
          <t>Outside the repo.</t>
        </is>
      </c>
      <c r="V220" s="6" t="inlineStr">
        <is>
          <t>Repaired or disclosed.</t>
        </is>
      </c>
      <c r="W220" s="6" t="inlineStr"/>
      <c r="X220" s="6" t="inlineStr"/>
      <c r="Y220" s="6" t="inlineStr"/>
      <c r="Z220" s="6" t="inlineStr"/>
      <c r="AA220" s="6" t="inlineStr"/>
      <c r="AB220" s="6" t="inlineStr">
        <is>
          <t>RECORD</t>
        </is>
      </c>
      <c r="AC220" s="6" t="inlineStr">
        <is>
          <t>n/a (sub-item)</t>
        </is>
      </c>
      <c r="AD220" s="6" t="inlineStr">
        <is>
          <t>NEW (SRC-11 sub-row)</t>
        </is>
      </c>
      <c r="AE220" s="6" t="inlineStr">
        <is>
          <t>2026-10-19</t>
        </is>
      </c>
      <c r="AF220" s="6" t="inlineStr">
        <is>
          <t>Outside repo (SRC-11 D5)</t>
        </is>
      </c>
      <c r="AG220" s="6" t="inlineStr"/>
      <c r="AH220" s="6" t="inlineStr">
        <is>
          <t>No</t>
        </is>
      </c>
      <c r="AI220" s="6" t="inlineStr"/>
      <c r="AJ220" s="6" t="inlineStr">
        <is>
          <t>SRC-11 section D5</t>
        </is>
      </c>
      <c r="AK220" s="6" t="inlineStr">
        <is>
          <t>SRC-06 P03</t>
        </is>
      </c>
      <c r="AL220" s="6" t="inlineStr">
        <is>
          <t>S25</t>
        </is>
      </c>
    </row>
    <row r="221" ht="28" customHeight="1">
      <c r="A221" s="5" t="inlineStr">
        <is>
          <t>C-P02/P04</t>
        </is>
      </c>
      <c r="B221" s="6" t="inlineStr">
        <is>
          <t>Wrong freeze boilerplate; missing authorizations in inspected files</t>
        </is>
      </c>
      <c r="C221" s="6" t="inlineStr">
        <is>
          <t>OPEN</t>
        </is>
      </c>
      <c r="D221" s="6">
        <f>IFERROR(INDEX(Lists!$B$2:$B$14,MATCH(C221,Lists!$A$2:$A$14,0)),"?")</f>
        <v/>
      </c>
      <c r="E221" s="6">
        <f>IF(COUNTIFS(Links!$B$2:$B$600,A221,Links!$E$2:$E$600,"Yes")&gt;0,"REVISE","")</f>
        <v/>
      </c>
      <c r="F221" s="6">
        <f>COUNTIFS(Links!$B$2:$B$600,A221,Links!$D$2:$D$600,"No",Links!$C$2:$C$600,"&lt;&gt;INFORMS")</f>
        <v/>
      </c>
      <c r="G221" s="8" t="inlineStr">
        <is>
          <t>RECORDS-AT-HAND</t>
        </is>
      </c>
      <c r="H221" s="6" t="inlineStr">
        <is>
          <t>K16 Limits &amp; provenance</t>
        </is>
      </c>
      <c r="I221" s="6" t="inlineStr">
        <is>
          <t>G5 Housekeeping / no block</t>
        </is>
      </c>
      <c r="J221" s="6" t="inlineStr">
        <is>
          <t>Low</t>
        </is>
      </c>
      <c r="K221" s="6" t="n">
        <v>233</v>
      </c>
      <c r="L221" s="6" t="inlineStr">
        <is>
          <t>W5 Claim-time</t>
        </is>
      </c>
      <c r="M221" s="6" t="inlineStr">
        <is>
          <t>S25</t>
        </is>
      </c>
      <c r="N221" s="6" t="inlineStr">
        <is>
          <t>You</t>
        </is>
      </c>
      <c r="O221" s="6" t="inlineStr">
        <is>
          <t>Lead drafts the fix; you approve</t>
        </is>
      </c>
      <c r="P221" s="6" t="inlineStr">
        <is>
          <t>No</t>
        </is>
      </c>
      <c r="Q221" s="6" t="inlineStr">
        <is>
          <t>Record fix</t>
        </is>
      </c>
      <c r="R221" s="6" t="inlineStr">
        <is>
          <t>Sub-item</t>
        </is>
      </c>
      <c r="S221" s="6" t="inlineStr">
        <is>
          <t>C-P02</t>
        </is>
      </c>
      <c r="T221" s="6" t="inlineStr">
        <is>
          <t>SRC-06 P04: wrong freeze boilerplate and missing authorizations in inspected files.</t>
        </is>
      </c>
      <c r="U221" s="6" t="inlineStr">
        <is>
          <t>Outside the repo.</t>
        </is>
      </c>
      <c r="V221" s="6" t="inlineStr">
        <is>
          <t>Repaired or disclosed.</t>
        </is>
      </c>
      <c r="W221" s="6" t="inlineStr"/>
      <c r="X221" s="6" t="inlineStr"/>
      <c r="Y221" s="6" t="inlineStr"/>
      <c r="Z221" s="6" t="inlineStr"/>
      <c r="AA221" s="6" t="inlineStr"/>
      <c r="AB221" s="6" t="inlineStr">
        <is>
          <t>RECORD</t>
        </is>
      </c>
      <c r="AC221" s="6" t="inlineStr">
        <is>
          <t>n/a (sub-item)</t>
        </is>
      </c>
      <c r="AD221" s="6" t="inlineStr">
        <is>
          <t>NEW (SRC-11 sub-row)</t>
        </is>
      </c>
      <c r="AE221" s="6" t="inlineStr">
        <is>
          <t>2026-10-19</t>
        </is>
      </c>
      <c r="AF221" s="6" t="inlineStr">
        <is>
          <t>Outside repo (SRC-11 D5)</t>
        </is>
      </c>
      <c r="AG221" s="6" t="inlineStr"/>
      <c r="AH221" s="6" t="inlineStr">
        <is>
          <t>No</t>
        </is>
      </c>
      <c r="AI221" s="6" t="inlineStr"/>
      <c r="AJ221" s="6" t="inlineStr">
        <is>
          <t>SRC-11 section D5</t>
        </is>
      </c>
      <c r="AK221" s="6" t="inlineStr">
        <is>
          <t>SRC-06 P04</t>
        </is>
      </c>
      <c r="AL221" s="6" t="inlineStr">
        <is>
          <t>S25</t>
        </is>
      </c>
    </row>
    <row r="222" ht="28" customHeight="1">
      <c r="A222" s="5" t="inlineStr">
        <is>
          <t>C-P02/P05</t>
        </is>
      </c>
      <c r="B222" s="6" t="inlineStr">
        <is>
          <t>Same-model/operator/source risk</t>
        </is>
      </c>
      <c r="C222" s="6" t="inlineStr">
        <is>
          <t>LIMITATION - ACCEPTANCE PENDING</t>
        </is>
      </c>
      <c r="D222" s="6">
        <f>IFERROR(INDEX(Lists!$B$2:$B$14,MATCH(C222,Lists!$A$2:$A$14,0)),"?")</f>
        <v/>
      </c>
      <c r="E222" s="6">
        <f>IF(COUNTIFS(Links!$B$2:$B$600,A222,Links!$E$2:$E$600,"Yes")&gt;0,"REVISE","")</f>
        <v/>
      </c>
      <c r="F222" s="6">
        <f>COUNTIFS(Links!$B$2:$B$600,A222,Links!$D$2:$D$600,"No",Links!$C$2:$C$600,"&lt;&gt;INFORMS")</f>
        <v/>
      </c>
      <c r="G222" s="12" t="inlineStr">
        <is>
          <t>ACCEPT-LIMITATION</t>
        </is>
      </c>
      <c r="H222" s="6" t="inlineStr">
        <is>
          <t>K16 Limits &amp; provenance</t>
        </is>
      </c>
      <c r="I222" s="6" t="inlineStr">
        <is>
          <t>G5 Housekeeping / no block</t>
        </is>
      </c>
      <c r="J222" s="6" t="inlineStr">
        <is>
          <t>Low</t>
        </is>
      </c>
      <c r="K222" s="6" t="n">
        <v>234</v>
      </c>
      <c r="L222" s="6" t="inlineStr">
        <is>
          <t>W5 Claim-time</t>
        </is>
      </c>
      <c r="M222" s="6" t="inlineStr">
        <is>
          <t>S25</t>
        </is>
      </c>
      <c r="N222" s="6" t="inlineStr">
        <is>
          <t>You</t>
        </is>
      </c>
      <c r="O222" s="6" t="inlineStr">
        <is>
          <t>You accept or reject the limit (Q-U20)</t>
        </is>
      </c>
      <c r="P222" s="6" t="inlineStr">
        <is>
          <t>No</t>
        </is>
      </c>
      <c r="Q222" s="6" t="inlineStr">
        <is>
          <t>Limitation</t>
        </is>
      </c>
      <c r="R222" s="6" t="inlineStr">
        <is>
          <t>Sub-item</t>
        </is>
      </c>
      <c r="S222" s="6" t="inlineStr">
        <is>
          <t>C-P02</t>
        </is>
      </c>
      <c r="T222" s="6" t="inlineStr">
        <is>
          <t>SRC-06 P05: the independent work shares model family, operator and sources with the thesis work.</t>
        </is>
      </c>
      <c r="U222" s="6" t="inlineStr">
        <is>
          <t>Outside the repo.</t>
        </is>
      </c>
      <c r="V222" s="6" t="inlineStr">
        <is>
          <t>Repaired or disclosed.</t>
        </is>
      </c>
      <c r="W222" s="6" t="inlineStr"/>
      <c r="X222" s="6" t="inlineStr"/>
      <c r="Y222" s="6" t="inlineStr">
        <is>
          <t>Q-U20</t>
        </is>
      </c>
      <c r="Z222" s="6" t="inlineStr"/>
      <c r="AA222" s="6" t="inlineStr"/>
      <c r="AB222" s="6" t="inlineStr">
        <is>
          <t>BOUND+RECORD</t>
        </is>
      </c>
      <c r="AC222" s="6" t="inlineStr">
        <is>
          <t>n/a (sub-item)</t>
        </is>
      </c>
      <c r="AD222" s="6" t="inlineStr">
        <is>
          <t>NEW (SRC-11 sub-row)</t>
        </is>
      </c>
      <c r="AE222" s="6" t="inlineStr">
        <is>
          <t>2026-10-19</t>
        </is>
      </c>
      <c r="AF222" s="6" t="inlineStr">
        <is>
          <t>Outside repo (SRC-11 D5)</t>
        </is>
      </c>
      <c r="AG222" s="6" t="inlineStr"/>
      <c r="AH222" s="6" t="inlineStr">
        <is>
          <t>No</t>
        </is>
      </c>
      <c r="AI222" s="6" t="inlineStr"/>
      <c r="AJ222" s="6" t="inlineStr">
        <is>
          <t>SRC-11 section D5</t>
        </is>
      </c>
      <c r="AK222" s="6" t="inlineStr">
        <is>
          <t>SRC-06 P05, CAVEATS 11</t>
        </is>
      </c>
      <c r="AL222" s="6" t="inlineStr">
        <is>
          <t>S25</t>
        </is>
      </c>
    </row>
    <row r="223" ht="28" customHeight="1">
      <c r="A223" s="5" t="inlineStr">
        <is>
          <t>C-P02/P06</t>
        </is>
      </c>
      <c r="B223" s="6" t="inlineStr">
        <is>
          <t>Two out-of-folder reads lacking a human check</t>
        </is>
      </c>
      <c r="C223" s="6" t="inlineStr">
        <is>
          <t>OPEN</t>
        </is>
      </c>
      <c r="D223" s="6">
        <f>IFERROR(INDEX(Lists!$B$2:$B$14,MATCH(C223,Lists!$A$2:$A$14,0)),"?")</f>
        <v/>
      </c>
      <c r="E223" s="6">
        <f>IF(COUNTIFS(Links!$B$2:$B$600,A223,Links!$E$2:$E$600,"Yes")&gt;0,"REVISE","")</f>
        <v/>
      </c>
      <c r="F223" s="6">
        <f>COUNTIFS(Links!$B$2:$B$600,A223,Links!$D$2:$D$600,"No",Links!$C$2:$C$600,"&lt;&gt;INFORMS")</f>
        <v/>
      </c>
      <c r="G223" s="8" t="inlineStr">
        <is>
          <t>RECORDS-AT-HAND</t>
        </is>
      </c>
      <c r="H223" s="6" t="inlineStr">
        <is>
          <t>K16 Limits &amp; provenance</t>
        </is>
      </c>
      <c r="I223" s="6" t="inlineStr">
        <is>
          <t>G5 Housekeeping / no block</t>
        </is>
      </c>
      <c r="J223" s="6" t="inlineStr">
        <is>
          <t>Low</t>
        </is>
      </c>
      <c r="K223" s="6" t="n">
        <v>235</v>
      </c>
      <c r="L223" s="6" t="inlineStr">
        <is>
          <t>W5 Claim-time</t>
        </is>
      </c>
      <c r="M223" s="6" t="inlineStr">
        <is>
          <t>S25</t>
        </is>
      </c>
      <c r="N223" s="6" t="inlineStr">
        <is>
          <t>You</t>
        </is>
      </c>
      <c r="O223" s="6" t="inlineStr">
        <is>
          <t>Lead drafts the fix; you approve</t>
        </is>
      </c>
      <c r="P223" s="6" t="inlineStr">
        <is>
          <t>No</t>
        </is>
      </c>
      <c r="Q223" s="6" t="inlineStr">
        <is>
          <t>Record fix</t>
        </is>
      </c>
      <c r="R223" s="6" t="inlineStr">
        <is>
          <t>Sub-item</t>
        </is>
      </c>
      <c r="S223" s="6" t="inlineStr">
        <is>
          <t>C-P02</t>
        </is>
      </c>
      <c r="T223" s="6" t="inlineStr">
        <is>
          <t>SRC-06 P06: two out-of-folder reads occurred without a human check.</t>
        </is>
      </c>
      <c r="U223" s="6" t="inlineStr">
        <is>
          <t>Outside the repo.</t>
        </is>
      </c>
      <c r="V223" s="6" t="inlineStr">
        <is>
          <t>Repaired or disclosed.</t>
        </is>
      </c>
      <c r="W223" s="6" t="inlineStr"/>
      <c r="X223" s="6" t="inlineStr"/>
      <c r="Y223" s="6" t="inlineStr"/>
      <c r="Z223" s="6" t="inlineStr"/>
      <c r="AA223" s="6" t="inlineStr"/>
      <c r="AB223" s="6" t="inlineStr">
        <is>
          <t>RECORD</t>
        </is>
      </c>
      <c r="AC223" s="6" t="inlineStr">
        <is>
          <t>n/a (sub-item)</t>
        </is>
      </c>
      <c r="AD223" s="6" t="inlineStr">
        <is>
          <t>NEW (SRC-11 sub-row)</t>
        </is>
      </c>
      <c r="AE223" s="6" t="inlineStr">
        <is>
          <t>2026-10-19</t>
        </is>
      </c>
      <c r="AF223" s="6" t="inlineStr">
        <is>
          <t>Outside repo (SRC-11 D5)</t>
        </is>
      </c>
      <c r="AG223" s="6" t="inlineStr"/>
      <c r="AH223" s="6" t="inlineStr">
        <is>
          <t>No</t>
        </is>
      </c>
      <c r="AI223" s="6" t="inlineStr"/>
      <c r="AJ223" s="6" t="inlineStr">
        <is>
          <t>SRC-11 section D5</t>
        </is>
      </c>
      <c r="AK223" s="6" t="inlineStr">
        <is>
          <t>SRC-06 P06</t>
        </is>
      </c>
      <c r="AL223" s="6" t="inlineStr">
        <is>
          <t>S25</t>
        </is>
      </c>
    </row>
    <row r="224" ht="28" customHeight="1">
      <c r="A224" s="5" t="inlineStr">
        <is>
          <t>C-P02/P07</t>
        </is>
      </c>
      <c r="B224" s="6" t="inlineStr">
        <is>
          <t>Asymmetric coverage between investigations</t>
        </is>
      </c>
      <c r="C224" s="6" t="inlineStr">
        <is>
          <t>LIMITATION - ACCEPTANCE PENDING</t>
        </is>
      </c>
      <c r="D224" s="6">
        <f>IFERROR(INDEX(Lists!$B$2:$B$14,MATCH(C224,Lists!$A$2:$A$14,0)),"?")</f>
        <v/>
      </c>
      <c r="E224" s="6">
        <f>IF(COUNTIFS(Links!$B$2:$B$600,A224,Links!$E$2:$E$600,"Yes")&gt;0,"REVISE","")</f>
        <v/>
      </c>
      <c r="F224" s="6">
        <f>COUNTIFS(Links!$B$2:$B$600,A224,Links!$D$2:$D$600,"No",Links!$C$2:$C$600,"&lt;&gt;INFORMS")</f>
        <v/>
      </c>
      <c r="G224" s="12" t="inlineStr">
        <is>
          <t>ACCEPT-LIMITATION</t>
        </is>
      </c>
      <c r="H224" s="6" t="inlineStr">
        <is>
          <t>K16 Limits &amp; provenance</t>
        </is>
      </c>
      <c r="I224" s="6" t="inlineStr">
        <is>
          <t>G5 Housekeeping / no block</t>
        </is>
      </c>
      <c r="J224" s="6" t="inlineStr">
        <is>
          <t>Low</t>
        </is>
      </c>
      <c r="K224" s="6" t="n">
        <v>236</v>
      </c>
      <c r="L224" s="6" t="inlineStr">
        <is>
          <t>W5 Claim-time</t>
        </is>
      </c>
      <c r="M224" s="6" t="inlineStr">
        <is>
          <t>S25</t>
        </is>
      </c>
      <c r="N224" s="6" t="inlineStr">
        <is>
          <t>You</t>
        </is>
      </c>
      <c r="O224" s="6" t="inlineStr">
        <is>
          <t>You accept or reject the limit (Q-U20)</t>
        </is>
      </c>
      <c r="P224" s="6" t="inlineStr">
        <is>
          <t>No</t>
        </is>
      </c>
      <c r="Q224" s="6" t="inlineStr">
        <is>
          <t>Limitation</t>
        </is>
      </c>
      <c r="R224" s="6" t="inlineStr">
        <is>
          <t>Sub-item</t>
        </is>
      </c>
      <c r="S224" s="6" t="inlineStr">
        <is>
          <t>C-P02</t>
        </is>
      </c>
      <c r="T224" s="6" t="inlineStr">
        <is>
          <t>SRC-06 P07: coverage asymmetry between the independent and the thesis tracks.</t>
        </is>
      </c>
      <c r="U224" s="6" t="inlineStr">
        <is>
          <t>Outside the repo.</t>
        </is>
      </c>
      <c r="V224" s="6" t="inlineStr">
        <is>
          <t>Repaired or disclosed.</t>
        </is>
      </c>
      <c r="W224" s="6" t="inlineStr"/>
      <c r="X224" s="6" t="inlineStr"/>
      <c r="Y224" s="6" t="inlineStr">
        <is>
          <t>Q-U20</t>
        </is>
      </c>
      <c r="Z224" s="6" t="inlineStr"/>
      <c r="AA224" s="6" t="inlineStr"/>
      <c r="AB224" s="6" t="inlineStr">
        <is>
          <t>BOUND</t>
        </is>
      </c>
      <c r="AC224" s="6" t="inlineStr">
        <is>
          <t>n/a (sub-item)</t>
        </is>
      </c>
      <c r="AD224" s="6" t="inlineStr">
        <is>
          <t>NEW (SRC-11 sub-row)</t>
        </is>
      </c>
      <c r="AE224" s="6" t="inlineStr">
        <is>
          <t>2026-10-19</t>
        </is>
      </c>
      <c r="AF224" s="6" t="inlineStr">
        <is>
          <t>Outside repo (SRC-11 D5)</t>
        </is>
      </c>
      <c r="AG224" s="6" t="inlineStr"/>
      <c r="AH224" s="6" t="inlineStr">
        <is>
          <t>No</t>
        </is>
      </c>
      <c r="AI224" s="6" t="inlineStr"/>
      <c r="AJ224" s="6" t="inlineStr">
        <is>
          <t>SRC-11 section D5</t>
        </is>
      </c>
      <c r="AK224" s="6" t="inlineStr">
        <is>
          <t>SRC-06 P07</t>
        </is>
      </c>
      <c r="AL224" s="6" t="inlineStr">
        <is>
          <t>S25</t>
        </is>
      </c>
    </row>
    <row r="225" ht="28" customHeight="1">
      <c r="A225" s="5" t="inlineStr">
        <is>
          <t>C-P02/P08</t>
        </is>
      </c>
      <c r="B225" s="6" t="inlineStr">
        <is>
          <t>Shared-source convergence</t>
        </is>
      </c>
      <c r="C225" s="6" t="inlineStr">
        <is>
          <t>LIMITATION - ACCEPTANCE PENDING</t>
        </is>
      </c>
      <c r="D225" s="6">
        <f>IFERROR(INDEX(Lists!$B$2:$B$14,MATCH(C225,Lists!$A$2:$A$14,0)),"?")</f>
        <v/>
      </c>
      <c r="E225" s="6">
        <f>IF(COUNTIFS(Links!$B$2:$B$600,A225,Links!$E$2:$E$600,"Yes")&gt;0,"REVISE","")</f>
        <v/>
      </c>
      <c r="F225" s="6">
        <f>COUNTIFS(Links!$B$2:$B$600,A225,Links!$D$2:$D$600,"No",Links!$C$2:$C$600,"&lt;&gt;INFORMS")</f>
        <v/>
      </c>
      <c r="G225" s="12" t="inlineStr">
        <is>
          <t>ACCEPT-LIMITATION</t>
        </is>
      </c>
      <c r="H225" s="6" t="inlineStr">
        <is>
          <t>K16 Limits &amp; provenance</t>
        </is>
      </c>
      <c r="I225" s="6" t="inlineStr">
        <is>
          <t>G5 Housekeeping / no block</t>
        </is>
      </c>
      <c r="J225" s="6" t="inlineStr">
        <is>
          <t>Low</t>
        </is>
      </c>
      <c r="K225" s="6" t="n">
        <v>237</v>
      </c>
      <c r="L225" s="6" t="inlineStr">
        <is>
          <t>W5 Claim-time</t>
        </is>
      </c>
      <c r="M225" s="6" t="inlineStr">
        <is>
          <t>S25</t>
        </is>
      </c>
      <c r="N225" s="6" t="inlineStr">
        <is>
          <t>You</t>
        </is>
      </c>
      <c r="O225" s="6" t="inlineStr">
        <is>
          <t>You accept or reject the limit (Q-U20)</t>
        </is>
      </c>
      <c r="P225" s="6" t="inlineStr">
        <is>
          <t>No</t>
        </is>
      </c>
      <c r="Q225" s="6" t="inlineStr">
        <is>
          <t>Limitation</t>
        </is>
      </c>
      <c r="R225" s="6" t="inlineStr">
        <is>
          <t>Sub-item</t>
        </is>
      </c>
      <c r="S225" s="6" t="inlineStr">
        <is>
          <t>C-P02</t>
        </is>
      </c>
      <c r="T225" s="6" t="inlineStr">
        <is>
          <t>SRC-06 P08: convergence may come from shared sources.</t>
        </is>
      </c>
      <c r="U225" s="6" t="inlineStr">
        <is>
          <t>Outside the repo.</t>
        </is>
      </c>
      <c r="V225" s="6" t="inlineStr">
        <is>
          <t>Repaired or disclosed.</t>
        </is>
      </c>
      <c r="W225" s="6" t="inlineStr"/>
      <c r="X225" s="6" t="inlineStr"/>
      <c r="Y225" s="6" t="inlineStr">
        <is>
          <t>Q-U20</t>
        </is>
      </c>
      <c r="Z225" s="6" t="inlineStr"/>
      <c r="AA225" s="6" t="inlineStr"/>
      <c r="AB225" s="6" t="inlineStr">
        <is>
          <t>BOUND</t>
        </is>
      </c>
      <c r="AC225" s="6" t="inlineStr">
        <is>
          <t>n/a (sub-item)</t>
        </is>
      </c>
      <c r="AD225" s="6" t="inlineStr">
        <is>
          <t>NEW (SRC-11 sub-row)</t>
        </is>
      </c>
      <c r="AE225" s="6" t="inlineStr">
        <is>
          <t>2026-10-19</t>
        </is>
      </c>
      <c r="AF225" s="6" t="inlineStr">
        <is>
          <t>Outside repo (SRC-11 D5)</t>
        </is>
      </c>
      <c r="AG225" s="6" t="inlineStr"/>
      <c r="AH225" s="6" t="inlineStr">
        <is>
          <t>No</t>
        </is>
      </c>
      <c r="AI225" s="6" t="inlineStr"/>
      <c r="AJ225" s="6" t="inlineStr">
        <is>
          <t>SRC-11 section D5</t>
        </is>
      </c>
      <c r="AK225" s="6" t="inlineStr">
        <is>
          <t>SRC-06 P08, CAVEATS 11</t>
        </is>
      </c>
      <c r="AL225" s="6" t="inlineStr">
        <is>
          <t>S25</t>
        </is>
      </c>
    </row>
    <row r="226" ht="28" customHeight="1">
      <c r="A226" s="5" t="inlineStr">
        <is>
          <t>C-P02/P09</t>
        </is>
      </c>
      <c r="B226" s="6" t="inlineStr">
        <is>
          <t>One or no adversarial reviews</t>
        </is>
      </c>
      <c r="C226" s="6" t="inlineStr">
        <is>
          <t>LIMITATION - ACCEPTANCE PENDING</t>
        </is>
      </c>
      <c r="D226" s="6">
        <f>IFERROR(INDEX(Lists!$B$2:$B$14,MATCH(C226,Lists!$A$2:$A$14,0)),"?")</f>
        <v/>
      </c>
      <c r="E226" s="6">
        <f>IF(COUNTIFS(Links!$B$2:$B$600,A226,Links!$E$2:$E$600,"Yes")&gt;0,"REVISE","")</f>
        <v/>
      </c>
      <c r="F226" s="6">
        <f>COUNTIFS(Links!$B$2:$B$600,A226,Links!$D$2:$D$600,"No",Links!$C$2:$C$600,"&lt;&gt;INFORMS")</f>
        <v/>
      </c>
      <c r="G226" s="12" t="inlineStr">
        <is>
          <t>ACCEPT-LIMITATION</t>
        </is>
      </c>
      <c r="H226" s="6" t="inlineStr">
        <is>
          <t>K16 Limits &amp; provenance</t>
        </is>
      </c>
      <c r="I226" s="6" t="inlineStr">
        <is>
          <t>G5 Housekeeping / no block</t>
        </is>
      </c>
      <c r="J226" s="6" t="inlineStr">
        <is>
          <t>Low</t>
        </is>
      </c>
      <c r="K226" s="6" t="n">
        <v>238</v>
      </c>
      <c r="L226" s="6" t="inlineStr">
        <is>
          <t>W5 Claim-time</t>
        </is>
      </c>
      <c r="M226" s="6" t="inlineStr">
        <is>
          <t>S25</t>
        </is>
      </c>
      <c r="N226" s="6" t="inlineStr">
        <is>
          <t>You</t>
        </is>
      </c>
      <c r="O226" s="6" t="inlineStr">
        <is>
          <t>You accept or reject the limit (Q-U20)</t>
        </is>
      </c>
      <c r="P226" s="6" t="inlineStr">
        <is>
          <t>No</t>
        </is>
      </c>
      <c r="Q226" s="6" t="inlineStr">
        <is>
          <t>Limitation</t>
        </is>
      </c>
      <c r="R226" s="6" t="inlineStr">
        <is>
          <t>Sub-item</t>
        </is>
      </c>
      <c r="S226" s="6" t="inlineStr">
        <is>
          <t>C-P02</t>
        </is>
      </c>
      <c r="T226" s="6" t="inlineStr">
        <is>
          <t>SRC-06 P09: one or no adversarial reviews of the independent work.</t>
        </is>
      </c>
      <c r="U226" s="6" t="inlineStr">
        <is>
          <t>Outside the repo.</t>
        </is>
      </c>
      <c r="V226" s="6" t="inlineStr">
        <is>
          <t>Repaired or disclosed.</t>
        </is>
      </c>
      <c r="W226" s="6" t="inlineStr"/>
      <c r="X226" s="6" t="inlineStr"/>
      <c r="Y226" s="6" t="inlineStr">
        <is>
          <t>Q-U20</t>
        </is>
      </c>
      <c r="Z226" s="6" t="inlineStr"/>
      <c r="AA226" s="6" t="inlineStr"/>
      <c r="AB226" s="6" t="inlineStr">
        <is>
          <t>BOUND</t>
        </is>
      </c>
      <c r="AC226" s="6" t="inlineStr">
        <is>
          <t>n/a (sub-item)</t>
        </is>
      </c>
      <c r="AD226" s="6" t="inlineStr">
        <is>
          <t>NEW (SRC-11 sub-row)</t>
        </is>
      </c>
      <c r="AE226" s="6" t="inlineStr">
        <is>
          <t>2026-10-19</t>
        </is>
      </c>
      <c r="AF226" s="6" t="inlineStr">
        <is>
          <t>Outside repo (SRC-11 D5)</t>
        </is>
      </c>
      <c r="AG226" s="6" t="inlineStr"/>
      <c r="AH226" s="6" t="inlineStr">
        <is>
          <t>No</t>
        </is>
      </c>
      <c r="AI226" s="6" t="inlineStr"/>
      <c r="AJ226" s="6" t="inlineStr">
        <is>
          <t>SRC-11 section D5</t>
        </is>
      </c>
      <c r="AK226" s="6" t="inlineStr">
        <is>
          <t>SRC-06 P09</t>
        </is>
      </c>
      <c r="AL226" s="6" t="inlineStr">
        <is>
          <t>S25</t>
        </is>
      </c>
    </row>
    <row r="227" ht="28" customHeight="1">
      <c r="A227" s="5" t="inlineStr">
        <is>
          <t>C-P02/P10</t>
        </is>
      </c>
      <c r="B227" s="6" t="inlineStr">
        <is>
          <t>Small glyph/denominator/extract limits</t>
        </is>
      </c>
      <c r="C227" s="6" t="inlineStr">
        <is>
          <t>OPEN</t>
        </is>
      </c>
      <c r="D227" s="6">
        <f>IFERROR(INDEX(Lists!$B$2:$B$14,MATCH(C227,Lists!$A$2:$A$14,0)),"?")</f>
        <v/>
      </c>
      <c r="E227" s="6">
        <f>IF(COUNTIFS(Links!$B$2:$B$600,A227,Links!$E$2:$E$600,"Yes")&gt;0,"REVISE","")</f>
        <v/>
      </c>
      <c r="F227" s="6">
        <f>COUNTIFS(Links!$B$2:$B$600,A227,Links!$D$2:$D$600,"No",Links!$C$2:$C$600,"&lt;&gt;INFORMS")</f>
        <v/>
      </c>
      <c r="G227" s="8" t="inlineStr">
        <is>
          <t>RECORDS-AT-HAND</t>
        </is>
      </c>
      <c r="H227" s="6" t="inlineStr">
        <is>
          <t>K16 Limits &amp; provenance</t>
        </is>
      </c>
      <c r="I227" s="6" t="inlineStr">
        <is>
          <t>G5 Housekeeping / no block</t>
        </is>
      </c>
      <c r="J227" s="6" t="inlineStr">
        <is>
          <t>Low</t>
        </is>
      </c>
      <c r="K227" s="6" t="n">
        <v>239</v>
      </c>
      <c r="L227" s="6" t="inlineStr">
        <is>
          <t>W5 Claim-time</t>
        </is>
      </c>
      <c r="M227" s="6" t="inlineStr">
        <is>
          <t>S25</t>
        </is>
      </c>
      <c r="N227" s="6" t="inlineStr">
        <is>
          <t>You</t>
        </is>
      </c>
      <c r="O227" s="6" t="inlineStr">
        <is>
          <t>Lead drafts the fix; you approve</t>
        </is>
      </c>
      <c r="P227" s="6" t="inlineStr">
        <is>
          <t>No</t>
        </is>
      </c>
      <c r="Q227" s="6" t="inlineStr">
        <is>
          <t>Record fix</t>
        </is>
      </c>
      <c r="R227" s="6" t="inlineStr">
        <is>
          <t>Sub-item</t>
        </is>
      </c>
      <c r="S227" s="6" t="inlineStr">
        <is>
          <t>C-P02</t>
        </is>
      </c>
      <c r="T227" s="6" t="inlineStr">
        <is>
          <t>SRC-06 P10: small glyph, denominator and extract limits.</t>
        </is>
      </c>
      <c r="U227" s="6" t="inlineStr">
        <is>
          <t>Outside the repo.</t>
        </is>
      </c>
      <c r="V227" s="6" t="inlineStr">
        <is>
          <t>Repaired or disclosed.</t>
        </is>
      </c>
      <c r="W227" s="6" t="inlineStr"/>
      <c r="X227" s="6" t="inlineStr"/>
      <c r="Y227" s="6" t="inlineStr"/>
      <c r="Z227" s="6" t="inlineStr"/>
      <c r="AA227" s="6" t="inlineStr"/>
      <c r="AB227" s="6" t="inlineStr">
        <is>
          <t>RECORD</t>
        </is>
      </c>
      <c r="AC227" s="6" t="inlineStr">
        <is>
          <t>n/a (sub-item)</t>
        </is>
      </c>
      <c r="AD227" s="6" t="inlineStr">
        <is>
          <t>NEW (SRC-11 sub-row)</t>
        </is>
      </c>
      <c r="AE227" s="6" t="inlineStr">
        <is>
          <t>2026-10-19</t>
        </is>
      </c>
      <c r="AF227" s="6" t="inlineStr">
        <is>
          <t>Outside repo (SRC-11 D5)</t>
        </is>
      </c>
      <c r="AG227" s="6" t="inlineStr"/>
      <c r="AH227" s="6" t="inlineStr">
        <is>
          <t>No</t>
        </is>
      </c>
      <c r="AI227" s="6" t="inlineStr"/>
      <c r="AJ227" s="6" t="inlineStr">
        <is>
          <t>SRC-11 section D5</t>
        </is>
      </c>
      <c r="AK227" s="6" t="inlineStr">
        <is>
          <t>SRC-06 P10</t>
        </is>
      </c>
      <c r="AL227" s="6" t="inlineStr">
        <is>
          <t>S25</t>
        </is>
      </c>
    </row>
    <row r="228" ht="40.5" customHeight="1">
      <c r="A228" s="5" t="inlineStr">
        <is>
          <t>C-P03</t>
        </is>
      </c>
      <c r="B228" s="6" t="inlineStr">
        <is>
          <t>First-session reconciliation not executed; safeguards untested; evidence ledger partly spot-checked; ASR pr...</t>
        </is>
      </c>
      <c r="C228" s="6" t="inlineStr">
        <is>
          <t>OPEN</t>
        </is>
      </c>
      <c r="D228" s="6">
        <f>IFERROR(INDEX(Lists!$B$2:$B$14,MATCH(C228,Lists!$A$2:$A$14,0)),"?")</f>
        <v/>
      </c>
      <c r="E228" s="6">
        <f>IF(COUNTIFS(Links!$B$2:$B$600,A228,Links!$E$2:$E$600,"Yes")&gt;0,"REVISE","")</f>
        <v/>
      </c>
      <c r="F228" s="6">
        <f>COUNTIFS(Links!$B$2:$B$600,A228,Links!$D$2:$D$600,"No",Links!$C$2:$C$600,"&lt;&gt;INFORMS")</f>
        <v/>
      </c>
      <c r="G228" s="9" t="inlineStr">
        <is>
          <t>USER-DECISION</t>
        </is>
      </c>
      <c r="H228" s="6" t="inlineStr">
        <is>
          <t>K16 Limits &amp; provenance</t>
        </is>
      </c>
      <c r="I228" s="6" t="inlineStr">
        <is>
          <t>G5 Housekeeping / no block</t>
        </is>
      </c>
      <c r="J228" s="6" t="inlineStr">
        <is>
          <t>Low</t>
        </is>
      </c>
      <c r="K228" s="6" t="n">
        <v>240</v>
      </c>
      <c r="L228" s="6" t="inlineStr">
        <is>
          <t>W5 Claim-time</t>
        </is>
      </c>
      <c r="M228" s="6" t="inlineStr">
        <is>
          <t>S25</t>
        </is>
      </c>
      <c r="N228" s="6" t="inlineStr">
        <is>
          <t>You</t>
        </is>
      </c>
      <c r="O228" s="6" t="inlineStr">
        <is>
          <t>You decide (Q-U03)</t>
        </is>
      </c>
      <c r="P228" s="6" t="inlineStr">
        <is>
          <t>No</t>
        </is>
      </c>
      <c r="Q228" s="6" t="inlineStr">
        <is>
          <t>Decision</t>
        </is>
      </c>
      <c r="R228" s="6" t="inlineStr">
        <is>
          <t>Item</t>
        </is>
      </c>
      <c r="S228" s="6" t="inlineStr"/>
      <c r="T228" s="6" t="inlineStr">
        <is>
          <t>First-session reconciliation not executed; safeguards untested; evidence ledger partly spot-checked; ASR provenance.</t>
        </is>
      </c>
      <c r="U228" s="6" t="inlineStr">
        <is>
          <t>Reconciliation still out of scope until a separate authorization.</t>
        </is>
      </c>
      <c r="V228" s="6" t="inlineStr">
        <is>
          <t>Reconciliation run only with Project A records and an AUTH; safeguards tested or accepted.</t>
        </is>
      </c>
      <c r="W228" s="6" t="inlineStr"/>
      <c r="X228" s="6" t="inlineStr">
        <is>
          <t>C-D11</t>
        </is>
      </c>
      <c r="Y228" s="6" t="inlineStr">
        <is>
          <t>Q-U03</t>
        </is>
      </c>
      <c r="Z228" s="6" t="inlineStr">
        <is>
          <t>RECORDS-AT-HAND</t>
        </is>
      </c>
      <c r="AA228" s="6" t="inlineStr">
        <is>
          <t>K0 Earlier results</t>
        </is>
      </c>
      <c r="AB228" s="6" t="inlineStr">
        <is>
          <t>ACCESS+RECORD+DEC</t>
        </is>
      </c>
      <c r="AC228" s="6" t="inlineStr">
        <is>
          <t>BOUNDARY - OPEN</t>
        </is>
      </c>
      <c r="AD228" s="6" t="inlineStr">
        <is>
          <t>UNCHANGED</t>
        </is>
      </c>
      <c r="AE228" s="6" t="inlineStr">
        <is>
          <t>2026-10-19</t>
        </is>
      </c>
      <c r="AF228" s="6" t="inlineStr">
        <is>
          <t>CLAUDE.md; CAVEATS row 14</t>
        </is>
      </c>
      <c r="AG228" s="6" t="inlineStr"/>
      <c r="AH228" s="6" t="inlineStr">
        <is>
          <t>Yes (reconciliation)</t>
        </is>
      </c>
      <c r="AI228" s="6" t="inlineStr"/>
      <c r="AJ228" s="6" t="inlineStr">
        <is>
          <t>SRC-11 canonical</t>
        </is>
      </c>
      <c r="AK228" s="6" t="inlineStr">
        <is>
          <t>SRC-06 P11-P14</t>
        </is>
      </c>
      <c r="AL228" s="6" t="inlineStr">
        <is>
          <t>S25</t>
        </is>
      </c>
    </row>
    <row r="229" ht="28" customHeight="1">
      <c r="A229" s="5" t="inlineStr">
        <is>
          <t>C-P03/P13</t>
        </is>
      </c>
      <c r="B229" s="6" t="inlineStr">
        <is>
          <t>Evidence ledger only partly spot-checked</t>
        </is>
      </c>
      <c r="C229" s="6" t="inlineStr">
        <is>
          <t>PARTLY ANSWERED</t>
        </is>
      </c>
      <c r="D229" s="6">
        <f>IFERROR(INDEX(Lists!$B$2:$B$14,MATCH(C229,Lists!$A$2:$A$14,0)),"?")</f>
        <v/>
      </c>
      <c r="E229" s="6">
        <f>IF(COUNTIFS(Links!$B$2:$B$600,A229,Links!$E$2:$E$600,"Yes")&gt;0,"REVISE","")</f>
        <v/>
      </c>
      <c r="F229" s="6">
        <f>COUNTIFS(Links!$B$2:$B$600,A229,Links!$D$2:$D$600,"No",Links!$C$2:$C$600,"&lt;&gt;INFORMS")</f>
        <v/>
      </c>
      <c r="G229" s="8" t="inlineStr">
        <is>
          <t>RECORDS-AT-HAND</t>
        </is>
      </c>
      <c r="H229" s="6" t="inlineStr">
        <is>
          <t>K16 Limits &amp; provenance</t>
        </is>
      </c>
      <c r="I229" s="6" t="inlineStr">
        <is>
          <t>G5 Housekeeping / no block</t>
        </is>
      </c>
      <c r="J229" s="6" t="inlineStr">
        <is>
          <t>Low</t>
        </is>
      </c>
      <c r="K229" s="6" t="n">
        <v>241</v>
      </c>
      <c r="L229" s="6" t="inlineStr">
        <is>
          <t>W5 Claim-time</t>
        </is>
      </c>
      <c r="M229" s="6" t="inlineStr">
        <is>
          <t>S25</t>
        </is>
      </c>
      <c r="N229" s="6" t="inlineStr">
        <is>
          <t>You</t>
        </is>
      </c>
      <c r="O229" s="6" t="inlineStr">
        <is>
          <t>Lead drafts the fix; you approve</t>
        </is>
      </c>
      <c r="P229" s="6" t="inlineStr">
        <is>
          <t>Partly</t>
        </is>
      </c>
      <c r="Q229" s="6" t="inlineStr">
        <is>
          <t>Record fix</t>
        </is>
      </c>
      <c r="R229" s="6" t="inlineStr">
        <is>
          <t>Sub-item</t>
        </is>
      </c>
      <c r="S229" s="6" t="inlineStr">
        <is>
          <t>C-P03</t>
        </is>
      </c>
      <c r="T229" s="6" t="inlineStr">
        <is>
          <t>SRC-06 P13: the evidence ledger was partly spot-checked.</t>
        </is>
      </c>
      <c r="U229" s="6" t="inlineStr">
        <is>
          <t>Hash integrity is checked mechanically; content was not verified.</t>
        </is>
      </c>
      <c r="V229" s="6" t="inlineStr">
        <is>
          <t>Repaired or disclosed.</t>
        </is>
      </c>
      <c r="W229" s="6" t="inlineStr"/>
      <c r="X229" s="6" t="inlineStr"/>
      <c r="Y229" s="6" t="inlineStr"/>
      <c r="Z229" s="6" t="inlineStr"/>
      <c r="AA229" s="6" t="inlineStr"/>
      <c r="AB229" s="6" t="inlineStr">
        <is>
          <t>RECORD+DEC</t>
        </is>
      </c>
      <c r="AC229" s="6" t="inlineStr">
        <is>
          <t>n/a (sub-item)</t>
        </is>
      </c>
      <c r="AD229" s="6" t="inlineStr">
        <is>
          <t>NEW (SRC-11 sub-row)</t>
        </is>
      </c>
      <c r="AE229" s="6" t="inlineStr">
        <is>
          <t>2026-10-19</t>
        </is>
      </c>
      <c r="AF229" s="6" t="inlineStr">
        <is>
          <t>verify_workspace.py (hash integrity, pass 875)</t>
        </is>
      </c>
      <c r="AG229" s="6" t="inlineStr"/>
      <c r="AH229" s="6" t="inlineStr">
        <is>
          <t>Yes (reconciliation)</t>
        </is>
      </c>
      <c r="AI229" s="6" t="inlineStr"/>
      <c r="AJ229" s="6" t="inlineStr">
        <is>
          <t>SRC-11 section D5</t>
        </is>
      </c>
      <c r="AK229" s="6" t="inlineStr">
        <is>
          <t>SRC-06 P13</t>
        </is>
      </c>
      <c r="AL229" s="6" t="inlineStr">
        <is>
          <t>S25</t>
        </is>
      </c>
    </row>
    <row r="230" ht="28" customHeight="1">
      <c r="A230" s="5" t="inlineStr">
        <is>
          <t>C-P03/P14</t>
        </is>
      </c>
      <c r="B230" s="6" t="inlineStr">
        <is>
          <t>Older workspace saw excerpts/ASR; SRC-09 read full October notes</t>
        </is>
      </c>
      <c r="C230" s="6" t="inlineStr">
        <is>
          <t>LIMITATION - ACCEPTANCE PENDING</t>
        </is>
      </c>
      <c r="D230" s="6">
        <f>IFERROR(INDEX(Lists!$B$2:$B$14,MATCH(C230,Lists!$A$2:$A$14,0)),"?")</f>
        <v/>
      </c>
      <c r="E230" s="6">
        <f>IF(COUNTIFS(Links!$B$2:$B$600,A230,Links!$E$2:$E$600,"Yes")&gt;0,"REVISE","")</f>
        <v/>
      </c>
      <c r="F230" s="6">
        <f>COUNTIFS(Links!$B$2:$B$600,A230,Links!$D$2:$D$600,"No",Links!$C$2:$C$600,"&lt;&gt;INFORMS")</f>
        <v/>
      </c>
      <c r="G230" s="12" t="inlineStr">
        <is>
          <t>ACCEPT-LIMITATION</t>
        </is>
      </c>
      <c r="H230" s="6" t="inlineStr">
        <is>
          <t>K16 Limits &amp; provenance</t>
        </is>
      </c>
      <c r="I230" s="6" t="inlineStr">
        <is>
          <t>G5 Housekeeping / no block</t>
        </is>
      </c>
      <c r="J230" s="6" t="inlineStr">
        <is>
          <t>Low</t>
        </is>
      </c>
      <c r="K230" s="6" t="n">
        <v>242</v>
      </c>
      <c r="L230" s="6" t="inlineStr">
        <is>
          <t>W5 Claim-time</t>
        </is>
      </c>
      <c r="M230" s="6" t="inlineStr">
        <is>
          <t>S25</t>
        </is>
      </c>
      <c r="N230" s="6" t="inlineStr">
        <is>
          <t>You</t>
        </is>
      </c>
      <c r="O230" s="6" t="inlineStr">
        <is>
          <t>You accept or reject the limit (Q-U20)</t>
        </is>
      </c>
      <c r="P230" s="6" t="inlineStr">
        <is>
          <t>Partly</t>
        </is>
      </c>
      <c r="Q230" s="6" t="inlineStr">
        <is>
          <t>Limitation</t>
        </is>
      </c>
      <c r="R230" s="6" t="inlineStr">
        <is>
          <t>Sub-item</t>
        </is>
      </c>
      <c r="S230" s="6" t="inlineStr">
        <is>
          <t>C-P03</t>
        </is>
      </c>
      <c r="T230" s="6" t="inlineStr">
        <is>
          <t>SRC-06 P14: the older workspace saw excerpts and automatic transcription only, while SRC-09 read the full October notes.</t>
        </is>
      </c>
      <c r="U230" s="6" t="inlineStr">
        <is>
          <t>This repo has only the nine excerpts of 14 Oct.</t>
        </is>
      </c>
      <c r="V230" s="6" t="inlineStr">
        <is>
          <t>Repaired or disclosed.</t>
        </is>
      </c>
      <c r="W230" s="6" t="inlineStr"/>
      <c r="X230" s="6" t="inlineStr"/>
      <c r="Y230" s="6" t="inlineStr">
        <is>
          <t>Q-U20</t>
        </is>
      </c>
      <c r="Z230" s="6" t="inlineStr"/>
      <c r="AA230" s="6" t="inlineStr"/>
      <c r="AB230" s="6" t="inlineStr">
        <is>
          <t>RECORD+DEC</t>
        </is>
      </c>
      <c r="AC230" s="6" t="inlineStr">
        <is>
          <t>n/a (sub-item)</t>
        </is>
      </c>
      <c r="AD230" s="6" t="inlineStr">
        <is>
          <t>NEW (SRC-11 sub-row)</t>
        </is>
      </c>
      <c r="AE230" s="6" t="inlineStr">
        <is>
          <t>2026-10-19</t>
        </is>
      </c>
      <c r="AF230" s="6" t="inlineStr">
        <is>
          <t>intake excerpts E1-E9 only (REGISTER G)</t>
        </is>
      </c>
      <c r="AG230" s="6" t="inlineStr"/>
      <c r="AH230" s="6" t="inlineStr">
        <is>
          <t>Yes (reconciliation)</t>
        </is>
      </c>
      <c r="AI230" s="6" t="inlineStr"/>
      <c r="AJ230" s="6" t="inlineStr">
        <is>
          <t>SRC-11 section D5</t>
        </is>
      </c>
      <c r="AK230" s="6" t="inlineStr">
        <is>
          <t>SRC-06 P14</t>
        </is>
      </c>
      <c r="AL230" s="6" t="inlineStr">
        <is>
          <t>S25</t>
        </is>
      </c>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30"/>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1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C-E01/E06</t>
        </is>
      </c>
      <c r="B2" s="6" t="inlineStr">
        <is>
          <t>TheMCPCompany 'Missed Tools 3 of 24' absent from readable v1; v2 unreadable</t>
        </is>
      </c>
      <c r="C2" s="6" t="inlineStr">
        <is>
          <t>CLOSED - BY EVIDENCE</t>
        </is>
      </c>
      <c r="D2" s="6" t="inlineStr">
        <is>
          <t>No</t>
        </is>
      </c>
      <c r="E2" s="6" t="inlineStr"/>
      <c r="F2" s="6" t="inlineStr"/>
      <c r="G2" s="14" t="inlineStr">
        <is>
          <t>SOURCE-REREAD</t>
        </is>
      </c>
      <c r="H2" s="6" t="inlineStr">
        <is>
          <t>K14 Source &amp; vendor verification</t>
        </is>
      </c>
      <c r="I2" s="6" t="inlineStr">
        <is>
          <t>G4 Before claims</t>
        </is>
      </c>
      <c r="J2" s="6" t="inlineStr">
        <is>
          <t>Normal</t>
        </is>
      </c>
      <c r="K2" s="6" t="n">
        <v>83</v>
      </c>
      <c r="L2" s="6" t="inlineStr">
        <is>
          <t>W2 Desk work (no model runs)</t>
        </is>
      </c>
      <c r="M2" s="6" t="inlineStr">
        <is>
          <t>S11</t>
        </is>
      </c>
      <c r="N2" s="6" t="inlineStr">
        <is>
          <t>n/a</t>
        </is>
      </c>
      <c r="O2" s="6" t="inlineStr">
        <is>
          <t>Read the decisive passage; fetch only if not stored</t>
        </is>
      </c>
      <c r="P2" s="6" t="inlineStr">
        <is>
          <t>Answered (see basis)</t>
        </is>
      </c>
      <c r="Q2" s="6" t="inlineStr">
        <is>
          <t>Source check</t>
        </is>
      </c>
      <c r="R2" s="6" t="inlineStr">
        <is>
          <t>Sub-item</t>
        </is>
      </c>
      <c r="S2" s="6" t="inlineStr">
        <is>
          <t>C-E01</t>
        </is>
      </c>
      <c r="T2" s="6" t="inlineStr">
        <is>
          <t>SRC-06 E06: the 'Missed Tools 3 of 24' figure was absent from the readable v1 and v2 was unreadable.</t>
        </is>
      </c>
      <c r="U2" s="6" t="inlineStr">
        <is>
          <t>The figure is present in the stored text and in the v2 text read by the steward; the table prints a percentage, so '3 of 24' is derived.</t>
        </is>
      </c>
      <c r="V2" s="6" t="inlineStr">
        <is>
          <t>Closed: figure located (percentage printed; count derived).</t>
        </is>
      </c>
      <c r="W2" s="6" t="inlineStr"/>
      <c r="X2" s="6" t="inlineStr"/>
      <c r="Y2" s="6" t="inlineStr"/>
      <c r="Z2" s="6" t="inlineStr"/>
      <c r="AA2" s="6" t="inlineStr"/>
      <c r="AB2" s="6" t="inlineStr">
        <is>
          <t>SOURCE+AUTHOR</t>
        </is>
      </c>
      <c r="AC2" s="6" t="inlineStr">
        <is>
          <t>n/a (sub-item)</t>
        </is>
      </c>
      <c r="AD2" s="6" t="inlineStr">
        <is>
          <t>CLOSED (baseline)</t>
        </is>
      </c>
      <c r="AE2" s="6" t="inlineStr">
        <is>
          <t>2026-10-19</t>
        </is>
      </c>
      <c r="AF2" s="6" t="inlineStr">
        <is>
          <t>Stored s4-themcpcompany-2510-19286-20261013 lines 1139-1156 and lit file arxiv-2510.19286.txt: GPT-4.1 failure analysis, 24 tasks in total, 'Missed Tools 12.5' (12.5% of 24 = 3 tasks, my arithmetic)</t>
        </is>
      </c>
      <c r="AG2" s="6" t="inlineStr"/>
      <c r="AH2" s="6" t="inlineStr">
        <is>
          <t>Web use needs scope</t>
        </is>
      </c>
      <c r="AI2" s="6" t="inlineStr">
        <is>
          <t>Closed 2026-10-19 on repo evidence; count is derived from 12.5% x 24.</t>
        </is>
      </c>
      <c r="AJ2" s="6" t="inlineStr">
        <is>
          <t>SRC-11 section D1</t>
        </is>
      </c>
      <c r="AK2" s="6" t="inlineStr">
        <is>
          <t>SRC-06 E06, SUM-0005</t>
        </is>
      </c>
      <c r="AL2" s="6" t="inlineStr">
        <is>
          <t>S11</t>
        </is>
      </c>
    </row>
    <row r="3" ht="115.5" customHeight="1">
      <c r="A3" s="5" t="inlineStr">
        <is>
          <t>C-E02/E20</t>
        </is>
      </c>
      <c r="B3" s="6" t="inlineStr">
        <is>
          <t>BFCL ICML 2025 paper read only as a snippet</t>
        </is>
      </c>
      <c r="C3" s="6" t="inlineStr">
        <is>
          <t>CLOSED - BY EVIDENCE</t>
        </is>
      </c>
      <c r="D3" s="6" t="inlineStr">
        <is>
          <t>No</t>
        </is>
      </c>
      <c r="E3" s="6" t="inlineStr"/>
      <c r="F3" s="6" t="inlineStr"/>
      <c r="G3" s="14" t="inlineStr">
        <is>
          <t>SOURCE-REREAD</t>
        </is>
      </c>
      <c r="H3" s="6" t="inlineStr">
        <is>
          <t>K14 Source &amp; vendor verification</t>
        </is>
      </c>
      <c r="I3" s="6" t="inlineStr">
        <is>
          <t>G4 Before claims</t>
        </is>
      </c>
      <c r="J3" s="6" t="inlineStr">
        <is>
          <t>Normal</t>
        </is>
      </c>
      <c r="K3" s="6" t="n">
        <v>90</v>
      </c>
      <c r="L3" s="6" t="inlineStr">
        <is>
          <t>W2 Desk work (no model runs)</t>
        </is>
      </c>
      <c r="M3" s="6" t="inlineStr">
        <is>
          <t>S11</t>
        </is>
      </c>
      <c r="N3" s="6" t="inlineStr">
        <is>
          <t>Lead + steward</t>
        </is>
      </c>
      <c r="O3" s="6" t="inlineStr">
        <is>
          <t>Closed; moved to Archive</t>
        </is>
      </c>
      <c r="P3" s="6" t="inlineStr">
        <is>
          <t>Yes - stored text, unread</t>
        </is>
      </c>
      <c r="Q3" s="6" t="inlineStr">
        <is>
          <t>Source check</t>
        </is>
      </c>
      <c r="R3" s="6" t="inlineStr">
        <is>
          <t>Sub-item</t>
        </is>
      </c>
      <c r="S3" s="6" t="inlineStr">
        <is>
          <t>C-E02</t>
        </is>
      </c>
      <c r="T3" s="6" t="inlineStr">
        <is>
          <t>SRC-06 E20: the BFCL ICML 2025 paper was seen only as a search snippet.</t>
        </is>
      </c>
      <c r="U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3" s="6" t="inlineStr">
        <is>
          <t>Original read; claims it affects revised or marked unverified.</t>
        </is>
      </c>
      <c r="W3" s="6" t="inlineStr"/>
      <c r="X3" s="6" t="inlineStr"/>
      <c r="Y3" s="6" t="inlineStr"/>
      <c r="Z3" s="6" t="inlineStr"/>
      <c r="AA3" s="6" t="inlineStr"/>
      <c r="AB3" s="6" t="inlineStr">
        <is>
          <t>SOURCE+ACCESS</t>
        </is>
      </c>
      <c r="AC3" s="6" t="inlineStr">
        <is>
          <t>n/a (sub-item)</t>
        </is>
      </c>
      <c r="AD3" s="6" t="inlineStr">
        <is>
          <t>NEW (SRC-11 sub-row)</t>
        </is>
      </c>
      <c r="AE3" s="6" t="inlineStr">
        <is>
          <t>2026-10-19</t>
        </is>
      </c>
      <c r="AF3" s="6" t="inlineStr">
        <is>
          <t>FND-0009 (findings/SUM-0011); EXT-0116, EXT-0146, EXT-0147; evidence/sources.json r3-bfcl</t>
        </is>
      </c>
      <c r="AG3" s="6" t="inlineStr"/>
      <c r="AH3" s="6" t="inlineStr">
        <is>
          <t>No (AUTH-016 covers web fetches for this item)</t>
        </is>
      </c>
      <c r="AI3" s="6" t="inlineStr">
        <is>
          <t>Closed 2026-10-19: the access gap (paper seen only as a snippet) is closed by the stored text; claims that rely on specific passages are checked as they are used.</t>
        </is>
      </c>
      <c r="AJ3" s="6" t="inlineStr">
        <is>
          <t>SRC-11 section D2</t>
        </is>
      </c>
      <c r="AK3" s="6" t="inlineStr">
        <is>
          <t>SRC-06 E20</t>
        </is>
      </c>
      <c r="AL3" s="6" t="inlineStr">
        <is>
          <t>S11</t>
        </is>
      </c>
    </row>
    <row r="4" ht="178" customHeight="1">
      <c r="A4" s="5" t="inlineStr">
        <is>
          <t>C-S08/BFCLDEF</t>
        </is>
      </c>
      <c r="B4" s="6" t="inlineStr">
        <is>
          <t>BFCL irrelevance/relevance definitions rest on background knowledge</t>
        </is>
      </c>
      <c r="C4" s="6" t="inlineStr">
        <is>
          <t>CLOSED - BY EVIDENCE</t>
        </is>
      </c>
      <c r="D4" s="6" t="inlineStr">
        <is>
          <t>No</t>
        </is>
      </c>
      <c r="E4" s="6" t="inlineStr"/>
      <c r="F4" s="6" t="inlineStr"/>
      <c r="G4" s="14" t="inlineStr">
        <is>
          <t>SOURCE-REREAD</t>
        </is>
      </c>
      <c r="H4" s="6" t="inlineStr">
        <is>
          <t>K8 Search initiation &amp; recovery</t>
        </is>
      </c>
      <c r="I4" s="6" t="inlineStr">
        <is>
          <t>G3 Before confirmatory study</t>
        </is>
      </c>
      <c r="J4" s="6" t="inlineStr">
        <is>
          <t>Normal</t>
        </is>
      </c>
      <c r="K4" s="6" t="n">
        <v>106</v>
      </c>
      <c r="L4" s="6" t="inlineStr">
        <is>
          <t>W2 Desk work (no model runs)</t>
        </is>
      </c>
      <c r="M4" s="6" t="inlineStr">
        <is>
          <t>S11</t>
        </is>
      </c>
      <c r="N4" s="6" t="inlineStr">
        <is>
          <t>Team</t>
        </is>
      </c>
      <c r="O4" s="6" t="inlineStr">
        <is>
          <t>Closed; moved to Archive</t>
        </is>
      </c>
      <c r="P4" s="6" t="inlineStr">
        <is>
          <t>Yes - stored text, unread</t>
        </is>
      </c>
      <c r="Q4" s="6" t="inlineStr">
        <is>
          <t>Source check</t>
        </is>
      </c>
      <c r="R4" s="6" t="inlineStr">
        <is>
          <t>Sub-item</t>
        </is>
      </c>
      <c r="S4" s="6" t="inlineStr">
        <is>
          <t>C-S08</t>
        </is>
      </c>
      <c r="T4" s="6" t="inlineStr">
        <is>
          <t>v4-05 Round 5b states the definitions of irrelevance and relevance detection from the lead's background knowledge [S], not evidence; the leaderboard CSV has no column definitions.</t>
        </is>
      </c>
      <c r="U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 s="6" t="inlineStr">
        <is>
          <t>Definitions quoted from the BFCL paper.</t>
        </is>
      </c>
      <c r="W4" s="6" t="inlineStr"/>
      <c r="X4" s="6" t="inlineStr"/>
      <c r="Y4" s="6" t="inlineStr"/>
      <c r="Z4" s="6" t="inlineStr"/>
      <c r="AA4" s="6" t="inlineStr"/>
      <c r="AB4" s="6" t="inlineStr">
        <is>
          <t>SOURCE</t>
        </is>
      </c>
      <c r="AC4" s="6" t="inlineStr">
        <is>
          <t>n/a (sub-item)</t>
        </is>
      </c>
      <c r="AD4" s="6" t="inlineStr">
        <is>
          <t>NEW (SRC-11 sub-row)</t>
        </is>
      </c>
      <c r="AE4" s="6" t="inlineStr">
        <is>
          <t>2026-10-19</t>
        </is>
      </c>
      <c r="AF4" s="6" t="inlineStr">
        <is>
          <t>FND-0009 (findings/SUM-0011); EXT-0117, EXT-0119, EXT-0121 (lead re-read EXT-0119 and EXT-0121)</t>
        </is>
      </c>
      <c r="AG4" s="6" t="inlineStr"/>
      <c r="AH4" s="6" t="inlineStr">
        <is>
          <t>Yes</t>
        </is>
      </c>
      <c r="AI4" s="6" t="inlineStr">
        <is>
          <t>Closed 2026-10-19 on the paper's own definitions. Correction to v4-05 recorded here; v4-05 text is unchanged (AUTH-016 rule).</t>
        </is>
      </c>
      <c r="AJ4" s="6" t="inlineStr">
        <is>
          <t>repo: v4-05 sections 1B, 3, 4; reviews RV-0006/0007</t>
        </is>
      </c>
      <c r="AK4" s="6" t="inlineStr"/>
      <c r="AL4" s="6" t="inlineStr">
        <is>
          <t>S11</t>
        </is>
      </c>
    </row>
    <row r="5" ht="140.5" customHeight="1">
      <c r="A5" s="5" t="inlineStr">
        <is>
          <t>N-24</t>
        </is>
      </c>
      <c r="B5" s="6" t="inlineStr">
        <is>
          <t>Stored sources with no usable text: r2-llmlingua, r4-vscode-chat-tools, s4b-wc-jshook-searcharch</t>
        </is>
      </c>
      <c r="C5" s="6" t="inlineStr">
        <is>
          <t>CLOSED - BY EVIDENCE</t>
        </is>
      </c>
      <c r="D5" s="6" t="inlineStr">
        <is>
          <t>No</t>
        </is>
      </c>
      <c r="E5" s="6" t="inlineStr"/>
      <c r="F5" s="6" t="inlineStr"/>
      <c r="G5" s="14" t="inlineStr">
        <is>
          <t>SOURCE-REREAD</t>
        </is>
      </c>
      <c r="H5" s="6" t="inlineStr">
        <is>
          <t>K14 Source &amp; vendor verification</t>
        </is>
      </c>
      <c r="I5" s="6" t="inlineStr">
        <is>
          <t>G5 Housekeeping / no block</t>
        </is>
      </c>
      <c r="J5" s="6" t="inlineStr">
        <is>
          <t>Low</t>
        </is>
      </c>
      <c r="K5" s="6" t="n">
        <v>108</v>
      </c>
      <c r="L5" s="6" t="inlineStr">
        <is>
          <t>W2 Desk work (no model runs)</t>
        </is>
      </c>
      <c r="M5" s="6" t="inlineStr">
        <is>
          <t>S11</t>
        </is>
      </c>
      <c r="N5" s="6" t="inlineStr">
        <is>
          <t>Lead</t>
        </is>
      </c>
      <c r="O5" s="6" t="inlineStr">
        <is>
          <t>Closed; moved to Archive</t>
        </is>
      </c>
      <c r="P5" s="6" t="inlineStr">
        <is>
          <t>Answered (see basis)</t>
        </is>
      </c>
      <c r="Q5" s="6" t="inlineStr">
        <is>
          <t>Record fix</t>
        </is>
      </c>
      <c r="R5" s="6" t="inlineStr">
        <is>
          <t>Item</t>
        </is>
      </c>
      <c r="S5" s="6" t="inlineStr"/>
      <c r="T5" s="6" t="inlineStr">
        <is>
          <t>evidence/sources.json: 6 manifests lack stored text; three have retry duplicates (r2-toolgen, r4-speakeasy-dynamic-toolsets, r4-speakeasy...2), test-blocked-eht-blog is a test artefact; r2-llmlingua, r4-vscode-chat-tools and s4b-wc-jshook-searcharch have no stored text.</t>
        </is>
      </c>
      <c r="U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5" s="6" t="inlineStr">
        <is>
          <t>Refetched, or recorded as not stored and not relied on.</t>
        </is>
      </c>
      <c r="W5" s="6" t="inlineStr"/>
      <c r="X5" s="6" t="inlineStr"/>
      <c r="Y5" s="6" t="inlineStr"/>
      <c r="Z5" s="6" t="inlineStr"/>
      <c r="AA5" s="6" t="inlineStr"/>
      <c r="AB5" s="6" t="inlineStr">
        <is>
          <t>SOURCE+ACCESS</t>
        </is>
      </c>
      <c r="AC5" s="6" t="inlineStr">
        <is>
          <t>n/a (new)</t>
        </is>
      </c>
      <c r="AD5" s="6" t="inlineStr">
        <is>
          <t>NEW (repo sweep)</t>
        </is>
      </c>
      <c r="AE5" s="6" t="inlineStr">
        <is>
          <t>2026-10-19</t>
        </is>
      </c>
      <c r="AF5" s="6" t="inlineStr">
        <is>
          <t>evidence/sources.json has_text flags (lead check 2026-10-19); repo-wide grep</t>
        </is>
      </c>
      <c r="AG5" s="6" t="inlineStr">
        <is>
          <t>If a design record starts to cite one of the six</t>
        </is>
      </c>
      <c r="AH5" s="6" t="inlineStr">
        <is>
          <t>No (AUTH-016 covers web fetches for this item)</t>
        </is>
      </c>
      <c r="AI5" s="6" t="inlineStr">
        <is>
          <t>Closed 2026-10-19: none is relied on; nothing to refetch.</t>
        </is>
      </c>
      <c r="AJ5" s="6" t="inlineStr">
        <is>
          <t>repo sweep (sources.json)</t>
        </is>
      </c>
      <c r="AK5" s="6" t="inlineStr"/>
      <c r="AL5" s="6" t="inlineStr">
        <is>
          <t>S11</t>
        </is>
      </c>
    </row>
    <row r="6" ht="90.5" customHeight="1">
      <c r="A6" s="5" t="inlineStr">
        <is>
          <t>N-18</t>
        </is>
      </c>
      <c r="B6" s="6" t="inlineStr">
        <is>
          <t>v4-05 says the BFCL paper 'was not fetched' but sources.json stores it</t>
        </is>
      </c>
      <c r="C6" s="6" t="inlineStr">
        <is>
          <t>CLOSED - BY EVIDENCE</t>
        </is>
      </c>
      <c r="D6" s="6" t="inlineStr">
        <is>
          <t>No</t>
        </is>
      </c>
      <c r="E6" s="6" t="inlineStr"/>
      <c r="F6" s="6" t="inlineStr"/>
      <c r="G6" s="8" t="inlineStr">
        <is>
          <t>RECORDS-AT-HAND</t>
        </is>
      </c>
      <c r="H6" s="6" t="inlineStr">
        <is>
          <t>K17 Record repair &amp; procedure error</t>
        </is>
      </c>
      <c r="I6" s="6" t="inlineStr">
        <is>
          <t>G5 Housekeeping / no block</t>
        </is>
      </c>
      <c r="J6" s="6" t="inlineStr">
        <is>
          <t>Low</t>
        </is>
      </c>
      <c r="K6" s="6" t="n">
        <v>151</v>
      </c>
      <c r="L6" s="6" t="inlineStr">
        <is>
          <t>W2 Desk work (no model runs)</t>
        </is>
      </c>
      <c r="M6" s="6" t="inlineStr">
        <is>
          <t>S15</t>
        </is>
      </c>
      <c r="N6" s="6" t="inlineStr">
        <is>
          <t>Lead</t>
        </is>
      </c>
      <c r="O6" s="6" t="inlineStr">
        <is>
          <t>Closed; moved to Archive</t>
        </is>
      </c>
      <c r="P6" s="6" t="inlineStr">
        <is>
          <t>Answered (see basis)</t>
        </is>
      </c>
      <c r="Q6" s="6" t="inlineStr">
        <is>
          <t>Record fix</t>
        </is>
      </c>
      <c r="R6" s="6" t="inlineStr">
        <is>
          <t>Item</t>
        </is>
      </c>
      <c r="S6" s="6" t="inlineStr"/>
      <c r="T6" s="6" t="inlineStr">
        <is>
          <t>design/package-v4/05-literature-check-summary.md section 5 says the BFCL paper itself was not fetched; evidence/sources.json lists r3-bfcl (patil25a.pdf, 22 pp, 110 KB text).</t>
        </is>
      </c>
      <c r="U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 s="6" t="inlineStr">
        <is>
          <t>v4-05 wording corrected (successor note).</t>
        </is>
      </c>
      <c r="W6" s="6" t="inlineStr"/>
      <c r="X6" s="6" t="inlineStr"/>
      <c r="Y6" s="6" t="inlineStr"/>
      <c r="Z6" s="6" t="inlineStr"/>
      <c r="AA6" s="6" t="inlineStr"/>
      <c r="AB6" s="6" t="inlineStr">
        <is>
          <t>RECORD</t>
        </is>
      </c>
      <c r="AC6" s="6" t="inlineStr">
        <is>
          <t>n/a (new)</t>
        </is>
      </c>
      <c r="AD6" s="6" t="inlineStr">
        <is>
          <t>NEW (repo sweep)</t>
        </is>
      </c>
      <c r="AE6" s="6" t="inlineStr">
        <is>
          <t>2026-10-19</t>
        </is>
      </c>
      <c r="AF6" s="6" t="inlineStr">
        <is>
          <t>FND-0009 (findings/SUM-0011); evidence/sources.json r3-bfcl; v4-05 section 5</t>
        </is>
      </c>
      <c r="AG6" s="6" t="inlineStr">
        <is>
          <t>If a design record starts to cite one of the six</t>
        </is>
      </c>
      <c r="AH6" s="6" t="inlineStr">
        <is>
          <t>No</t>
        </is>
      </c>
      <c r="AI6" s="6" t="inlineStr">
        <is>
          <t>Closed 2026-10-19; correction recorded in this ledger (C-E02/E20, N-18).</t>
        </is>
      </c>
      <c r="AJ6" s="6" t="inlineStr">
        <is>
          <t>review 19 Oct + repo sweep</t>
        </is>
      </c>
      <c r="AK6" s="6" t="inlineStr"/>
      <c r="AL6" s="6" t="inlineStr">
        <is>
          <t>S15</t>
        </is>
      </c>
    </row>
    <row r="7" ht="28" customHeight="1">
      <c r="A7" s="5" t="inlineStr">
        <is>
          <t>A-01</t>
        </is>
      </c>
      <c r="B7" s="6" t="inlineStr">
        <is>
          <t>Oct formulation centres on reducing tool count while keeping accuracy high</t>
        </is>
      </c>
      <c r="C7" s="6" t="inlineStr">
        <is>
          <t>CLOSED - CLAUSE</t>
        </is>
      </c>
      <c r="D7" s="6" t="inlineStr">
        <is>
          <t>No</t>
        </is>
      </c>
      <c r="E7" s="6" t="inlineStr"/>
      <c r="F7" s="6" t="inlineStr"/>
      <c r="G7" s="18" t="inlineStr">
        <is>
          <t>CROSS-REFERENCE</t>
        </is>
      </c>
      <c r="H7" s="6" t="inlineStr">
        <is>
          <t>K2 Objective &amp; accounting</t>
        </is>
      </c>
      <c r="I7" s="6" t="inlineStr">
        <is>
          <t>G5 Housekeeping / no block</t>
        </is>
      </c>
      <c r="J7" s="6" t="inlineStr">
        <is>
          <t>Low</t>
        </is>
      </c>
      <c r="K7" s="6" t="n">
        <v>212</v>
      </c>
      <c r="L7" s="6" t="inlineStr">
        <is>
          <t>W5 Claim-time</t>
        </is>
      </c>
      <c r="M7" s="6" t="inlineStr">
        <is>
          <t>S25</t>
        </is>
      </c>
      <c r="N7" s="6" t="inlineStr">
        <is>
          <t>n/a</t>
        </is>
      </c>
      <c r="O7" s="6" t="inlineStr">
        <is>
          <t>None; closes when its parents close</t>
        </is>
      </c>
      <c r="P7" s="6" t="inlineStr">
        <is>
          <t>Partly</t>
        </is>
      </c>
      <c r="Q7" s="6" t="inlineStr">
        <is>
          <t>Answered clause</t>
        </is>
      </c>
      <c r="R7" s="6" t="inlineStr">
        <is>
          <t>Clause</t>
        </is>
      </c>
      <c r="S7" s="6" t="inlineStr">
        <is>
          <t>C-D02</t>
        </is>
      </c>
      <c r="T7" s="6" t="inlineStr">
        <is>
          <t>Joaa's October spoken formulation centres on reducing the number of tools while keeping accuracy high.</t>
        </is>
      </c>
      <c r="U7" s="6" t="inlineStr">
        <is>
          <t>Corroborated by repo excerpt E1; it does not amend every June clause.</t>
        </is>
      </c>
      <c r="V7" s="6" t="inlineStr">
        <is>
          <t>Closed within the cited record; the parent row keeps the rest.</t>
        </is>
      </c>
      <c r="W7" s="6" t="inlineStr"/>
      <c r="X7" s="6" t="inlineStr"/>
      <c r="Y7" s="6" t="inlineStr"/>
      <c r="Z7" s="6" t="inlineStr"/>
      <c r="AA7" s="6" t="inlineStr"/>
      <c r="AB7" s="6" t="inlineStr"/>
      <c r="AC7" s="6" t="inlineStr">
        <is>
          <t>Answered clause (SRC-11)</t>
        </is>
      </c>
      <c r="AD7" s="6" t="inlineStr">
        <is>
          <t>CLOSED (baseline)</t>
        </is>
      </c>
      <c r="AE7" s="6" t="inlineStr">
        <is>
          <t>2026-10-19</t>
        </is>
      </c>
      <c r="AF7" s="6" t="inlineStr">
        <is>
          <t>SRC-05 ~00:07 (via SRC-09); repo intake E1 (00:07:04) says this</t>
        </is>
      </c>
      <c r="AG7" s="6" t="inlineStr"/>
      <c r="AH7" s="6" t="inlineStr">
        <is>
          <t>No</t>
        </is>
      </c>
      <c r="AI7" s="6" t="inlineStr">
        <is>
          <t>Closed within the cited record at baseline.</t>
        </is>
      </c>
      <c r="AJ7" s="6" t="inlineStr">
        <is>
          <t>SRC-11 'What is answered narrowly already'</t>
        </is>
      </c>
      <c r="AK7" s="6" t="inlineStr"/>
      <c r="AL7" s="6" t="inlineStr">
        <is>
          <t>S01</t>
        </is>
      </c>
    </row>
    <row r="8" ht="40.5" customHeight="1">
      <c r="A8" s="5" t="inlineStr">
        <is>
          <t>A-02</t>
        </is>
      </c>
      <c r="B8" s="6" t="inlineStr">
        <is>
          <t>Context-dependent questions and stages requested; stage count unfixed; filtered tool may return</t>
        </is>
      </c>
      <c r="C8" s="6" t="inlineStr">
        <is>
          <t>CLOSED - CLAUSE</t>
        </is>
      </c>
      <c r="D8" s="6" t="inlineStr">
        <is>
          <t>No</t>
        </is>
      </c>
      <c r="E8" s="6" t="inlineStr"/>
      <c r="F8" s="6" t="inlineStr"/>
      <c r="G8" s="18" t="inlineStr">
        <is>
          <t>CROSS-REFERENCE</t>
        </is>
      </c>
      <c r="H8" s="6" t="inlineStr">
        <is>
          <t>K3 Policy form</t>
        </is>
      </c>
      <c r="I8" s="6" t="inlineStr">
        <is>
          <t>G5 Housekeeping / no block</t>
        </is>
      </c>
      <c r="J8" s="6" t="inlineStr">
        <is>
          <t>Low</t>
        </is>
      </c>
      <c r="K8" s="6" t="n">
        <v>213</v>
      </c>
      <c r="L8" s="6" t="inlineStr">
        <is>
          <t>W5 Claim-time</t>
        </is>
      </c>
      <c r="M8" s="6" t="inlineStr">
        <is>
          <t>S25</t>
        </is>
      </c>
      <c r="N8" s="6" t="inlineStr">
        <is>
          <t>n/a</t>
        </is>
      </c>
      <c r="O8" s="6" t="inlineStr">
        <is>
          <t>None; closes when its parents close</t>
        </is>
      </c>
      <c r="P8" s="6" t="inlineStr">
        <is>
          <t>Partly</t>
        </is>
      </c>
      <c r="Q8" s="6" t="inlineStr">
        <is>
          <t>Answered clause</t>
        </is>
      </c>
      <c r="R8" s="6" t="inlineStr">
        <is>
          <t>Clause</t>
        </is>
      </c>
      <c r="S8" s="6" t="inlineStr">
        <is>
          <t>C-D03</t>
        </is>
      </c>
      <c r="T8" s="6" t="inlineStr">
        <is>
          <t>He requested context-dependent questions and successive stages, did not fix the stage count and allowed a filtered tool to return later.</t>
        </is>
      </c>
      <c r="U8" s="6" t="inlineStr">
        <is>
          <t>Corroborated by repo excerpts E5-E8; does not approve a zero-stage output.</t>
        </is>
      </c>
      <c r="V8" s="6" t="inlineStr">
        <is>
          <t>Closed within the cited record; the parent row keeps the rest.</t>
        </is>
      </c>
      <c r="W8" s="6" t="inlineStr"/>
      <c r="X8" s="6" t="inlineStr"/>
      <c r="Y8" s="6" t="inlineStr"/>
      <c r="Z8" s="6" t="inlineStr"/>
      <c r="AA8" s="6" t="inlineStr"/>
      <c r="AB8" s="6" t="inlineStr"/>
      <c r="AC8" s="6" t="inlineStr">
        <is>
          <t>Answered clause (SRC-11)</t>
        </is>
      </c>
      <c r="AD8" s="6" t="inlineStr">
        <is>
          <t>CLOSED (baseline)</t>
        </is>
      </c>
      <c r="AE8" s="6" t="inlineStr">
        <is>
          <t>2026-10-19</t>
        </is>
      </c>
      <c r="AF8" s="6" t="inlineStr">
        <is>
          <t>SRC-05 ~00:19-00:28; repo intake E5-E8</t>
        </is>
      </c>
      <c r="AG8" s="6" t="inlineStr"/>
      <c r="AH8" s="6" t="inlineStr">
        <is>
          <t>No</t>
        </is>
      </c>
      <c r="AI8" s="6" t="inlineStr">
        <is>
          <t>Closed within the cited record at baseline.</t>
        </is>
      </c>
      <c r="AJ8" s="6" t="inlineStr">
        <is>
          <t>SRC-11 'What is answered narrowly already'</t>
        </is>
      </c>
      <c r="AK8" s="6" t="inlineStr"/>
      <c r="AL8" s="6" t="inlineStr">
        <is>
          <t>S01</t>
        </is>
      </c>
    </row>
    <row r="9" ht="28" customHeight="1">
      <c r="A9" s="5" t="inlineStr">
        <is>
          <t>A-03</t>
        </is>
      </c>
      <c r="B9" s="6" t="inlineStr">
        <is>
          <t>Savings need not occur on every turn</t>
        </is>
      </c>
      <c r="C9" s="6" t="inlineStr">
        <is>
          <t>CLOSED - CLAUSE</t>
        </is>
      </c>
      <c r="D9" s="6" t="inlineStr">
        <is>
          <t>No</t>
        </is>
      </c>
      <c r="E9" s="6" t="inlineStr"/>
      <c r="F9" s="6" t="inlineStr"/>
      <c r="G9" s="18" t="inlineStr">
        <is>
          <t>CROSS-REFERENCE</t>
        </is>
      </c>
      <c r="H9" s="6" t="inlineStr">
        <is>
          <t>K3 Policy form</t>
        </is>
      </c>
      <c r="I9" s="6" t="inlineStr">
        <is>
          <t>G5 Housekeeping / no block</t>
        </is>
      </c>
      <c r="J9" s="6" t="inlineStr">
        <is>
          <t>Low</t>
        </is>
      </c>
      <c r="K9" s="6" t="n">
        <v>214</v>
      </c>
      <c r="L9" s="6" t="inlineStr">
        <is>
          <t>W5 Claim-time</t>
        </is>
      </c>
      <c r="M9" s="6" t="inlineStr">
        <is>
          <t>S25</t>
        </is>
      </c>
      <c r="N9" s="6" t="inlineStr">
        <is>
          <t>n/a</t>
        </is>
      </c>
      <c r="O9" s="6" t="inlineStr">
        <is>
          <t>None; closes when its parents close</t>
        </is>
      </c>
      <c r="P9" s="6" t="inlineStr">
        <is>
          <t>Partly</t>
        </is>
      </c>
      <c r="Q9" s="6" t="inlineStr">
        <is>
          <t>Answered clause</t>
        </is>
      </c>
      <c r="R9" s="6" t="inlineStr">
        <is>
          <t>Clause</t>
        </is>
      </c>
      <c r="S9" s="6" t="inlineStr">
        <is>
          <t>C-D04</t>
        </is>
      </c>
      <c r="T9" s="6" t="inlineStr">
        <is>
          <t>Savings need not occur on every turn; a costlier turn can be accepted over a longer trajectory.</t>
        </is>
      </c>
      <c r="U9" s="6" t="inlineStr">
        <is>
          <t>Second-hand in the repo; whether every stage must pay is separate.</t>
        </is>
      </c>
      <c r="V9" s="6" t="inlineStr">
        <is>
          <t>Closed within the cited record; the parent row keeps the rest.</t>
        </is>
      </c>
      <c r="W9" s="6" t="inlineStr"/>
      <c r="X9" s="6" t="inlineStr"/>
      <c r="Y9" s="6" t="inlineStr"/>
      <c r="Z9" s="6" t="inlineStr"/>
      <c r="AA9" s="6" t="inlineStr"/>
      <c r="AB9" s="6" t="inlineStr"/>
      <c r="AC9" s="6" t="inlineStr">
        <is>
          <t>Answered clause (SRC-11)</t>
        </is>
      </c>
      <c r="AD9" s="6" t="inlineStr">
        <is>
          <t>CLOSED (baseline)</t>
        </is>
      </c>
      <c r="AE9" s="6" t="inlineStr">
        <is>
          <t>2026-10-19</t>
        </is>
      </c>
      <c r="AF9" s="6" t="inlineStr">
        <is>
          <t>SRC-04 ~00:53-00:54; repo EXT-0002 line 27 (transcript L468-L476, second-hand)</t>
        </is>
      </c>
      <c r="AG9" s="6" t="inlineStr"/>
      <c r="AH9" s="6" t="inlineStr">
        <is>
          <t>No</t>
        </is>
      </c>
      <c r="AI9" s="6" t="inlineStr">
        <is>
          <t>Closed within the cited record at baseline.</t>
        </is>
      </c>
      <c r="AJ9" s="6" t="inlineStr">
        <is>
          <t>SRC-11 'What is answered narrowly already'</t>
        </is>
      </c>
      <c r="AK9" s="6" t="inlineStr"/>
      <c r="AL9" s="6" t="inlineStr">
        <is>
          <t>S01</t>
        </is>
      </c>
    </row>
    <row r="10" ht="28" customHeight="1">
      <c r="A10" s="5" t="inlineStr">
        <is>
          <t>A-04</t>
        </is>
      </c>
      <c r="B10" s="6" t="inlineStr">
        <is>
          <t>A sound negative result can still be a thesis</t>
        </is>
      </c>
      <c r="C10" s="6" t="inlineStr">
        <is>
          <t>CLOSED - CLAUSE</t>
        </is>
      </c>
      <c r="D10" s="6" t="inlineStr">
        <is>
          <t>No</t>
        </is>
      </c>
      <c r="E10" s="6" t="inlineStr"/>
      <c r="F10" s="6" t="inlineStr"/>
      <c r="G10" s="18" t="inlineStr">
        <is>
          <t>CROSS-REFERENCE</t>
        </is>
      </c>
      <c r="H10" s="6" t="inlineStr">
        <is>
          <t>K5 Evaluation contract</t>
        </is>
      </c>
      <c r="I10" s="6" t="inlineStr">
        <is>
          <t>G5 Housekeeping / no block</t>
        </is>
      </c>
      <c r="J10" s="6" t="inlineStr">
        <is>
          <t>Low</t>
        </is>
      </c>
      <c r="K10" s="6" t="n">
        <v>215</v>
      </c>
      <c r="L10" s="6" t="inlineStr">
        <is>
          <t>W5 Claim-time</t>
        </is>
      </c>
      <c r="M10" s="6" t="inlineStr">
        <is>
          <t>S25</t>
        </is>
      </c>
      <c r="N10" s="6" t="inlineStr">
        <is>
          <t>n/a</t>
        </is>
      </c>
      <c r="O10" s="6" t="inlineStr">
        <is>
          <t>None; closes when its parents close</t>
        </is>
      </c>
      <c r="P10" s="6" t="inlineStr">
        <is>
          <t>Partly</t>
        </is>
      </c>
      <c r="Q10" s="6" t="inlineStr">
        <is>
          <t>Answered clause</t>
        </is>
      </c>
      <c r="R10" s="6" t="inlineStr">
        <is>
          <t>Clause</t>
        </is>
      </c>
      <c r="S10" s="6" t="inlineStr">
        <is>
          <t>C-D06</t>
        </is>
      </c>
      <c r="T10" s="6" t="inlineStr">
        <is>
          <t>A sound negative result can still be a thesis; systematic evidence matters.</t>
        </is>
      </c>
      <c r="U10" s="6" t="inlineStr">
        <is>
          <t>NOT in the repo's admitted excerpts (E3 says only 'some kind of findings'); see N-20.</t>
        </is>
      </c>
      <c r="V10" s="6" t="inlineStr">
        <is>
          <t>Closed within the cited record; the parent row keeps the rest.</t>
        </is>
      </c>
      <c r="W10" s="6" t="inlineStr"/>
      <c r="X10" s="6" t="inlineStr"/>
      <c r="Y10" s="6" t="inlineStr"/>
      <c r="Z10" s="6" t="inlineStr"/>
      <c r="AA10" s="6" t="inlineStr"/>
      <c r="AB10" s="6" t="inlineStr"/>
      <c r="AC10" s="6" t="inlineStr">
        <is>
          <t>Answered clause (SRC-11)</t>
        </is>
      </c>
      <c r="AD10" s="6" t="inlineStr">
        <is>
          <t>CLOSED (baseline)</t>
        </is>
      </c>
      <c r="AE10" s="6" t="inlineStr">
        <is>
          <t>2026-10-19</t>
        </is>
      </c>
      <c r="AF10" s="6" t="inlineStr">
        <is>
          <t>SRC-05 ~00:12-00:13, ~00:25-00:26 (as reported in SRC-11)</t>
        </is>
      </c>
      <c r="AG10" s="6" t="inlineStr"/>
      <c r="AH10" s="6" t="inlineStr">
        <is>
          <t>No</t>
        </is>
      </c>
      <c r="AI10" s="6" t="inlineStr">
        <is>
          <t>Closed within the cited record at baseline.</t>
        </is>
      </c>
      <c r="AJ10" s="6" t="inlineStr">
        <is>
          <t>SRC-11 'What is answered narrowly already'</t>
        </is>
      </c>
      <c r="AK10" s="6" t="inlineStr"/>
      <c r="AL10" s="6" t="inlineStr">
        <is>
          <t>S01</t>
        </is>
      </c>
    </row>
    <row r="11" ht="40.5" customHeight="1">
      <c r="A11" s="5" t="inlineStr">
        <is>
          <t>A-05</t>
        </is>
      </c>
      <c r="B11" s="6" t="inlineStr">
        <is>
          <t>All-tools exposure and the Executor were discussed as baselines</t>
        </is>
      </c>
      <c r="C11" s="6" t="inlineStr">
        <is>
          <t>CLOSED - CLAUSE</t>
        </is>
      </c>
      <c r="D11" s="6" t="inlineStr">
        <is>
          <t>No</t>
        </is>
      </c>
      <c r="E11" s="6" t="inlineStr"/>
      <c r="F11" s="6" t="inlineStr"/>
      <c r="G11" s="18" t="inlineStr">
        <is>
          <t>CROSS-REFERENCE</t>
        </is>
      </c>
      <c r="H11" s="6" t="inlineStr">
        <is>
          <t>K5 Evaluation contract</t>
        </is>
      </c>
      <c r="I11" s="6" t="inlineStr">
        <is>
          <t>G5 Housekeeping / no block</t>
        </is>
      </c>
      <c r="J11" s="6" t="inlineStr">
        <is>
          <t>Low</t>
        </is>
      </c>
      <c r="K11" s="6" t="n">
        <v>216</v>
      </c>
      <c r="L11" s="6" t="inlineStr">
        <is>
          <t>W5 Claim-time</t>
        </is>
      </c>
      <c r="M11" s="6" t="inlineStr">
        <is>
          <t>S25</t>
        </is>
      </c>
      <c r="N11" s="6" t="inlineStr">
        <is>
          <t>n/a</t>
        </is>
      </c>
      <c r="O11" s="6" t="inlineStr">
        <is>
          <t>None; closes when its parents close</t>
        </is>
      </c>
      <c r="P11" s="6" t="inlineStr">
        <is>
          <t>Partly</t>
        </is>
      </c>
      <c r="Q11" s="6" t="inlineStr">
        <is>
          <t>Answered clause</t>
        </is>
      </c>
      <c r="R11" s="6" t="inlineStr">
        <is>
          <t>Clause</t>
        </is>
      </c>
      <c r="S11" s="6" t="inlineStr">
        <is>
          <t>C-D08</t>
        </is>
      </c>
      <c r="T11" s="6" t="inlineStr">
        <is>
          <t>All-tools exposure and the Executor were discussed as baselines.</t>
        </is>
      </c>
      <c r="U11" s="6" t="inlineStr">
        <is>
          <t>CAVEATS 6: 'Executor as supervisor-named baseline' is a researcher identification; exact arms remain open.</t>
        </is>
      </c>
      <c r="V11" s="6" t="inlineStr">
        <is>
          <t>Closed within the cited record; the parent row keeps the rest.</t>
        </is>
      </c>
      <c r="W11" s="6" t="inlineStr"/>
      <c r="X11" s="6" t="inlineStr"/>
      <c r="Y11" s="6" t="inlineStr"/>
      <c r="Z11" s="6" t="inlineStr"/>
      <c r="AA11" s="6" t="inlineStr"/>
      <c r="AB11" s="6" t="inlineStr"/>
      <c r="AC11" s="6" t="inlineStr">
        <is>
          <t>Answered clause (SRC-11)</t>
        </is>
      </c>
      <c r="AD11" s="6" t="inlineStr">
        <is>
          <t>CLOSED (baseline)</t>
        </is>
      </c>
      <c r="AE11" s="6" t="inlineStr">
        <is>
          <t>2026-10-19</t>
        </is>
      </c>
      <c r="AF11" s="6" t="inlineStr">
        <is>
          <t>SRC-04 ~00:11, ~00:43-00:44 (via SRC-09)</t>
        </is>
      </c>
      <c r="AG11" s="6" t="inlineStr"/>
      <c r="AH11" s="6" t="inlineStr">
        <is>
          <t>No</t>
        </is>
      </c>
      <c r="AI11" s="6" t="inlineStr">
        <is>
          <t>Closed within the cited record at baseline.</t>
        </is>
      </c>
      <c r="AJ11" s="6" t="inlineStr">
        <is>
          <t>SRC-11 'What is answered narrowly already'</t>
        </is>
      </c>
      <c r="AK11" s="6" t="inlineStr"/>
      <c r="AL11" s="6" t="inlineStr">
        <is>
          <t>S01</t>
        </is>
      </c>
    </row>
    <row r="12" ht="28" customHeight="1">
      <c r="A12" s="5" t="inlineStr">
        <is>
          <t>A-06</t>
        </is>
      </c>
      <c r="B12" s="6" t="inlineStr">
        <is>
          <t>A policy draft came before implementation/experiments</t>
        </is>
      </c>
      <c r="C12" s="6" t="inlineStr">
        <is>
          <t>CLOSED - CLAUSE</t>
        </is>
      </c>
      <c r="D12" s="6" t="inlineStr">
        <is>
          <t>No</t>
        </is>
      </c>
      <c r="E12" s="6" t="inlineStr"/>
      <c r="F12" s="6" t="inlineStr"/>
      <c r="G12" s="18" t="inlineStr">
        <is>
          <t>CROSS-REFERENCE</t>
        </is>
      </c>
      <c r="H12" s="6" t="inlineStr">
        <is>
          <t>K6 Deliverable &amp; authorization</t>
        </is>
      </c>
      <c r="I12" s="6" t="inlineStr">
        <is>
          <t>G5 Housekeeping / no block</t>
        </is>
      </c>
      <c r="J12" s="6" t="inlineStr">
        <is>
          <t>Low</t>
        </is>
      </c>
      <c r="K12" s="6" t="n">
        <v>217</v>
      </c>
      <c r="L12" s="6" t="inlineStr">
        <is>
          <t>W5 Claim-time</t>
        </is>
      </c>
      <c r="M12" s="6" t="inlineStr">
        <is>
          <t>S25</t>
        </is>
      </c>
      <c r="N12" s="6" t="inlineStr">
        <is>
          <t>n/a</t>
        </is>
      </c>
      <c r="O12" s="6" t="inlineStr">
        <is>
          <t>None; closes when its parents close</t>
        </is>
      </c>
      <c r="P12" s="6" t="inlineStr">
        <is>
          <t>Partly</t>
        </is>
      </c>
      <c r="Q12" s="6" t="inlineStr">
        <is>
          <t>Answered clause</t>
        </is>
      </c>
      <c r="R12" s="6" t="inlineStr">
        <is>
          <t>Clause</t>
        </is>
      </c>
      <c r="S12" s="6" t="inlineStr">
        <is>
          <t>C-D05</t>
        </is>
      </c>
      <c r="T12" s="6" t="inlineStr">
        <is>
          <t>A policy draft came before implementation or experiments in these meetings.</t>
        </is>
      </c>
      <c r="U12" s="6" t="inlineStr">
        <is>
          <t>Corroborated by E9; evaluation-script boundary open.</t>
        </is>
      </c>
      <c r="V12" s="6" t="inlineStr">
        <is>
          <t>Closed within the cited record; the parent row keeps the rest.</t>
        </is>
      </c>
      <c r="W12" s="6" t="inlineStr"/>
      <c r="X12" s="6" t="inlineStr"/>
      <c r="Y12" s="6" t="inlineStr"/>
      <c r="Z12" s="6" t="inlineStr"/>
      <c r="AA12" s="6" t="inlineStr"/>
      <c r="AB12" s="6" t="inlineStr"/>
      <c r="AC12" s="6" t="inlineStr">
        <is>
          <t>Answered clause (SRC-11)</t>
        </is>
      </c>
      <c r="AD12" s="6" t="inlineStr">
        <is>
          <t>CLOSED (baseline)</t>
        </is>
      </c>
      <c r="AE12" s="6" t="inlineStr">
        <is>
          <t>2026-10-19</t>
        </is>
      </c>
      <c r="AF12" s="6" t="inlineStr">
        <is>
          <t>SRC-04 ~00:52-00:55; SRC-05 ~00:27, ~00:30-00:31; repo intake E9</t>
        </is>
      </c>
      <c r="AG12" s="6" t="inlineStr"/>
      <c r="AH12" s="6" t="inlineStr">
        <is>
          <t>No</t>
        </is>
      </c>
      <c r="AI12" s="6" t="inlineStr">
        <is>
          <t>Closed within the cited record at baseline.</t>
        </is>
      </c>
      <c r="AJ12" s="6" t="inlineStr">
        <is>
          <t>SRC-11 'What is answered narrowly already'</t>
        </is>
      </c>
      <c r="AK12" s="6" t="inlineStr"/>
      <c r="AL12" s="6" t="inlineStr">
        <is>
          <t>S01</t>
        </is>
      </c>
    </row>
    <row r="13" ht="28" customHeight="1">
      <c r="A13" s="5" t="inlineStr">
        <is>
          <t>A-07</t>
        </is>
      </c>
      <c r="B13" s="6" t="inlineStr">
        <is>
          <t>V3 corrected five mathematical/wording errors</t>
        </is>
      </c>
      <c r="C13" s="6" t="inlineStr">
        <is>
          <t>CLOSED - CLAUSE</t>
        </is>
      </c>
      <c r="D13" s="6" t="inlineStr">
        <is>
          <t>No</t>
        </is>
      </c>
      <c r="E13" s="6" t="inlineStr"/>
      <c r="F13" s="6" t="inlineStr"/>
      <c r="G13" s="18" t="inlineStr">
        <is>
          <t>CROSS-REFERENCE</t>
        </is>
      </c>
      <c r="H13" s="6" t="inlineStr">
        <is>
          <t>K17 Record repair &amp; procedure error</t>
        </is>
      </c>
      <c r="I13" s="6" t="inlineStr">
        <is>
          <t>G5 Housekeeping / no block</t>
        </is>
      </c>
      <c r="J13" s="6" t="inlineStr">
        <is>
          <t>Low</t>
        </is>
      </c>
      <c r="K13" s="6" t="n">
        <v>218</v>
      </c>
      <c r="L13" s="6" t="inlineStr">
        <is>
          <t>W5 Claim-time</t>
        </is>
      </c>
      <c r="M13" s="6" t="inlineStr">
        <is>
          <t>S25</t>
        </is>
      </c>
      <c r="N13" s="6" t="inlineStr">
        <is>
          <t>n/a</t>
        </is>
      </c>
      <c r="O13" s="6" t="inlineStr">
        <is>
          <t>None; closes when its parents close</t>
        </is>
      </c>
      <c r="P13" s="6" t="inlineStr">
        <is>
          <t>Partly</t>
        </is>
      </c>
      <c r="Q13" s="6" t="inlineStr">
        <is>
          <t>Answered clause</t>
        </is>
      </c>
      <c r="R13" s="6" t="inlineStr">
        <is>
          <t>Clause</t>
        </is>
      </c>
      <c r="S13" s="6" t="inlineStr">
        <is>
          <t>C-R01</t>
        </is>
      </c>
      <c r="T13" s="6" t="inlineStr">
        <is>
          <t>V3 corrected five mathematical or wording errors.</t>
        </is>
      </c>
      <c r="U13" s="6" t="inlineStr">
        <is>
          <t>Textual correction, not validation.</t>
        </is>
      </c>
      <c r="V13" s="6" t="inlineStr">
        <is>
          <t>Closed within the cited record; the parent row keeps the rest.</t>
        </is>
      </c>
      <c r="W13" s="6" t="inlineStr"/>
      <c r="X13" s="6" t="inlineStr"/>
      <c r="Y13" s="6" t="inlineStr"/>
      <c r="Z13" s="6" t="inlineStr"/>
      <c r="AA13" s="6" t="inlineStr"/>
      <c r="AB13" s="6" t="inlineStr"/>
      <c r="AC13" s="6" t="inlineStr">
        <is>
          <t>Answered clause (SRC-11)</t>
        </is>
      </c>
      <c r="AD13" s="6" t="inlineStr">
        <is>
          <t>CLOSED (baseline)</t>
        </is>
      </c>
      <c r="AE13" s="6" t="inlineStr">
        <is>
          <t>2026-10-19</t>
        </is>
      </c>
      <c r="AF13" s="6" t="inlineStr">
        <is>
          <t>v3-01 sections 1-5; SRC-08 section G</t>
        </is>
      </c>
      <c r="AG13" s="6" t="inlineStr"/>
      <c r="AH13" s="6" t="inlineStr">
        <is>
          <t>No</t>
        </is>
      </c>
      <c r="AI13" s="6" t="inlineStr">
        <is>
          <t>Closed within the cited record at baseline.</t>
        </is>
      </c>
      <c r="AJ13" s="6" t="inlineStr">
        <is>
          <t>SRC-11 'What is answered narrowly already'</t>
        </is>
      </c>
      <c r="AK13" s="6" t="inlineStr"/>
      <c r="AL13" s="6" t="inlineStr">
        <is>
          <t>S01</t>
        </is>
      </c>
    </row>
    <row r="14" ht="40.5" customHeight="1">
      <c r="A14" s="5" t="inlineStr">
        <is>
          <t>A-08</t>
        </is>
      </c>
      <c r="B14" s="6" t="inlineStr">
        <is>
          <t>Independent MCPVerse reading reports three narrow findings</t>
        </is>
      </c>
      <c r="C14" s="6" t="inlineStr">
        <is>
          <t>CLOSED - CLAUSE</t>
        </is>
      </c>
      <c r="D14" s="6" t="inlineStr">
        <is>
          <t>No</t>
        </is>
      </c>
      <c r="E14" s="6" t="inlineStr"/>
      <c r="F14" s="6" t="inlineStr"/>
      <c r="G14" s="18" t="inlineStr">
        <is>
          <t>CROSS-REFERENCE</t>
        </is>
      </c>
      <c r="H14" s="6" t="inlineStr">
        <is>
          <t>K14 Source &amp; vendor verification</t>
        </is>
      </c>
      <c r="I14" s="6" t="inlineStr">
        <is>
          <t>G5 Housekeeping / no block</t>
        </is>
      </c>
      <c r="J14" s="6" t="inlineStr">
        <is>
          <t>Low</t>
        </is>
      </c>
      <c r="K14" s="6" t="n">
        <v>219</v>
      </c>
      <c r="L14" s="6" t="inlineStr">
        <is>
          <t>W5 Claim-time</t>
        </is>
      </c>
      <c r="M14" s="6" t="inlineStr">
        <is>
          <t>S25</t>
        </is>
      </c>
      <c r="N14" s="6" t="inlineStr">
        <is>
          <t>n/a</t>
        </is>
      </c>
      <c r="O14" s="6" t="inlineStr">
        <is>
          <t>None; closes when its parents close</t>
        </is>
      </c>
      <c r="P14" s="6" t="inlineStr">
        <is>
          <t>Partly</t>
        </is>
      </c>
      <c r="Q14" s="6" t="inlineStr">
        <is>
          <t>Answered clause</t>
        </is>
      </c>
      <c r="R14" s="6" t="inlineStr">
        <is>
          <t>Clause</t>
        </is>
      </c>
      <c r="S14" s="6" t="inlineStr">
        <is>
          <t>C-S19</t>
        </is>
      </c>
      <c r="T14" s="6" t="inlineStr">
        <is>
          <t>The independent MCPVerse reading source-reports three narrow findings (judge change insufficient; one Claude v2 row consistent; 140k/147k not v2-only).</t>
        </is>
      </c>
      <c r="U14" s="6" t="inlineStr">
        <is>
          <t>Original papers not freshly verified in SRC-09/10; one unverified lead reading in the repo.</t>
        </is>
      </c>
      <c r="V14" s="6" t="inlineStr">
        <is>
          <t>Closed within the cited record; the parent row keeps the rest.</t>
        </is>
      </c>
      <c r="W14" s="6" t="inlineStr"/>
      <c r="X14" s="6" t="inlineStr"/>
      <c r="Y14" s="6" t="inlineStr"/>
      <c r="Z14" s="6" t="inlineStr"/>
      <c r="AA14" s="6" t="inlineStr"/>
      <c r="AB14" s="6" t="inlineStr"/>
      <c r="AC14" s="6" t="inlineStr">
        <is>
          <t>Answered clause (SRC-11)</t>
        </is>
      </c>
      <c r="AD14" s="6" t="inlineStr">
        <is>
          <t>CLOSED (baseline)</t>
        </is>
      </c>
      <c r="AE14" s="6" t="inlineStr">
        <is>
          <t>2026-10-19</t>
        </is>
      </c>
      <c r="AF14" s="6" t="inlineStr">
        <is>
          <t>SRC-08 section G; SRC-09 C-S19; repo WD AUTH-008 partly corroborates</t>
        </is>
      </c>
      <c r="AG14" s="6" t="inlineStr"/>
      <c r="AH14" s="6" t="inlineStr">
        <is>
          <t>No</t>
        </is>
      </c>
      <c r="AI14" s="6" t="inlineStr">
        <is>
          <t>Closed within the cited record at baseline.</t>
        </is>
      </c>
      <c r="AJ14" s="6" t="inlineStr">
        <is>
          <t>SRC-11 'What is answered narrowly already'</t>
        </is>
      </c>
      <c r="AK14" s="6" t="inlineStr"/>
      <c r="AL14" s="6" t="inlineStr">
        <is>
          <t>S01</t>
        </is>
      </c>
    </row>
    <row r="16">
      <c r="A16" s="22" t="inlineStr">
        <is>
          <t>Closed rows live here. Move a row from Ledger to here only when its status is CLOSED and the Change log records it; the ID stays unique across Ledger and Archive (see Overview checks).</t>
        </is>
      </c>
    </row>
  </sheetData>
  <autoFilter ref="A1:AL14"/>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136"/>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6">
      <c r="A136" s="22" t="inlineStr">
        <is>
          <t>Append-only: never edit or delete a past row; add a new row for every change of status, ownership, priority, ID or merge.</t>
        </is>
      </c>
    </row>
  </sheetData>
  <autoFilter ref="A1:H134"/>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N-5, N-5/UNREAD, 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C-E01/E01, C-E01/E01-ROW6, C-E01/E02, C-E01/E03, C-E01/E04, C-E01/E05, C-E01/E07, C-E01/E08, C-E01/E09, C-E01/E10, C-E02, C-E02/CACHEPAPERS, C-E02/E21, C-E02/E22, C-E02/E23, C-E02/E24, C-E02/E25, C-E02/E26, C-E02/E27, C-E02/E28, C-E02/E29,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AS-05, AS-09, C-E02/UNREADLEADS, C-S08/VOCAB, N-6/SKILLMEM</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C-R01/RENDER, C-R01/V4RES, C-R03, C-R03/C20, C-R03/C21, C-R03/C22, C-R03/C23, C-R03/C24, C-R03/C25, C-R03/C26, C-R03/C27, C-R03/CMTF, C-R03/DIGESTS, C-R03/ROUND45, C-R03/RV7UNCHK, C-R03/STUB, N-17</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C-E03/O7-26,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N-5,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AS-04, AS-05,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(EXT-0001..0148)</t>
        </is>
      </c>
      <c r="C15" s="6" t="inlineStr">
        <is>
          <t>Verbatim extracts</t>
        </is>
      </c>
      <c r="D15" s="6" t="inlineStr">
        <is>
          <t>EXT-0002, 0004, 0066, 0085-0089, 0093, 0096 read; others not; EXT-0114..0148 created by batch 1 stewards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(37 sources + README + MANIFEST)</t>
        </is>
      </c>
      <c r="C17" s="6" t="inlineStr">
        <is>
          <t>AUTH-011/013 literature texts</t>
        </is>
      </c>
      <c r="D17" s="6" t="inlineStr">
        <is>
          <t>MANIFEST and README read; texts spot-checked (BFCL CSV statistics recomputed, TheMCPCompany 'Missed Tools', quotes)</t>
        </is>
      </c>
      <c r="E17" s="6" t="inlineStr">
        <is>
          <t>C-S08 sub-rows, N-6, rows citing SUM-0005..0009</t>
        </is>
      </c>
    </row>
    <row r="18" ht="28" customHeight="1">
      <c r="A18" s="6" t="inlineStr">
        <is>
          <t>repo</t>
        </is>
      </c>
      <c r="B18" s="6" t="inlineStr">
        <is>
          <t>findings/SUM-0003..0013</t>
        </is>
      </c>
      <c r="C18" s="6" t="inlineStr">
        <is>
          <t>Steward summaries (unverified)</t>
        </is>
      </c>
      <c r="D18" s="6" t="inlineStr">
        <is>
          <t>SUM-0005 first 60 lines and greps of 0006-0009; SUM-0003/0004 via citations</t>
        </is>
      </c>
      <c r="E18" s="6" t="inlineStr">
        <is>
          <t>C-R03/C25, rr rows; SUM-0010..0013 are batch 1 (FND-0008..0011)</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2026-10-19T18:02:39Z</dcterms:modified>
</cp:coreProperties>
</file>