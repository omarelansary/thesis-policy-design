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'Ledger'!$A$1:$AL$200</definedName>
    <definedName name="_xlnm._FilterDatabase" localSheetId="4" hidden="1">'Archive'!$A$1:$AL$54</definedName>
    <definedName name="_xlnm._FilterDatabase" localSheetId="5" hidden="1">'Change log'!$A$1:$H$350</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252 unique rows (199 in Ledger, 53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n"/>
      <c r="L54" s="7" t="n"/>
      <c r="M54" s="7" t="n"/>
      <c r="N54" s="7" t="n"/>
      <c r="O54" s="7" t="n"/>
      <c r="P54" s="7" t="n"/>
      <c r="Q54" s="7" t="n"/>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300"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A novelty claim only if the supervisor wants one (Q-J22);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t>
        </is>
      </c>
      <c r="V38" s="6" t="inlineStr">
        <is>
          <t>Prior-art overlap assessed if Joaa wants a novelty claim; else stated as not claimed.</t>
        </is>
      </c>
      <c r="W38" s="6" t="inlineStr"/>
      <c r="X38" s="6" t="inlineStr"/>
      <c r="Y38" s="6" t="inlineStr">
        <is>
          <t>Q-J22, Q-J28</t>
        </is>
      </c>
      <c r="Z38" s="6" t="inlineStr">
        <is>
          <t>JOAA-DECISION</t>
        </is>
      </c>
      <c r="AA38" s="6" t="inlineStr"/>
      <c r="AB38" s="6" t="inlineStr">
        <is>
          <t>SOURCE+DEC</t>
        </is>
      </c>
      <c r="AC38" s="6" t="inlineStr">
        <is>
          <t>n/a (sub-item)</t>
        </is>
      </c>
      <c r="AD38" s="6" t="inlineStr">
        <is>
          <t>NEW (repo sweep)</t>
        </is>
      </c>
      <c r="AE38" s="6" t="inlineStr">
        <is>
          <t>2026-10-20</t>
        </is>
      </c>
      <c r="AF38" s="6" t="inlineStr">
        <is>
          <t>FND-0030 (findings/SUM-0032); r4-anthropic-tool-search (lead's check)</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65.5"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You send the drafted ask (design/ledger/notes/AUTHOR-ASKS-DRAFT-20261020.md, section 4) and record the reply; until then it waits on the authors</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2026-10-20</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DEFERRED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none until the trigger fires</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 Deferred 2026-10-20 with reason and trigger: CAPC and ToolMenuBench were read (batches 5 and 9); the ProMCP rows are named in the live documents only in the notes that correct an earlier draft's misattribution (01 line 79, 03 lines 21 and 69), and no live sentence quotes a ProMCP figure.</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2026-10-20</t>
        </is>
      </c>
      <c r="AF70" s="6" t="inlineStr">
        <is>
          <t>grep of design/package-v3 and design/package-v4 01-05 (lead, 2026-10-20)</t>
        </is>
      </c>
      <c r="AG70" s="6" t="inlineStr">
        <is>
          <t>A document quotes a ProMCP figure</t>
        </is>
      </c>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240.5"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E30 needs your list (Q-U23); UNREADLEADS in progress (memory survey read in batch 13); then close this item</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 2026-10-20 (batch 13a): nine children deferred with reason and trigger (E21, E22, E23, E24, E26, E31, E32, E33, STEWARDUNREAD) because no live document depends on them; E30 waits for the supervisor-related list from you (Q-U23); E34 and UNREADLEADS remain.</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2026-10-20</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300" customHeight="1">
      <c r="A74" s="5" t="inlineStr">
        <is>
          <t>C-E02/E21</t>
        </is>
      </c>
      <c r="B74" s="6" t="inlineStr">
        <is>
          <t>Hajdas post, Cursor cap docs, Claude Code changelog not opened; 55K attribution</t>
        </is>
      </c>
      <c r="C74" s="6" t="inlineStr">
        <is>
          <t>DEFERRED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none until the trigger fires</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 Deferred 2026-10-20 with reason and trigger (the C-E02 criterion: 'non-pivotal ones deferred with a reason and trigger'): Lead's grep on 2026-10-20 of design/package-v3 and design/package-v4 files 01-05 finds no mention of Cursor, the 55K attribution or the Hajdas post, so no live claim depends on the Cursor documentation, the Hajdas post or the Claude Code changelog. The forum threads read in batch 4 stay user reports.</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2026-10-20</t>
        </is>
      </c>
      <c r="AF74" s="6" t="inlineStr">
        <is>
          <t>grep of design/package-v3 and design/package-v4 01-05 (lead, 2026-10-20); see also this row's earlier basis</t>
        </is>
      </c>
      <c r="AG74" s="6" t="inlineStr">
        <is>
          <t>A document quotes the Cursor tool cap, the 55K attribution or the Hajdas post</t>
        </is>
      </c>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DEFERRED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none until the trigger fires</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 Deferred 2026-10-20 with reason and trigger (the C-E02 criterion: 'non-pivotal ones deferred with a reason and trigger'): the claims about caching in the live documents rest on the Anthropic pages read (EXT-0143, EXT-0115, EXT-0123, EXT-0150, EXT-0152, EXT-0158, EXT-0183); what is unread is the body of the programmatic-tool-calling page (mostly code samples) and the tail of the prompt-caching page.</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2026-10-20</t>
        </is>
      </c>
      <c r="AF75" s="6" t="inlineStr">
        <is>
          <t>grep of design/package-v3 and design/package-v4 01-05 (lead, 2026-10-20); see also this row's earlier basis</t>
        </is>
      </c>
      <c r="AG75" s="6" t="inlineStr">
        <is>
          <t>A claim depends on the unread body of the programmatic page or the tail of the prompt-caching page</t>
        </is>
      </c>
      <c r="AH75" s="6" t="inlineStr">
        <is>
          <t>No (AUTH-016 covers web fetches for this item)</t>
        </is>
      </c>
      <c r="AI75" s="6" t="inlineStr"/>
      <c r="AJ75" s="6" t="inlineStr">
        <is>
          <t>SRC-11 section D2</t>
        </is>
      </c>
      <c r="AK75" s="6" t="inlineStr">
        <is>
          <t>SRC-06 E22</t>
        </is>
      </c>
      <c r="AL75" s="6" t="inlineStr">
        <is>
          <t>S11</t>
        </is>
      </c>
    </row>
    <row r="76" ht="300" customHeight="1">
      <c r="A76" s="5" t="inlineStr">
        <is>
          <t>C-E02/E23</t>
        </is>
      </c>
      <c r="B76" s="6" t="inlineStr">
        <is>
          <t>CE-MCP figures, ToolRet Figure 6, ToolShed trade-off not rendered</t>
        </is>
      </c>
      <c r="C76" s="6" t="inlineStr">
        <is>
          <t>DEFERRED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none until the trigger fires</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 Deferred 2026-10-20 with reason and trigger (the C-E02 criterion: 'non-pivotal ones deferred with a reason and trigger'): the live documents quote ToolRet's 50.60 vs 62.00 from its prose (verified in batch 8); what remains is ToolRet Figure 6 and Table 14 (the G2 and G3 oracle values differ between them) and CE-MCP and ToolShed (carried by C-E02/E29-OTHERS).</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2026-10-20</t>
        </is>
      </c>
      <c r="AF76" s="6" t="inlineStr">
        <is>
          <t>grep of design/package-v3 and design/package-v4 01-05 (lead, 2026-10-20); see also this row's earlier basis</t>
        </is>
      </c>
      <c r="AG76" s="6" t="inlineStr">
        <is>
          <t>A document quotes a G2 or G3 oracle value, or Figure 6</t>
        </is>
      </c>
      <c r="AH76" s="6" t="inlineStr">
        <is>
          <t>No (AUTH-016 covers web fetches for this item)</t>
        </is>
      </c>
      <c r="AI76" s="6" t="inlineStr"/>
      <c r="AJ76" s="6" t="inlineStr">
        <is>
          <t>SRC-11 section D2</t>
        </is>
      </c>
      <c r="AK76" s="6" t="inlineStr">
        <is>
          <t>SRC-06 E23</t>
        </is>
      </c>
      <c r="AL76" s="6" t="inlineStr">
        <is>
          <t>S11</t>
        </is>
      </c>
    </row>
    <row r="77" ht="115.5" customHeight="1">
      <c r="A77" s="5" t="inlineStr">
        <is>
          <t>C-E02/E24</t>
        </is>
      </c>
      <c r="B77" s="6" t="inlineStr">
        <is>
          <t>Speakeasy tables and Composio/Zapier/Pipedream/Smithery measurements missing</t>
        </is>
      </c>
      <c r="C77" s="6" t="inlineStr">
        <is>
          <t>DEFERRED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none until the trigger fires</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 Deferred 2026-10-20 with reason and trigger (the C-E02 criterion: 'non-pivotal ones deferred with a reason and trigger'): Lead's grep on 2026-10-20 of design/package-v3 and design/package-v4 files 01-05 finds no mention of Composio, Zapier, Pipedream or Smithery; the Speakeasy table is present in the stored text.</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2026-10-20</t>
        </is>
      </c>
      <c r="AF77" s="6" t="inlineStr">
        <is>
          <t>grep of design/package-v3 and design/package-v4 01-05 (lead, 2026-10-20); see also this row's earlier basis</t>
        </is>
      </c>
      <c r="AG77" s="6" t="inlineStr">
        <is>
          <t>A document quotes a measurement from Composio, Zapier, Pipedream or Smithery</t>
        </is>
      </c>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203" customHeight="1">
      <c r="A79" s="5" t="inlineStr">
        <is>
          <t>C-E02/E26</t>
        </is>
      </c>
      <c r="B79" s="6" t="inlineStr">
        <is>
          <t>ToolHop repo 404, Schlapbach PDF unreadable, other agent docs not fetched</t>
        </is>
      </c>
      <c r="C79" s="6" t="inlineStr">
        <is>
          <t>DEFERRED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none until the trigger fires</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 Deferred 2026-10-20 with reason and trigger (the C-E02 criterion: 'non-pivotal ones deferred with a reason and trigger'): Lead's grep on 2026-10-20 of design/package-v3 and design/package-v4 files 01-05 finds no mention of the Schlapbach PDF or of other agent-framework docs beyond those read; ToolHop was read (batch 4) and measures composition, not discovery or token cost.</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2026-10-20</t>
        </is>
      </c>
      <c r="AF79" s="6" t="inlineStr">
        <is>
          <t>grep of design/package-v3 and design/package-v4 01-05 (lead, 2026-10-20); see also this row's earlier basis</t>
        </is>
      </c>
      <c r="AG79" s="6" t="inlineStr">
        <is>
          <t>A document quotes the Schlapbach PDF or an agent-framework doc that is not stored</t>
        </is>
      </c>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153" customHeight="1">
      <c r="A82" s="5" t="inlineStr">
        <is>
          <t>C-E02/E31</t>
        </is>
      </c>
      <c r="B82" s="6" t="inlineStr">
        <is>
          <t>ScaleMCP/MemTool/Toolshed/Manus/HAL/tau-bench and Spring AI/langgraph-bigtool: follow-up status unclear</t>
        </is>
      </c>
      <c r="C82" s="6" t="inlineStr">
        <is>
          <t>DEFERRED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none until the trigger fires</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 Deferred 2026-10-20 with reason and trigger (the C-E02 criterion: 'non-pivotal ones deferred with a reason and trigger'): Lead's grep on 2026-10-20 of design/package-v3 and design/package-v4 files 01-05 finds no mention of Manus, HAL, tau-bench, Spring AI, langgraph-bigtool or Toolshed (ScaleMCP and MemTool, which 04 and 05 cite, were read by a steward); the prior-art matrix (FND-0030) read parts of Spring AI and Toolshed.</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2026-10-20</t>
        </is>
      </c>
      <c r="AF82" s="6" t="inlineStr">
        <is>
          <t>grep of design/package-v3 and design/package-v4 01-05 (lead, 2026-10-20); see also this row's earlier basis</t>
        </is>
      </c>
      <c r="AG82" s="6" t="inlineStr">
        <is>
          <t>A document quotes Manus, HAL, tau-bench, Spring AI, langgraph-bigtool or Toolshed</t>
        </is>
      </c>
      <c r="AH82" s="6" t="inlineStr">
        <is>
          <t>No (AUTH-016 covers web fetches for this item)</t>
        </is>
      </c>
      <c r="AI82" s="6" t="inlineStr"/>
      <c r="AJ82" s="6" t="inlineStr">
        <is>
          <t>SRC-11 section D2</t>
        </is>
      </c>
      <c r="AK82" s="6" t="inlineStr">
        <is>
          <t>SRC-06 E31</t>
        </is>
      </c>
      <c r="AL82" s="6" t="inlineStr">
        <is>
          <t>S11</t>
        </is>
      </c>
    </row>
    <row r="83" ht="115.5" customHeight="1">
      <c r="A83" s="5" t="inlineStr">
        <is>
          <t>C-E02/E32</t>
        </is>
      </c>
      <c r="B83" s="6" t="inlineStr">
        <is>
          <t>95 near-miss stored texts: abstracts read, ~12 read deeper</t>
        </is>
      </c>
      <c r="C83" s="6" t="inlineStr">
        <is>
          <t>DEFERRED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none until the trigger fires</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 Deferred 2026-10-20 with reason and trigger (the C-E02 criterion: 'non-pivotal ones deferred with a reason and trigger'): the live brief states that 'not found' is not 'does not exist' and that the check is a convenience sample (01 line 77), so no broad absence claim is made on the 95 near-miss texts; about 12 of them were read deeper.</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2026-10-20</t>
        </is>
      </c>
      <c r="AF83" s="6" t="inlineStr">
        <is>
          <t>grep of design/package-v3 and design/package-v4 01-05 (lead, 2026-10-20); see also this row's earlier basis</t>
        </is>
      </c>
      <c r="AG83" s="6" t="inlineStr">
        <is>
          <t>A broad absence claim is about to be made, or a decisive near-miss text is identified</t>
        </is>
      </c>
      <c r="AH83" s="6" t="inlineStr">
        <is>
          <t>No (AUTH-016 covers web fetches for this item)</t>
        </is>
      </c>
      <c r="AI83" s="6" t="inlineStr"/>
      <c r="AJ83" s="6" t="inlineStr">
        <is>
          <t>SRC-11 section D2</t>
        </is>
      </c>
      <c r="AK83" s="6" t="inlineStr">
        <is>
          <t>SRC-06 E32</t>
        </is>
      </c>
      <c r="AL83" s="6" t="inlineStr">
        <is>
          <t>S11</t>
        </is>
      </c>
    </row>
    <row r="84" ht="140.5" customHeight="1">
      <c r="A84" s="5" t="inlineStr">
        <is>
          <t>C-E02/E33</t>
        </is>
      </c>
      <c r="B84" s="6" t="inlineStr">
        <is>
          <t>Historical web fetches were model-generated extracts; 'verbatim' may be paraphrase</t>
        </is>
      </c>
      <c r="C84" s="6" t="inlineStr">
        <is>
          <t>DEFERRED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none until the trigger fires</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 Deferred 2026-10-20 with reason and trigger (the C-E02 criterion: 'non-pivotal ones deferred with a reason and trigger'): the direct quotes in the live documents are cited to hash-verified extracts of stored texts (EXT ids); the web-page sources stored in the origin were fetched by the earlier body, and whether any live sentence quotes one of them verbatim was not checked exhaustively.</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2026-10-20</t>
        </is>
      </c>
      <c r="AF84" s="6" t="inlineStr">
        <is>
          <t>grep of design/package-v3 and design/package-v4 01-05 (lead, 2026-10-20); see also this row's earlier basis</t>
        </is>
      </c>
      <c r="AG84" s="6" t="inlineStr">
        <is>
          <t>Before any direct quote from a web page stored in the origin (r4-* pages): compare it with a fresh litfetch copy</t>
        </is>
      </c>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DEFERRED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none until the trigger fires</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 Deferred 2026-10-20 with reason and trigger (the C-E02 criterion: 'non-pivotal ones deferred with a reason and trigger'): the appendices were read for the four topics (batch 5); what remains unread is the main text of TheMCPCompany lines 1-879 and its later trajectories (lines 1960-3527), the main texts of LiveMCPBench, SING and the cache study, and When2Call's appendices beyond the parts read; earlier stewards read the bodies of TheMCPCompany, LiveMCPBench, SING and the cache study (C-X09), and no live claim is known to rest on the unread trajectories.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2026-10-20</t>
        </is>
      </c>
      <c r="AF86" s="6" t="inlineStr">
        <is>
          <t>grep of design/package-v3 and design/package-v4 01-05 (lead, 2026-10-20); see also this row's earlier basis</t>
        </is>
      </c>
      <c r="AG86" s="6" t="inlineStr">
        <is>
          <t>A claim depends on an unread trajectory or appendix</t>
        </is>
      </c>
      <c r="AH86" s="6" t="inlineStr">
        <is>
          <t>No (AUTH-016 covers web fetches for this item)</t>
        </is>
      </c>
      <c r="AI86" s="6" t="inlineStr"/>
      <c r="AJ86" s="6" t="inlineStr">
        <is>
          <t>repo: v4-03 section 6 / RV-0005 / RV-0007</t>
        </is>
      </c>
      <c r="AK86" s="6" t="inlineStr"/>
      <c r="AL86" s="6" t="inlineStr">
        <is>
          <t>S11</t>
        </is>
      </c>
    </row>
    <row r="87" ht="128"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You send the author asks; approve 06 row 3.29</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 2026-10-20: the pivotal tables were rendered and read (batches 3, 8, 9), the version maps are written (batch 14) and the author asks are drafted (design/ledger/notes/AUTHOR-ASKS-DRAFT-20261020.md); what remains is the human sending the asks and approving the version pointer.</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2026-10-20</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65.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You send the drafted ask (design/ledger/notes/AUTHOR-ASKS-DRAFT-20261020.md, section 3) and record the reply; until then it waits on the authors</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2026-10-20</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You send the drafted ask (design/ledger/notes/AUTHOR-ASKS-DRAFT-20261020.md, section 1) and record the reply; until then it waits on the authors</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2026-10-20</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You send the drafted ask (design/ledger/notes/AUTHOR-ASKS-DRAFT-20261020.md, section 1) and record the reply; until then it waits on the authors</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2026-10-20</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You send the drafted ask (design/ledger/notes/AUTHOR-ASKS-DRAFT-20261020.md, section 1) and record the reply; until then it waits on the authors</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2026-10-20</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You send the drafted ask (design/ledger/notes/AUTHOR-ASKS-DRAFT-20261020.md, section 1) and record the reply; until then it waits on the authors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2026-10-20</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290.5" customHeight="1">
      <c r="A96" s="5" t="inlineStr">
        <is>
          <t>AS-09</t>
        </is>
      </c>
      <c r="B96" s="6" t="inlineStr">
        <is>
          <t>Supervisor assertion A9: The partial-information idea comes from another party's documentation</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G5 Housekeeping / no block</t>
        </is>
      </c>
      <c r="J96" s="6" t="inlineStr">
        <is>
          <t>Low</t>
        </is>
      </c>
      <c r="K96" s="6" t="n">
        <v>124</v>
      </c>
      <c r="L96" s="6" t="inlineStr">
        <is>
          <t>W2 Desk work (no model runs)</t>
        </is>
      </c>
      <c r="M96" s="6" t="inlineStr">
        <is>
          <t>S13</t>
        </is>
      </c>
      <c r="N96" s="6" t="inlineStr">
        <is>
          <t>Lead / team</t>
        </is>
      </c>
      <c r="O96" s="6" t="inlineStr">
        <is>
          <t>Q-J28 (Joaa names the documentation)</t>
        </is>
      </c>
      <c r="P96" s="6" t="inlineStr">
        <is>
          <t>No</t>
        </is>
      </c>
      <c r="Q96" s="6" t="inlineStr">
        <is>
          <t>Claim to test</t>
        </is>
      </c>
      <c r="R96" s="6" t="inlineStr">
        <is>
          <t>Item</t>
        </is>
      </c>
      <c r="S96" s="6" t="inlineStr"/>
      <c r="T96" s="6" t="inlineStr">
        <is>
          <t>REQ-A1 A9: The partial-information idea comes from another party's documentation. Source unnamed; prior art to locate.</t>
        </is>
      </c>
      <c r="U96"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t>
        </is>
      </c>
      <c r="V96" s="6" t="inlineStr">
        <is>
          <t>Source unnamed; prior art to locate.</t>
        </is>
      </c>
      <c r="W96" s="6" t="inlineStr"/>
      <c r="X96" s="6" t="inlineStr"/>
      <c r="Y96" s="6" t="inlineStr">
        <is>
          <t>Q-J28</t>
        </is>
      </c>
      <c r="Z96" s="6" t="inlineStr"/>
      <c r="AA96" s="6" t="inlineStr"/>
      <c r="AB96" s="6" t="inlineStr">
        <is>
          <t>SOURCE</t>
        </is>
      </c>
      <c r="AC96" s="6" t="inlineStr">
        <is>
          <t>n/a (REGISTER E)</t>
        </is>
      </c>
      <c r="AD96" s="6" t="inlineStr">
        <is>
          <t>NEW (repo sweep)</t>
        </is>
      </c>
      <c r="AE96" s="6" t="inlineStr">
        <is>
          <t>2026-10-20</t>
        </is>
      </c>
      <c r="AF96" s="6" t="inlineStr">
        <is>
          <t>FND-0030 (findings/SUM-0032)</t>
        </is>
      </c>
      <c r="AG96" s="6" t="inlineStr"/>
      <c r="AH96" s="6" t="inlineStr">
        <is>
          <t>No</t>
        </is>
      </c>
      <c r="AI96" s="6" t="inlineStr"/>
      <c r="AJ96" s="6" t="inlineStr">
        <is>
          <t>repo: REGISTER section E / EXT-0004</t>
        </is>
      </c>
      <c r="AK96" s="6" t="inlineStr">
        <is>
          <t>REQ-A1 A9</t>
        </is>
      </c>
      <c r="AL96" s="6" t="inlineStr">
        <is>
          <t>S11</t>
        </is>
      </c>
    </row>
    <row r="97" ht="300" customHeight="1">
      <c r="A97" s="5" t="inlineStr">
        <is>
          <t>C-E02/UNREADLEADS</t>
        </is>
      </c>
      <c r="B97" s="6" t="inlineStr">
        <is>
          <t>Reference lists (KAIST, cache study), agent-memory survey 2602.06052 not read</t>
        </is>
      </c>
      <c r="C97" s="6" t="inlineStr">
        <is>
          <t>DEFERRED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G4 Before claims</t>
        </is>
      </c>
      <c r="J97" s="6" t="inlineStr">
        <is>
          <t>Normal</t>
        </is>
      </c>
      <c r="K97" s="6" t="n">
        <v>125</v>
      </c>
      <c r="L97" s="6" t="inlineStr">
        <is>
          <t>W2 Desk work (no model runs)</t>
        </is>
      </c>
      <c r="M97" s="6" t="inlineStr">
        <is>
          <t>S13</t>
        </is>
      </c>
      <c r="N97" s="6" t="inlineStr">
        <is>
          <t>Lead + fresh reviewer</t>
        </is>
      </c>
      <c r="O97" s="6" t="inlineStr">
        <is>
          <t>none until the trigger fires</t>
        </is>
      </c>
      <c r="P97" s="6" t="inlineStr">
        <is>
          <t>Partly</t>
        </is>
      </c>
      <c r="Q97" s="6" t="inlineStr">
        <is>
          <t>Record fix</t>
        </is>
      </c>
      <c r="R97" s="6" t="inlineStr">
        <is>
          <t>Sub-item</t>
        </is>
      </c>
      <c r="S97" s="6" t="inlineStr">
        <is>
          <t>C-E02</t>
        </is>
      </c>
      <c r="T97" s="6" t="inlineStr">
        <is>
          <t>v4-05 section 5 'not done': reference lists of KAIST and the cache study and the agent-memory survey (arXiv 2602.06052) were not read.</t>
        </is>
      </c>
      <c r="U97" s="6" t="inlineStr">
        <is>
          <t>Recorded as open in its source; not examined further in this review. 2026-10-20: the agent-memory survey (arXiv 2602.06052, 'A Survey of Agent Memory in the Second Half', TMLR 07/2026) was fetched and read in part by a steward (about 60% of its lines; FND-0032): it is a secondary source that describes other papers and reports no experiment of its own. What it says that bears on the supervisor's memory point: three axes (substrate, cognitive mechanism, subject user-centric vs agent-centric); tool-related memory sits under procedural and agent-centric memory; the two subjects are 'conceptual orientations rather than mutually exclusive categories' and a coding assistant may keep both (lines 1563-1568), while 'current benchmarks rarely require both simultaneously'; cross-session retention is a stated need (lines 510-512) with benchmark names and proposed metrics ('dependency distance', 'resume after long gaps', lines 3382-3387) but no measured result for an hours or days gap and no cold-start treatment found; costs of memory are qualitative ('thousands of tokens', latency; the survey says benchmarks should quantify token, storage and latency trade-offs and do not yet, lines 3992-3994); papers named for tool-related memory (ToolMem 2510.06664, MemTool 2507.21428, Memp 2508.06433, ReasoningBank 2509.25140, SkillsBench 2602.12670) with qualitative effects only and no library sizes; 'cache' in the survey means model-internal KV state discarded across sessions, not prompt caching or a stable prefix (prefix and cache layout: not found in this text); customer support, cloud agents and pre-loading before the first request: not found. It does not settle the memory scope question (Q-J05). The reference lists of KAIST and the cache study were not read and are deferred.</t>
        </is>
      </c>
      <c r="V97" s="6" t="inlineStr">
        <is>
          <t>Read or marked out of scope.</t>
        </is>
      </c>
      <c r="W97" s="6" t="inlineStr"/>
      <c r="X97" s="6" t="inlineStr"/>
      <c r="Y97" s="6" t="inlineStr">
        <is>
          <t>Q-U21</t>
        </is>
      </c>
      <c r="Z97" s="6" t="inlineStr"/>
      <c r="AA97" s="6" t="inlineStr"/>
      <c r="AB97" s="6" t="inlineStr">
        <is>
          <t>RECORD+SOURCE</t>
        </is>
      </c>
      <c r="AC97" s="6" t="inlineStr">
        <is>
          <t>n/a (sub-item)</t>
        </is>
      </c>
      <c r="AD97" s="6" t="inlineStr">
        <is>
          <t>NEW (repo sweep)</t>
        </is>
      </c>
      <c r="AE97" s="6" t="inlineStr">
        <is>
          <t>2026-10-20</t>
        </is>
      </c>
      <c r="AF97" s="6" t="inlineStr">
        <is>
          <t>FND-0032 (findings/SUM-0034); evidence/literature-20261019/pdf-memory-survey-2602.06052.txt</t>
        </is>
      </c>
      <c r="AG97" s="6" t="inlineStr">
        <is>
          <t>A claim depends on a paper cited in the KAIST or cache-study reference lists, or on a survey section not read (lines 560-1015, 1777-2340, 2500-3005, 3065-3370)</t>
        </is>
      </c>
      <c r="AH97" s="6" t="inlineStr">
        <is>
          <t>No (AUTH-016 covers web fetches for this item)</t>
        </is>
      </c>
      <c r="AI97" s="6" t="inlineStr"/>
      <c r="AJ97" s="6" t="inlineStr">
        <is>
          <t>repo: v4-03 section 6 / RV-0005 / RV-0007</t>
        </is>
      </c>
      <c r="AK97" s="6" t="inlineStr"/>
      <c r="AL97" s="6" t="inlineStr">
        <is>
          <t>S13</t>
        </is>
      </c>
    </row>
    <row r="98" ht="300" customHeight="1">
      <c r="A98" s="5" t="inlineStr">
        <is>
          <t>N-19</t>
        </is>
      </c>
      <c r="B98" s="6" t="inlineStr">
        <is>
          <t>Stale counts and safeguard text in records</t>
        </is>
      </c>
      <c r="C98" s="6" t="inlineStr">
        <is>
          <t>PARTLY ANSWERED</t>
        </is>
      </c>
      <c r="D98" s="6">
        <f>IFERROR(INDEX(Lists!$B$2:$B$14,MATCH(C98,Lists!$A$2:$A$14,0)),"?")</f>
        <v/>
      </c>
      <c r="E98" s="6">
        <f>IF(COUNTIFS(Links!$B$2:$B$600,A98,Links!$E$2:$E$600,"Yes")&gt;0,"REVISE","")</f>
        <v/>
      </c>
      <c r="F98" s="6">
        <f>COUNTIFS(Links!$B$2:$B$600,A98,Links!$D$2:$D$600,"No",Links!$C$2:$C$600,"&lt;&gt;INFORMS")</f>
        <v/>
      </c>
      <c r="G98" s="8" t="inlineStr">
        <is>
          <t>RECORDS-AT-HAND</t>
        </is>
      </c>
      <c r="H98" s="6" t="inlineStr">
        <is>
          <t>K17 Record repair &amp; procedure error</t>
        </is>
      </c>
      <c r="I98" s="6" t="inlineStr">
        <is>
          <t>G5 Housekeeping / no block</t>
        </is>
      </c>
      <c r="J98" s="6" t="inlineStr">
        <is>
          <t>Low</t>
        </is>
      </c>
      <c r="K98" s="6" t="n">
        <v>128</v>
      </c>
      <c r="L98" s="6" t="inlineStr">
        <is>
          <t>W2 Desk work (no model runs)</t>
        </is>
      </c>
      <c r="M98" s="6" t="inlineStr">
        <is>
          <t>S15</t>
        </is>
      </c>
      <c r="N98" s="6" t="inlineStr">
        <is>
          <t>Lead (STATE, v4-05); you (pinned files)</t>
        </is>
      </c>
      <c r="O98" s="6" t="inlineStr">
        <is>
          <t>You decide whether the proposed wording for CLAUDE.md and SAFEGUARDS rows 5 and 17 may be applied</t>
        </is>
      </c>
      <c r="P98" s="6" t="inlineStr">
        <is>
          <t>Answered (see basis)</t>
        </is>
      </c>
      <c r="Q98" s="6" t="inlineStr">
        <is>
          <t>Record fix</t>
        </is>
      </c>
      <c r="R98" s="6" t="inlineStr">
        <is>
          <t>Item</t>
        </is>
      </c>
      <c r="S98" s="6" t="inlineStr"/>
      <c r="T98" s="6" t="inlineStr">
        <is>
          <t>STATE says AUTH-013 had 23 searches / 32 sources; v4-05 section 5 says 18 / 28 while its header says 27 / 37 (manifest has 37 rows); SAFEGUARDS rows 5 and 17 and CLAUDE.md predate AUTH-012/014/015.</t>
        </is>
      </c>
      <c r="U98"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 Batch 14 (2026-10-20): the counts are now settled by arithmetic: the literature README gives 27 searches (3+5+10+5+4) and 37 sources (12+16+4+5), which matches the header of 05 (reviewer RV-0015); 18 / 28 is the end-of-round-3 figure and the 23 / 32 in STATE (now corrected) the round-4 figure.</t>
        </is>
      </c>
      <c r="V98" s="6" t="inlineStr">
        <is>
          <t>Counts and safeguard text updated.</t>
        </is>
      </c>
      <c r="W98" s="6" t="inlineStr"/>
      <c r="X98" s="6" t="inlineStr"/>
      <c r="Y98" s="6" t="inlineStr">
        <is>
          <t>Q-U11</t>
        </is>
      </c>
      <c r="Z98" s="6" t="inlineStr"/>
      <c r="AA98" s="6" t="inlineStr"/>
      <c r="AB98" s="6" t="inlineStr">
        <is>
          <t>RECORD</t>
        </is>
      </c>
      <c r="AC98" s="6" t="inlineStr">
        <is>
          <t>n/a (new)</t>
        </is>
      </c>
      <c r="AD98" s="6" t="inlineStr">
        <is>
          <t>NEW (repo sweep)</t>
        </is>
      </c>
      <c r="AE98" s="6" t="inlineStr">
        <is>
          <t>2026-10-20</t>
        </is>
      </c>
      <c r="AF98" s="6" t="inlineStr">
        <is>
          <t>reviews/RV-0015.md; evidence/literature-20261019/README.md</t>
        </is>
      </c>
      <c r="AG98" s="6" t="inlineStr"/>
      <c r="AH98" s="6" t="inlineStr">
        <is>
          <t>No</t>
        </is>
      </c>
      <c r="AI98" s="6" t="inlineStr"/>
      <c r="AJ98" s="6" t="inlineStr">
        <is>
          <t>review 19 Oct section 6.6</t>
        </is>
      </c>
      <c r="AK98" s="6" t="inlineStr"/>
      <c r="AL98" s="6" t="inlineStr">
        <is>
          <t>S03</t>
        </is>
      </c>
    </row>
    <row r="99" ht="28" customHeight="1">
      <c r="A99" s="5" t="inlineStr">
        <is>
          <t>C-R01/C01</t>
        </is>
      </c>
      <c r="B99" s="6" t="inlineStr">
        <is>
          <t>D4: arm choice, multiplicity, test-split failure</t>
        </is>
      </c>
      <c r="C99" s="6" t="inlineStr">
        <is>
          <t>PARTLY ANSWERED</t>
        </is>
      </c>
      <c r="D99" s="6">
        <f>IFERROR(INDEX(Lists!$B$2:$B$14,MATCH(C99,Lists!$A$2:$A$14,0)),"?")</f>
        <v/>
      </c>
      <c r="E99" s="6">
        <f>IF(COUNTIFS(Links!$B$2:$B$600,A99,Links!$E$2:$E$600,"Yes")&gt;0,"REVISE","")</f>
        <v/>
      </c>
      <c r="F99" s="6">
        <f>COUNTIFS(Links!$B$2:$B$600,A99,Links!$D$2:$D$600,"No",Links!$C$2:$C$600,"&lt;&gt;INFORMS")</f>
        <v/>
      </c>
      <c r="G99" s="8" t="inlineStr">
        <is>
          <t>RECORDS-AT-HAND</t>
        </is>
      </c>
      <c r="H99" s="6" t="inlineStr">
        <is>
          <t>K17 Record repair &amp; procedure error</t>
        </is>
      </c>
      <c r="I99" s="6" t="inlineStr">
        <is>
          <t>G3 Before confirmatory study</t>
        </is>
      </c>
      <c r="J99" s="6" t="inlineStr">
        <is>
          <t>Normal</t>
        </is>
      </c>
      <c r="K99" s="6" t="n">
        <v>129</v>
      </c>
      <c r="L99" s="6" t="inlineStr">
        <is>
          <t>W2 Desk work (no model runs)</t>
        </is>
      </c>
      <c r="M99" s="6" t="inlineStr">
        <is>
          <t>S15</t>
        </is>
      </c>
      <c r="N99" s="6" t="inlineStr">
        <is>
          <t>Lead + fresh reviewer</t>
        </is>
      </c>
      <c r="O99" s="6" t="inlineStr">
        <is>
          <t>Lead drafts the fix; you approve</t>
        </is>
      </c>
      <c r="P99" s="6" t="inlineStr">
        <is>
          <t>Partly</t>
        </is>
      </c>
      <c r="Q99" s="6" t="inlineStr">
        <is>
          <t>Scientific unknown</t>
        </is>
      </c>
      <c r="R99" s="6" t="inlineStr">
        <is>
          <t>Sub-item</t>
        </is>
      </c>
      <c r="S99" s="6" t="inlineStr">
        <is>
          <t>C-R01</t>
        </is>
      </c>
      <c r="T99" s="6" t="inlineStr">
        <is>
          <t>SRC-06 C01: D4's arm selection, multiplicity and test-split failure handling.</t>
        </is>
      </c>
      <c r="U99" s="6" t="inlineStr">
        <is>
          <t>Rule rewritten; multiplicity enumeration (CH-0040 a,b) still open; also belongs to C-S14.</t>
        </is>
      </c>
      <c r="V99" s="6" t="inlineStr">
        <is>
          <t>Independent re-check and a dated fix.</t>
        </is>
      </c>
      <c r="W99" s="6" t="inlineStr"/>
      <c r="X99" s="6" t="inlineStr"/>
      <c r="Y99" s="6" t="inlineStr"/>
      <c r="Z99" s="6" t="inlineStr"/>
      <c r="AA99" s="6" t="inlineStr"/>
      <c r="AB99" s="6" t="inlineStr">
        <is>
          <t>RECORD+DATA</t>
        </is>
      </c>
      <c r="AC99" s="6" t="inlineStr">
        <is>
          <t>n/a (sub-item)</t>
        </is>
      </c>
      <c r="AD99" s="6" t="inlineStr">
        <is>
          <t>NEW (SRC-11 sub-row)</t>
        </is>
      </c>
      <c r="AE99" s="6" t="inlineStr">
        <is>
          <t>2026-10-19</t>
        </is>
      </c>
      <c r="AF99" s="6" t="inlineStr">
        <is>
          <t>v4-02 sections 5-6; CH-0040 open (a)(b)</t>
        </is>
      </c>
      <c r="AG99" s="6" t="inlineStr"/>
      <c r="AH99" s="6" t="inlineStr">
        <is>
          <t>No</t>
        </is>
      </c>
      <c r="AI99" s="6" t="inlineStr"/>
      <c r="AJ99" s="6" t="inlineStr">
        <is>
          <t>SRC-11 section D4</t>
        </is>
      </c>
      <c r="AK99" s="6" t="inlineStr">
        <is>
          <t>SRC-06 C01, CH-0040</t>
        </is>
      </c>
      <c r="AL99" s="6" t="inlineStr">
        <is>
          <t>S09</t>
        </is>
      </c>
    </row>
    <row r="100" ht="28" customHeight="1">
      <c r="A100" s="5" t="inlineStr">
        <is>
          <t>C-R01/C02</t>
        </is>
      </c>
      <c r="B100" s="6" t="inlineStr">
        <is>
          <t>Annotations / substitute reference</t>
        </is>
      </c>
      <c r="C100" s="6" t="inlineStr">
        <is>
          <t>PARTLY ANSWERED</t>
        </is>
      </c>
      <c r="D100" s="6">
        <f>IFERROR(INDEX(Lists!$B$2:$B$14,MATCH(C100,Lists!$A$2:$A$14,0)),"?")</f>
        <v/>
      </c>
      <c r="E100" s="6">
        <f>IF(COUNTIFS(Links!$B$2:$B$600,A100,Links!$E$2:$E$600,"Yes")&gt;0,"REVISE","")</f>
        <v/>
      </c>
      <c r="F100" s="6">
        <f>COUNTIFS(Links!$B$2:$B$600,A100,Links!$D$2:$D$600,"No",Links!$C$2:$C$600,"&lt;&gt;INFORMS")</f>
        <v/>
      </c>
      <c r="G100" s="8" t="inlineStr">
        <is>
          <t>RECORDS-AT-HAND</t>
        </is>
      </c>
      <c r="H100" s="6" t="inlineStr">
        <is>
          <t>K17 Record repair &amp; procedure error</t>
        </is>
      </c>
      <c r="I100" s="6" t="inlineStr">
        <is>
          <t>G3 Before confirmatory study</t>
        </is>
      </c>
      <c r="J100" s="6" t="inlineStr">
        <is>
          <t>Normal</t>
        </is>
      </c>
      <c r="K100" s="6" t="n">
        <v>130</v>
      </c>
      <c r="L100" s="6" t="inlineStr">
        <is>
          <t>W2 Desk work (no model runs)</t>
        </is>
      </c>
      <c r="M100" s="6" t="inlineStr">
        <is>
          <t>S15</t>
        </is>
      </c>
      <c r="N100" s="6" t="inlineStr">
        <is>
          <t>Lead + fresh reviewer</t>
        </is>
      </c>
      <c r="O100" s="6" t="inlineStr">
        <is>
          <t>Lead drafts the fix; you approve</t>
        </is>
      </c>
      <c r="P100" s="6" t="inlineStr">
        <is>
          <t>Partly</t>
        </is>
      </c>
      <c r="Q100" s="6" t="inlineStr">
        <is>
          <t>Scientific unknown</t>
        </is>
      </c>
      <c r="R100" s="6" t="inlineStr">
        <is>
          <t>Sub-item</t>
        </is>
      </c>
      <c r="S100" s="6" t="inlineStr">
        <is>
          <t>C-R01</t>
        </is>
      </c>
      <c r="T100" s="6" t="inlineStr">
        <is>
          <t>SRC-06 C02: source of annotations and the substitute reference.</t>
        </is>
      </c>
      <c r="U100" s="6" t="inlineStr">
        <is>
          <t>Substitute rule replaced by R-full / R-pool / frontier; R-pool direction unresolved.</t>
        </is>
      </c>
      <c r="V100" s="6" t="inlineStr">
        <is>
          <t>Independent re-check and a dated fix.</t>
        </is>
      </c>
      <c r="W100" s="6" t="inlineStr"/>
      <c r="X100" s="6" t="inlineStr"/>
      <c r="Y100" s="6" t="inlineStr"/>
      <c r="Z100" s="6" t="inlineStr"/>
      <c r="AA100" s="6" t="inlineStr"/>
      <c r="AB100" s="6" t="inlineStr">
        <is>
          <t>RECORD+DATA</t>
        </is>
      </c>
      <c r="AC100" s="6" t="inlineStr">
        <is>
          <t>n/a (sub-item)</t>
        </is>
      </c>
      <c r="AD100" s="6" t="inlineStr">
        <is>
          <t>NEW (SRC-11 sub-row)</t>
        </is>
      </c>
      <c r="AE100" s="6" t="inlineStr">
        <is>
          <t>2026-10-19</t>
        </is>
      </c>
      <c r="AF100" s="6" t="inlineStr">
        <is>
          <t>v4-02 section 4 (reference ladder)</t>
        </is>
      </c>
      <c r="AG100" s="6" t="inlineStr"/>
      <c r="AH100" s="6" t="inlineStr">
        <is>
          <t>No</t>
        </is>
      </c>
      <c r="AI100" s="6" t="inlineStr"/>
      <c r="AJ100" s="6" t="inlineStr">
        <is>
          <t>SRC-11 section D4</t>
        </is>
      </c>
      <c r="AK100" s="6" t="inlineStr">
        <is>
          <t>SRC-06 C02, CH-0038</t>
        </is>
      </c>
      <c r="AL100" s="6" t="inlineStr">
        <is>
          <t>S09</t>
        </is>
      </c>
    </row>
    <row r="101" ht="28" customHeight="1">
      <c r="A101" s="5" t="inlineStr">
        <is>
          <t>C-R01/C03</t>
        </is>
      </c>
      <c r="B101" s="6" t="inlineStr">
        <is>
          <t>R6 timing, query source, recovery assumptions</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G3 Before confirmatory study</t>
        </is>
      </c>
      <c r="J101" s="6" t="inlineStr">
        <is>
          <t>Normal</t>
        </is>
      </c>
      <c r="K101" s="6" t="n">
        <v>131</v>
      </c>
      <c r="L101" s="6" t="inlineStr">
        <is>
          <t>W2 Desk work (no model runs)</t>
        </is>
      </c>
      <c r="M101" s="6" t="inlineStr">
        <is>
          <t>S15</t>
        </is>
      </c>
      <c r="N101" s="6" t="inlineStr">
        <is>
          <t>Lead + fresh reviewer</t>
        </is>
      </c>
      <c r="O101" s="6" t="inlineStr">
        <is>
          <t>Lead drafts the fix; you approve</t>
        </is>
      </c>
      <c r="P101" s="6" t="inlineStr">
        <is>
          <t>Partly</t>
        </is>
      </c>
      <c r="Q101" s="6" t="inlineStr">
        <is>
          <t>Scientific unknown</t>
        </is>
      </c>
      <c r="R101" s="6" t="inlineStr">
        <is>
          <t>Sub-item</t>
        </is>
      </c>
      <c r="S101" s="6" t="inlineStr">
        <is>
          <t>C-R01</t>
        </is>
      </c>
      <c r="T101" s="6" t="inlineStr">
        <is>
          <t>SRC-06 C03: R6 (trigger) timing, scripted-query provenance, recovery assumptions.</t>
        </is>
      </c>
      <c r="U101" s="6" t="inlineStr">
        <is>
          <t>Trigger placed after tool results and at finish; R6 itself has no supporting evidence.</t>
        </is>
      </c>
      <c r="V101" s="6" t="inlineStr">
        <is>
          <t>Independent re-check and a dated fix.</t>
        </is>
      </c>
      <c r="W101" s="6" t="inlineStr"/>
      <c r="X101" s="6" t="inlineStr"/>
      <c r="Y101" s="6" t="inlineStr"/>
      <c r="Z101" s="6" t="inlineStr"/>
      <c r="AA101" s="6" t="inlineStr"/>
      <c r="AB101" s="6" t="inlineStr">
        <is>
          <t>RECORD+DATA</t>
        </is>
      </c>
      <c r="AC101" s="6" t="inlineStr">
        <is>
          <t>n/a (sub-item)</t>
        </is>
      </c>
      <c r="AD101" s="6" t="inlineStr">
        <is>
          <t>NEW (SRC-11 sub-row)</t>
        </is>
      </c>
      <c r="AE101" s="6" t="inlineStr">
        <is>
          <t>2026-10-19</t>
        </is>
      </c>
      <c r="AF101" s="6" t="inlineStr">
        <is>
          <t>v4-02 note 4 (P3/P3f placement); CH-0041</t>
        </is>
      </c>
      <c r="AG101" s="6" t="inlineStr"/>
      <c r="AH101" s="6" t="inlineStr">
        <is>
          <t>No</t>
        </is>
      </c>
      <c r="AI101" s="6" t="inlineStr"/>
      <c r="AJ101" s="6" t="inlineStr">
        <is>
          <t>SRC-11 section D4</t>
        </is>
      </c>
      <c r="AK101" s="6" t="inlineStr">
        <is>
          <t>SRC-06 C03, CH-0041</t>
        </is>
      </c>
      <c r="AL101" s="6" t="inlineStr">
        <is>
          <t>S09</t>
        </is>
      </c>
    </row>
    <row r="102" ht="28" customHeight="1">
      <c r="A102" s="5" t="inlineStr">
        <is>
          <t>C-R01/C04</t>
        </is>
      </c>
      <c r="B102" s="6" t="inlineStr">
        <is>
          <t>Outcome-split accounting, provider usage, task shedding</t>
        </is>
      </c>
      <c r="C102" s="6" t="inlineStr">
        <is>
          <t>OPEN</t>
        </is>
      </c>
      <c r="D102" s="6">
        <f>IFERROR(INDEX(Lists!$B$2:$B$14,MATCH(C102,Lists!$A$2:$A$14,0)),"?")</f>
        <v/>
      </c>
      <c r="E102" s="6">
        <f>IF(COUNTIFS(Links!$B$2:$B$600,A102,Links!$E$2:$E$600,"Yes")&gt;0,"REVISE","")</f>
        <v/>
      </c>
      <c r="F102" s="6">
        <f>COUNTIFS(Links!$B$2:$B$600,A102,Links!$D$2:$D$600,"No",Links!$C$2:$C$600,"&lt;&gt;INFORMS")</f>
        <v/>
      </c>
      <c r="G102" s="17" t="inlineStr">
        <is>
          <t>TEST-PILOT</t>
        </is>
      </c>
      <c r="H102" s="6" t="inlineStr">
        <is>
          <t>K17 Record repair &amp; procedure error</t>
        </is>
      </c>
      <c r="I102" s="6" t="inlineStr">
        <is>
          <t>G3 Before confirmatory study</t>
        </is>
      </c>
      <c r="J102" s="6" t="inlineStr">
        <is>
          <t>Normal</t>
        </is>
      </c>
      <c r="K102" s="6" t="n">
        <v>132</v>
      </c>
      <c r="L102" s="6" t="inlineStr">
        <is>
          <t>W2 Desk work (no model runs)</t>
        </is>
      </c>
      <c r="M102" s="6" t="inlineStr">
        <is>
          <t>S15</t>
        </is>
      </c>
      <c r="N102" s="6" t="inlineStr">
        <is>
          <t>Lead + fresh reviewer</t>
        </is>
      </c>
      <c r="O102" s="6" t="inlineStr">
        <is>
          <t>Needs an AUTH and a protocol</t>
        </is>
      </c>
      <c r="P102" s="6" t="inlineStr">
        <is>
          <t>Partly</t>
        </is>
      </c>
      <c r="Q102" s="6" t="inlineStr">
        <is>
          <t>Scientific unknown</t>
        </is>
      </c>
      <c r="R102" s="6" t="inlineStr">
        <is>
          <t>Sub-item</t>
        </is>
      </c>
      <c r="S102" s="6" t="inlineStr">
        <is>
          <t>C-R01</t>
        </is>
      </c>
      <c r="T102" s="6" t="inlineStr">
        <is>
          <t>SRC-06 C04: outcome-split accounting, whether provider usage counts deferred definitions, and expensive-task shedding.</t>
        </is>
      </c>
      <c r="U102" s="6" t="inlineStr">
        <is>
          <t>Stratum guard added; tokens-by-outcome split belongs to E1.</t>
        </is>
      </c>
      <c r="V102" s="6" t="inlineStr">
        <is>
          <t>Independent re-check and a dated fix.</t>
        </is>
      </c>
      <c r="W102" s="6" t="inlineStr"/>
      <c r="X102" s="6" t="inlineStr"/>
      <c r="Y102" s="6" t="inlineStr"/>
      <c r="Z102" s="6" t="inlineStr"/>
      <c r="AA102" s="6" t="inlineStr"/>
      <c r="AB102" s="6" t="inlineStr">
        <is>
          <t>RECORD+DATA</t>
        </is>
      </c>
      <c r="AC102" s="6" t="inlineStr">
        <is>
          <t>n/a (sub-item)</t>
        </is>
      </c>
      <c r="AD102" s="6" t="inlineStr">
        <is>
          <t>NEW (SRC-11 sub-row)</t>
        </is>
      </c>
      <c r="AE102" s="6" t="inlineStr">
        <is>
          <t>2026-10-19</t>
        </is>
      </c>
      <c r="AF102" s="6" t="inlineStr">
        <is>
          <t>v3-04 section 1 (CH-0042 residual); v4-02 section 8</t>
        </is>
      </c>
      <c r="AG102" s="6" t="inlineStr"/>
      <c r="AH102" s="6" t="inlineStr">
        <is>
          <t>No</t>
        </is>
      </c>
      <c r="AI102" s="6" t="inlineStr"/>
      <c r="AJ102" s="6" t="inlineStr">
        <is>
          <t>SRC-11 section D4</t>
        </is>
      </c>
      <c r="AK102" s="6" t="inlineStr">
        <is>
          <t>SRC-06 C04, CH-0042</t>
        </is>
      </c>
      <c r="AL102" s="6" t="inlineStr">
        <is>
          <t>S09</t>
        </is>
      </c>
    </row>
    <row r="103" ht="28" customHeight="1">
      <c r="A103" s="5" t="inlineStr">
        <is>
          <t>C-R01/C05</t>
        </is>
      </c>
      <c r="B103" s="6" t="inlineStr">
        <is>
          <t>Fair baseline / usage knowledge</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G3 Before confirmatory study</t>
        </is>
      </c>
      <c r="J103" s="6" t="inlineStr">
        <is>
          <t>Normal</t>
        </is>
      </c>
      <c r="K103" s="6" t="n">
        <v>133</v>
      </c>
      <c r="L103" s="6" t="inlineStr">
        <is>
          <t>W2 Desk work (no model runs)</t>
        </is>
      </c>
      <c r="M103" s="6" t="inlineStr">
        <is>
          <t>S15</t>
        </is>
      </c>
      <c r="N103" s="6" t="inlineStr">
        <is>
          <t>Lead + fresh reviewer</t>
        </is>
      </c>
      <c r="O103" s="6" t="inlineStr">
        <is>
          <t>Lead drafts the fix; you approve</t>
        </is>
      </c>
      <c r="P103" s="6" t="inlineStr">
        <is>
          <t>Partly</t>
        </is>
      </c>
      <c r="Q103" s="6" t="inlineStr">
        <is>
          <t>Scientific unknown</t>
        </is>
      </c>
      <c r="R103" s="6" t="inlineStr">
        <is>
          <t>Sub-item</t>
        </is>
      </c>
      <c r="S103" s="6" t="inlineStr">
        <is>
          <t>C-R01</t>
        </is>
      </c>
      <c r="T103" s="6" t="inlineStr">
        <is>
          <t>SRC-06 C05: fair baseline and the usage knowledge a hand-picked core needs.</t>
        </is>
      </c>
      <c r="U103" s="6" t="inlineStr">
        <is>
          <t>Text corrected ('needs usage knowledge'); comparison reframed.</t>
        </is>
      </c>
      <c r="V103" s="6" t="inlineStr">
        <is>
          <t>Independent re-check and a dated fix.</t>
        </is>
      </c>
      <c r="W103" s="6" t="inlineStr"/>
      <c r="X103" s="6" t="inlineStr"/>
      <c r="Y103" s="6" t="inlineStr"/>
      <c r="Z103" s="6" t="inlineStr"/>
      <c r="AA103" s="6" t="inlineStr"/>
      <c r="AB103" s="6" t="inlineStr">
        <is>
          <t>RECORD+DATA</t>
        </is>
      </c>
      <c r="AC103" s="6" t="inlineStr">
        <is>
          <t>n/a (sub-item)</t>
        </is>
      </c>
      <c r="AD103" s="6" t="inlineStr">
        <is>
          <t>NEW (SRC-11 sub-row)</t>
        </is>
      </c>
      <c r="AE103" s="6" t="inlineStr">
        <is>
          <t>2026-10-19</t>
        </is>
      </c>
      <c r="AF103" s="6" t="inlineStr">
        <is>
          <t>v3-04 section 1 (CH-0043); v4-01 section 5</t>
        </is>
      </c>
      <c r="AG103" s="6" t="inlineStr"/>
      <c r="AH103" s="6" t="inlineStr">
        <is>
          <t>No</t>
        </is>
      </c>
      <c r="AI103" s="6" t="inlineStr"/>
      <c r="AJ103" s="6" t="inlineStr">
        <is>
          <t>SRC-11 section D4</t>
        </is>
      </c>
      <c r="AK103" s="6" t="inlineStr">
        <is>
          <t>SRC-06 C05, CH-0043</t>
        </is>
      </c>
      <c r="AL103" s="6" t="inlineStr">
        <is>
          <t>S09</t>
        </is>
      </c>
    </row>
    <row r="104" ht="28" customHeight="1">
      <c r="A104" s="5" t="inlineStr">
        <is>
          <t>C-R01/C06</t>
        </is>
      </c>
      <c r="B104" s="6" t="inlineStr">
        <is>
          <t>No-miss searches; conditional I_disc / tau</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G3 Before confirmatory study</t>
        </is>
      </c>
      <c r="J104" s="6" t="inlineStr">
        <is>
          <t>Normal</t>
        </is>
      </c>
      <c r="K104" s="6" t="n">
        <v>134</v>
      </c>
      <c r="L104" s="6" t="inlineStr">
        <is>
          <t>W2 Desk work (no model runs)</t>
        </is>
      </c>
      <c r="M104" s="6" t="inlineStr">
        <is>
          <t>S15</t>
        </is>
      </c>
      <c r="N104" s="6" t="inlineStr">
        <is>
          <t>Lead + fresh reviewer</t>
        </is>
      </c>
      <c r="O104" s="6" t="inlineStr">
        <is>
          <t>Lead drafts the fix; you approve</t>
        </is>
      </c>
      <c r="P104" s="6" t="inlineStr">
        <is>
          <t>Partly</t>
        </is>
      </c>
      <c r="Q104" s="6" t="inlineStr">
        <is>
          <t>Scientific unknown</t>
        </is>
      </c>
      <c r="R104" s="6" t="inlineStr">
        <is>
          <t>Sub-item</t>
        </is>
      </c>
      <c r="S104" s="6" t="inlineStr">
        <is>
          <t>C-R01</t>
        </is>
      </c>
      <c r="T104" s="6" t="inlineStr">
        <is>
          <t>SRC-06 C06: searches in trajectories that need no deferred tool; I_disc and tau must be conditional on the needed tool.</t>
        </is>
      </c>
      <c r="U104" s="6" t="inlineStr">
        <is>
          <t>Counted events defined in v4-05; the conditional terms are not specified.</t>
        </is>
      </c>
      <c r="V104" s="6" t="inlineStr">
        <is>
          <t>Independent re-check and a dated fix.</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2026-10-19</t>
        </is>
      </c>
      <c r="AF104" s="6" t="inlineStr">
        <is>
          <t>v3-04 section 1 (CH-0035 residual); v4-05 section 4 (event definitions)</t>
        </is>
      </c>
      <c r="AG104" s="6" t="inlineStr"/>
      <c r="AH104" s="6" t="inlineStr">
        <is>
          <t>No</t>
        </is>
      </c>
      <c r="AI104" s="6" t="inlineStr"/>
      <c r="AJ104" s="6" t="inlineStr">
        <is>
          <t>SRC-11 section D4</t>
        </is>
      </c>
      <c r="AK104" s="6" t="inlineStr">
        <is>
          <t>SRC-06 C06</t>
        </is>
      </c>
      <c r="AL104" s="6" t="inlineStr">
        <is>
          <t>S09</t>
        </is>
      </c>
    </row>
    <row r="105" ht="40.5" customHeight="1">
      <c r="A105" s="5" t="inlineStr">
        <is>
          <t>C-R01</t>
        </is>
      </c>
      <c r="B105" s="6" t="inlineStr">
        <is>
          <t>v3 challenge residuals: D4 arm/multiplicity, substitute reference, trigger timing, outcome-split accounting...</t>
        </is>
      </c>
      <c r="C105" s="6" t="inlineStr">
        <is>
          <t>PARTLY ANSWERED</t>
        </is>
      </c>
      <c r="D105" s="6">
        <f>IFERROR(INDEX(Lists!$B$2:$B$14,MATCH(C105,Lists!$A$2:$A$14,0)),"?")</f>
        <v/>
      </c>
      <c r="E105" s="6">
        <f>IF(COUNTIFS(Links!$B$2:$B$600,A105,Links!$E$2:$E$600,"Yes")&gt;0,"REVISE","")</f>
        <v/>
      </c>
      <c r="F105" s="6">
        <f>COUNTIFS(Links!$B$2:$B$600,A105,Links!$D$2:$D$600,"No",Links!$C$2:$C$600,"&lt;&gt;INFORMS")</f>
        <v/>
      </c>
      <c r="G105" s="8" t="inlineStr">
        <is>
          <t>RECORDS-AT-HAND</t>
        </is>
      </c>
      <c r="H105" s="6" t="inlineStr">
        <is>
          <t>K17 Record repair &amp; procedure error</t>
        </is>
      </c>
      <c r="I105" s="6" t="inlineStr">
        <is>
          <t>G3 Before confirmatory study</t>
        </is>
      </c>
      <c r="J105" s="6" t="inlineStr">
        <is>
          <t>Normal</t>
        </is>
      </c>
      <c r="K105" s="6" t="n">
        <v>135</v>
      </c>
      <c r="L105" s="6" t="inlineStr">
        <is>
          <t>W2 Desk work (no model runs)</t>
        </is>
      </c>
      <c r="M105" s="6" t="inlineStr">
        <is>
          <t>S15</t>
        </is>
      </c>
      <c r="N105" s="6" t="inlineStr">
        <is>
          <t>Lead + fresh reviewer</t>
        </is>
      </c>
      <c r="O105" s="6" t="inlineStr">
        <is>
          <t>Lead drafts the fix; you approve</t>
        </is>
      </c>
      <c r="P105" s="6" t="inlineStr">
        <is>
          <t>Partly</t>
        </is>
      </c>
      <c r="Q105" s="6" t="inlineStr">
        <is>
          <t>Record fix</t>
        </is>
      </c>
      <c r="R105" s="6" t="inlineStr">
        <is>
          <t>Item</t>
        </is>
      </c>
      <c r="S105" s="6" t="inlineStr"/>
      <c r="T105" s="6" t="inlineStr">
        <is>
          <t>v3 challenge residuals: D4 arm/multiplicity, substitute reference, trigger timing, outcome-split accounting, fair baseline, no-miss searches.</t>
        </is>
      </c>
      <c r="U105" s="6" t="inlineStr">
        <is>
          <t>v4 corrected the text; 11 of 13 v4 challenges closed; the last edits were not re-verified by the challenger; figures never rendered.</t>
        </is>
      </c>
      <c r="V105" s="6" t="inlineStr">
        <is>
          <t>Last edits re-checked independently; figures rendered; data residuals tied to their tests.</t>
        </is>
      </c>
      <c r="W105" s="6" t="inlineStr">
        <is>
          <t>C-D08</t>
        </is>
      </c>
      <c r="X105" s="6" t="inlineStr">
        <is>
          <t>C-S14</t>
        </is>
      </c>
      <c r="Y105" s="6" t="inlineStr"/>
      <c r="Z105" s="6" t="inlineStr">
        <is>
          <t>DESK-ANALYSIS, TEST-PILOT</t>
        </is>
      </c>
      <c r="AA105" s="6" t="inlineStr">
        <is>
          <t>K5 Evaluation contract</t>
        </is>
      </c>
      <c r="AB105" s="6" t="inlineStr">
        <is>
          <t>DATA+DEC+RECORD</t>
        </is>
      </c>
      <c r="AC105" s="6" t="inlineStr">
        <is>
          <t>PARTLY ANSWERED - OPEN</t>
        </is>
      </c>
      <c r="AD105" s="6" t="inlineStr">
        <is>
          <t>RE-CHARACTERISED</t>
        </is>
      </c>
      <c r="AE105" s="6" t="inlineStr">
        <is>
          <t>2026-10-19</t>
        </is>
      </c>
      <c r="AF105" s="6" t="inlineStr">
        <is>
          <t>v4-03 sections 5-6; CH-0045..0057; RV-0005</t>
        </is>
      </c>
      <c r="AG105" s="6" t="inlineStr"/>
      <c r="AH105" s="6" t="inlineStr">
        <is>
          <t>No</t>
        </is>
      </c>
      <c r="AI105" s="6" t="inlineStr"/>
      <c r="AJ105" s="6" t="inlineStr">
        <is>
          <t>SRC-11 canonical</t>
        </is>
      </c>
      <c r="AK105" s="6" t="inlineStr">
        <is>
          <t>SRC-06 C01-C06, v4-03 residuals</t>
        </is>
      </c>
      <c r="AL105" s="6" t="inlineStr">
        <is>
          <t>S09</t>
        </is>
      </c>
    </row>
    <row r="106" ht="278" customHeight="1">
      <c r="A106" s="5" t="inlineStr">
        <is>
          <t>C-R01/FIG2</t>
        </is>
      </c>
      <c r="B106" s="6" t="inlineStr">
        <is>
          <t>Figure 2 has no path to the outcome for a Regime B run with no declared margin</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G1 Before any implementation</t>
        </is>
      </c>
      <c r="J106" s="6" t="inlineStr">
        <is>
          <t>High</t>
        </is>
      </c>
      <c r="K106" s="6" t="n">
        <v>136</v>
      </c>
      <c r="L106" s="6" t="inlineStr">
        <is>
          <t>W2 Desk work (no model runs)</t>
        </is>
      </c>
      <c r="M106" s="6" t="inlineStr">
        <is>
          <t>S15</t>
        </is>
      </c>
      <c r="N106" s="6" t="inlineStr">
        <is>
          <t>Lead drafts, you approve</t>
        </is>
      </c>
      <c r="O106" s="6" t="inlineStr">
        <is>
          <t>You render the block in VS Code and approve or correct it; your approval (in your words) closes this row</t>
        </is>
      </c>
      <c r="P106" s="6" t="inlineStr">
        <is>
          <t>Answered (see basis)</t>
        </is>
      </c>
      <c r="Q106" s="6" t="inlineStr">
        <is>
          <t>Record fix</t>
        </is>
      </c>
      <c r="R106" s="6" t="inlineStr">
        <is>
          <t>Sub-item</t>
        </is>
      </c>
      <c r="S106" s="6" t="inlineStr">
        <is>
          <t>C-R01/V4RES</t>
        </is>
      </c>
      <c r="T106"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6"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106" s="6" t="inlineStr">
        <is>
          <t>Figure 2 (and the brief's copy, if any) has a path to O for every regime and outcome, re-read by a reviewer.</t>
        </is>
      </c>
      <c r="W106" s="6" t="inlineStr"/>
      <c r="X106" s="6" t="inlineStr"/>
      <c r="Y106" s="6" t="inlineStr"/>
      <c r="Z106" s="6" t="inlineStr"/>
      <c r="AA106" s="6" t="inlineStr"/>
      <c r="AB106" s="6" t="inlineStr">
        <is>
          <t>RECORD+DEC</t>
        </is>
      </c>
      <c r="AC106" s="6" t="inlineStr">
        <is>
          <t>n/a (sub-item)</t>
        </is>
      </c>
      <c r="AD106" s="6" t="inlineStr">
        <is>
          <t>NEW (repo sweep)</t>
        </is>
      </c>
      <c r="AE106" s="6" t="inlineStr">
        <is>
          <t>2026-10-20</t>
        </is>
      </c>
      <c r="AF106" s="6" t="inlineStr">
        <is>
          <t>design/package-v4/06-corrections-proposed.md section 1; reviews/RV-0011.md</t>
        </is>
      </c>
      <c r="AG106" s="6" t="inlineStr"/>
      <c r="AH106" s="6" t="inlineStr">
        <is>
          <t>No (editing needs the human's approval)</t>
        </is>
      </c>
      <c r="AI106" s="6" t="inlineStr"/>
      <c r="AJ106" s="6" t="inlineStr">
        <is>
          <t>RV-0009 (Reviewer 6b1), confirmed by the lead</t>
        </is>
      </c>
      <c r="AK106" s="6" t="inlineStr"/>
      <c r="AL106" s="6" t="inlineStr">
        <is>
          <t>S15</t>
        </is>
      </c>
    </row>
    <row r="107" ht="165.5" customHeight="1">
      <c r="A107" s="5" t="inlineStr">
        <is>
          <t>C-R01/FIG2-POINTS</t>
        </is>
      </c>
      <c r="B107" s="6" t="inlineStr">
        <is>
          <t>Four design points the Figure 2 check left unresolved: expose-all in the feasible set, option (b), Regime B decision rule, the regime-size loop</t>
        </is>
      </c>
      <c r="C107" s="6" t="inlineStr">
        <is>
          <t>OPEN</t>
        </is>
      </c>
      <c r="D107" s="6">
        <f>IFERROR(INDEX(Lists!$B$2:$B$14,MATCH(C107,Lists!$A$2:$A$14,0)),"?")</f>
        <v/>
      </c>
      <c r="E107" s="6">
        <f>IF(COUNTIFS(Links!$B$2:$B$600,A107,Links!$E$2:$E$600,"Yes")&gt;0,"REVISE","")</f>
        <v/>
      </c>
      <c r="F107" s="6">
        <f>COUNTIFS(Links!$B$2:$B$600,A107,Links!$D$2:$D$600,"No",Links!$C$2:$C$600,"&lt;&gt;INFORMS")</f>
        <v/>
      </c>
      <c r="G107" s="9" t="inlineStr">
        <is>
          <t>USER-DECISION</t>
        </is>
      </c>
      <c r="H107" s="6" t="inlineStr">
        <is>
          <t>K17 Record repair &amp; procedure error</t>
        </is>
      </c>
      <c r="I107" s="6" t="inlineStr">
        <is>
          <t>G1 Before any implementation</t>
        </is>
      </c>
      <c r="J107" s="6" t="inlineStr">
        <is>
          <t>Normal</t>
        </is>
      </c>
      <c r="K107" s="6" t="n">
        <v>137</v>
      </c>
      <c r="L107" s="6" t="inlineStr">
        <is>
          <t>W2 Desk work (no model runs)</t>
        </is>
      </c>
      <c r="M107" s="6" t="inlineStr">
        <is>
          <t>S15</t>
        </is>
      </c>
      <c r="N107" s="6" t="inlineStr">
        <is>
          <t>You (or Joaa)</t>
        </is>
      </c>
      <c r="O107" s="6" t="inlineStr">
        <is>
          <t>You or Joaa decide the four points, or say they stay open</t>
        </is>
      </c>
      <c r="P107" s="6" t="inlineStr">
        <is>
          <t>Partly</t>
        </is>
      </c>
      <c r="Q107" s="6" t="inlineStr">
        <is>
          <t>Decision</t>
        </is>
      </c>
      <c r="R107" s="6" t="inlineStr">
        <is>
          <t>Sub-item</t>
        </is>
      </c>
      <c r="S107" s="6" t="inlineStr">
        <is>
          <t>C-R01/FIG2</t>
        </is>
      </c>
      <c r="T107"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107" s="6" t="inlineStr">
        <is>
          <t>Found by a fresh reviewer on 2026-10-20; the sources do not settle (a) to (c); (d) is unchanged from the earlier figure. The drafted replacement draws exits the sources support and says in its text that these four points are open.</t>
        </is>
      </c>
      <c r="V107" s="6" t="inlineStr">
        <is>
          <t>Each point decided in the human's or the supervisor's words, or recorded as open.</t>
        </is>
      </c>
      <c r="W107" s="6" t="inlineStr"/>
      <c r="X107" s="6" t="inlineStr"/>
      <c r="Y107" s="6" t="inlineStr"/>
      <c r="Z107" s="6" t="inlineStr"/>
      <c r="AA107" s="6" t="inlineStr"/>
      <c r="AB107" s="6" t="inlineStr">
        <is>
          <t>RECORD+DEC</t>
        </is>
      </c>
      <c r="AC107" s="6" t="inlineStr">
        <is>
          <t>n/a (sub-item)</t>
        </is>
      </c>
      <c r="AD107" s="6" t="inlineStr">
        <is>
          <t>NEW (repo sweep)</t>
        </is>
      </c>
      <c r="AE107" s="6" t="inlineStr">
        <is>
          <t>2026-10-20</t>
        </is>
      </c>
      <c r="AF107" s="6" t="inlineStr">
        <is>
          <t>reviews/RV-0011.md (1c, 1b, 1e); design/package-v4/06-corrections-proposed.md section 1</t>
        </is>
      </c>
      <c r="AG107" s="6" t="inlineStr"/>
      <c r="AH107" s="6" t="inlineStr">
        <is>
          <t>No</t>
        </is>
      </c>
      <c r="AI107" s="6" t="inlineStr"/>
      <c r="AJ107" s="6" t="inlineStr">
        <is>
          <t>RV-0011 (batch 11)</t>
        </is>
      </c>
      <c r="AK107" s="6" t="inlineStr"/>
      <c r="AL107" s="6" t="inlineStr">
        <is>
          <t>S15</t>
        </is>
      </c>
    </row>
    <row r="108" ht="203" customHeight="1">
      <c r="A108" s="5" t="inlineStr">
        <is>
          <t>C-R01/R1TRIG</t>
        </is>
      </c>
      <c r="B108" s="6" t="inlineStr">
        <is>
          <t>A trigger can re-fire on every finish proposal when the budget is exhausted</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G2 Before the affected pilot/arm</t>
        </is>
      </c>
      <c r="J108" s="6" t="inlineStr">
        <is>
          <t>Normal</t>
        </is>
      </c>
      <c r="K108" s="6" t="n">
        <v>138</v>
      </c>
      <c r="L108" s="6" t="inlineStr">
        <is>
          <t>W2 Desk work (no model runs)</t>
        </is>
      </c>
      <c r="M108" s="6" t="inlineStr">
        <is>
          <t>S15</t>
        </is>
      </c>
      <c r="N108" s="6" t="inlineStr">
        <is>
          <t>Lead drafts, you approve</t>
        </is>
      </c>
      <c r="O108" s="6" t="inlineStr">
        <is>
          <t>You or Joaa choose (a), (b) or (c)</t>
        </is>
      </c>
      <c r="P108" s="6" t="inlineStr">
        <is>
          <t>Answered (see basis)</t>
        </is>
      </c>
      <c r="Q108" s="6" t="inlineStr">
        <is>
          <t>Record fix</t>
        </is>
      </c>
      <c r="R108" s="6" t="inlineStr">
        <is>
          <t>Sub-item</t>
        </is>
      </c>
      <c r="S108" s="6" t="inlineStr">
        <is>
          <t>C-R01/V4RES</t>
        </is>
      </c>
      <c r="T108" s="6" t="inlineStr">
        <is>
          <t>RV-0009 R1 residual: P3/P3f 'yes' still goes to B and B 'no' still returns 'unavailable' to A (02 lines 24, 28, 33), so a trigger can fire on every finish proposal until the call limit; neither 02 nor 03 says what happens when the budget is exhausted.</t>
        </is>
      </c>
      <c r="U108"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108" s="6" t="inlineStr">
        <is>
          <t>The protocol states what the trigger does after the call limit is reached.</t>
        </is>
      </c>
      <c r="W108" s="6" t="inlineStr"/>
      <c r="X108" s="6" t="inlineStr"/>
      <c r="Y108" s="6" t="inlineStr"/>
      <c r="Z108" s="6" t="inlineStr"/>
      <c r="AA108" s="6" t="inlineStr"/>
      <c r="AB108" s="6" t="inlineStr">
        <is>
          <t>RECORD+DEC</t>
        </is>
      </c>
      <c r="AC108" s="6" t="inlineStr">
        <is>
          <t>n/a (sub-item)</t>
        </is>
      </c>
      <c r="AD108" s="6" t="inlineStr">
        <is>
          <t>NEW (repo sweep)</t>
        </is>
      </c>
      <c r="AE108" s="6" t="inlineStr">
        <is>
          <t>2026-10-20</t>
        </is>
      </c>
      <c r="AF108" s="6" t="inlineStr">
        <is>
          <t>design/package-v4/06-corrections-proposed.md section 2; reviews/RV-0012.md</t>
        </is>
      </c>
      <c r="AG108" s="6" t="inlineStr"/>
      <c r="AH108" s="6" t="inlineStr">
        <is>
          <t>No (editing needs the human's approval)</t>
        </is>
      </c>
      <c r="AI108" s="6" t="inlineStr"/>
      <c r="AJ108" s="6" t="inlineStr">
        <is>
          <t>RV-0009 (Reviewer 6b1)</t>
        </is>
      </c>
      <c r="AK108" s="6" t="inlineStr"/>
      <c r="AL108" s="6" t="inlineStr">
        <is>
          <t>S15</t>
        </is>
      </c>
    </row>
    <row r="109" ht="300" customHeight="1">
      <c r="A109" s="5" t="inlineStr">
        <is>
          <t>C-R01/RENDER</t>
        </is>
      </c>
      <c r="B109" s="6" t="inlineStr">
        <is>
          <t>Mermaid figures were never rendered</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G4 Before claims</t>
        </is>
      </c>
      <c r="J109" s="6" t="inlineStr">
        <is>
          <t>Normal</t>
        </is>
      </c>
      <c r="K109" s="6" t="n">
        <v>139</v>
      </c>
      <c r="L109" s="6" t="inlineStr">
        <is>
          <t>W2 Desk work (no model runs)</t>
        </is>
      </c>
      <c r="M109" s="6" t="inlineStr">
        <is>
          <t>S15</t>
        </is>
      </c>
      <c r="N109" s="6" t="inlineStr">
        <is>
          <t>You (render in VS Code); lead (concept check)</t>
        </is>
      </c>
      <c r="O109" s="6" t="inlineStr">
        <is>
          <t>Lead fixes the concept defects in the successor note; you render the figures in VS Code and report anything that looks wrong</t>
        </is>
      </c>
      <c r="P109" s="6" t="inlineStr">
        <is>
          <t>No</t>
        </is>
      </c>
      <c r="Q109" s="6" t="inlineStr">
        <is>
          <t>Record fix</t>
        </is>
      </c>
      <c r="R109" s="6" t="inlineStr">
        <is>
          <t>Sub-item</t>
        </is>
      </c>
      <c r="S109" s="6" t="inlineStr">
        <is>
          <t>C-R01</t>
        </is>
      </c>
      <c r="T109" s="6" t="inlineStr">
        <is>
          <t>No renderer was installed; Figure 1 and 2 syntax is unverified.</t>
        </is>
      </c>
      <c r="U109"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09" s="6" t="inlineStr">
        <is>
          <t>Checked and corrected or labelled unverifiable: labelled unverifiable; your acceptance pending.</t>
        </is>
      </c>
      <c r="W109" s="6" t="inlineStr"/>
      <c r="X109" s="6" t="inlineStr"/>
      <c r="Y109" s="6" t="inlineStr"/>
      <c r="Z109" s="6" t="inlineStr"/>
      <c r="AA109" s="6" t="inlineStr"/>
      <c r="AB109" s="6" t="inlineStr">
        <is>
          <t>RECORD+SOURCE</t>
        </is>
      </c>
      <c r="AC109" s="6" t="inlineStr">
        <is>
          <t>n/a (sub-item)</t>
        </is>
      </c>
      <c r="AD109" s="6" t="inlineStr">
        <is>
          <t>NEW (repo sweep)</t>
        </is>
      </c>
      <c r="AE109" s="6" t="inlineStr">
        <is>
          <t>2026-10-20</t>
        </is>
      </c>
      <c r="AF109" s="6" t="inlineStr">
        <is>
          <t>chat message of 2026-10-20; RV-0009</t>
        </is>
      </c>
      <c r="AG109" s="6" t="inlineStr"/>
      <c r="AH109" s="6" t="inlineStr">
        <is>
          <t>No</t>
        </is>
      </c>
      <c r="AI109" s="6" t="inlineStr">
        <is>
          <t>Rendering unverified; to be accepted as a stated limitation or checked by the human in any Mermaid viewer.</t>
        </is>
      </c>
      <c r="AJ109" s="6" t="inlineStr">
        <is>
          <t>repo: v4-03 section 6 / RV-0005 / RV-0007</t>
        </is>
      </c>
      <c r="AK109" s="6" t="inlineStr"/>
      <c r="AL109" s="6" t="inlineStr">
        <is>
          <t>S15</t>
        </is>
      </c>
    </row>
    <row r="110" ht="165.5" customHeight="1">
      <c r="A110" s="5" t="inlineStr">
        <is>
          <t>C-R01/V4-03-STALE</t>
        </is>
      </c>
      <c r="B110" s="6" t="inlineStr">
        <is>
          <t>Stale wording in v4 03 that conflicts with the corrected stage-inclusion rule</t>
        </is>
      </c>
      <c r="C110" s="6" t="inlineStr">
        <is>
          <t>PARTLY ANSWERED</t>
        </is>
      </c>
      <c r="D110" s="6">
        <f>IFERROR(INDEX(Lists!$B$2:$B$14,MATCH(C110,Lists!$A$2:$A$14,0)),"?")</f>
        <v/>
      </c>
      <c r="E110" s="6">
        <f>IF(COUNTIFS(Links!$B$2:$B$600,A110,Links!$E$2:$E$600,"Yes")&gt;0,"REVISE","")</f>
        <v/>
      </c>
      <c r="F110" s="6">
        <f>COUNTIFS(Links!$B$2:$B$600,A110,Links!$D$2:$D$600,"No",Links!$C$2:$C$600,"&lt;&gt;INFORMS")</f>
        <v/>
      </c>
      <c r="G110" s="8" t="inlineStr">
        <is>
          <t>RECORDS-AT-HAND</t>
        </is>
      </c>
      <c r="H110" s="6" t="inlineStr">
        <is>
          <t>K17 Record repair &amp; procedure error</t>
        </is>
      </c>
      <c r="I110" s="6" t="inlineStr">
        <is>
          <t>G4 Before claims</t>
        </is>
      </c>
      <c r="J110" s="6" t="inlineStr">
        <is>
          <t>Normal</t>
        </is>
      </c>
      <c r="K110" s="6" t="n">
        <v>140</v>
      </c>
      <c r="L110" s="6" t="inlineStr">
        <is>
          <t>W2 Desk work (no model runs)</t>
        </is>
      </c>
      <c r="M110" s="6" t="inlineStr">
        <is>
          <t>S15</t>
        </is>
      </c>
      <c r="N110" s="6" t="inlineStr">
        <is>
          <t>Lead drafts, you approve</t>
        </is>
      </c>
      <c r="O110" s="6" t="inlineStr">
        <is>
          <t>You approve the replacement sentences</t>
        </is>
      </c>
      <c r="P110" s="6" t="inlineStr">
        <is>
          <t>Answered (see basis)</t>
        </is>
      </c>
      <c r="Q110" s="6" t="inlineStr">
        <is>
          <t>Record fix</t>
        </is>
      </c>
      <c r="R110" s="6" t="inlineStr">
        <is>
          <t>Sub-item</t>
        </is>
      </c>
      <c r="S110" s="6" t="inlineStr">
        <is>
          <t>C-R01/V4RES</t>
        </is>
      </c>
      <c r="T110"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10"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110" s="6" t="inlineStr">
        <is>
          <t>03 states the same stage-inclusion rule as 02, or a successor note records the difference.</t>
        </is>
      </c>
      <c r="W110" s="6" t="inlineStr"/>
      <c r="X110" s="6" t="inlineStr"/>
      <c r="Y110" s="6" t="inlineStr"/>
      <c r="Z110" s="6" t="inlineStr"/>
      <c r="AA110" s="6" t="inlineStr"/>
      <c r="AB110" s="6" t="inlineStr">
        <is>
          <t>RECORD+DEC</t>
        </is>
      </c>
      <c r="AC110" s="6" t="inlineStr">
        <is>
          <t>n/a (sub-item)</t>
        </is>
      </c>
      <c r="AD110" s="6" t="inlineStr">
        <is>
          <t>NEW (repo sweep)</t>
        </is>
      </c>
      <c r="AE110" s="6" t="inlineStr">
        <is>
          <t>2026-10-20</t>
        </is>
      </c>
      <c r="AF110" s="6" t="inlineStr">
        <is>
          <t>design/package-v4/06-corrections-proposed.md section 3 rows 3.1-3.4; reviews/RV-0012.md</t>
        </is>
      </c>
      <c r="AG110" s="6" t="inlineStr"/>
      <c r="AH110" s="6" t="inlineStr">
        <is>
          <t>No (editing needs the human's approval)</t>
        </is>
      </c>
      <c r="AI110" s="6" t="inlineStr"/>
      <c r="AJ110" s="6" t="inlineStr">
        <is>
          <t>RV-0009 (Reviewer 6b1)</t>
        </is>
      </c>
      <c r="AK110" s="6" t="inlineStr"/>
      <c r="AL110" s="6" t="inlineStr">
        <is>
          <t>S15</t>
        </is>
      </c>
    </row>
    <row r="111" ht="128" customHeight="1">
      <c r="A111" s="5" t="inlineStr">
        <is>
          <t>C-R03</t>
        </is>
      </c>
      <c r="B111" s="6" t="inlineStr">
        <is>
          <t>v3 artefacts not independently verified: simulation not rerun, single challenger, summaries unverified, par...</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G4 Before claims</t>
        </is>
      </c>
      <c r="J111" s="6" t="inlineStr">
        <is>
          <t>Normal</t>
        </is>
      </c>
      <c r="K111" s="6" t="n">
        <v>142</v>
      </c>
      <c r="L111" s="6" t="inlineStr">
        <is>
          <t>W2 Desk work (no model runs)</t>
        </is>
      </c>
      <c r="M111" s="6" t="inlineStr">
        <is>
          <t>S15</t>
        </is>
      </c>
      <c r="N111" s="6" t="inlineStr">
        <is>
          <t>Lead + fresh reviewer</t>
        </is>
      </c>
      <c r="O111" s="6" t="inlineStr">
        <is>
          <t>Rerun the simulation if its outputs are quoted (see C-R03/C20)</t>
        </is>
      </c>
      <c r="P111" s="6" t="inlineStr">
        <is>
          <t>Partly</t>
        </is>
      </c>
      <c r="Q111" s="6" t="inlineStr">
        <is>
          <t>Record fix</t>
        </is>
      </c>
      <c r="R111" s="6" t="inlineStr">
        <is>
          <t>Item</t>
        </is>
      </c>
      <c r="S111" s="6" t="inlineStr"/>
      <c r="T111" s="6" t="inlineStr">
        <is>
          <t>v3 artefacts not independently verified: simulation not rerun, single challenger, summaries unverified, partly supported pivotal passages.</t>
        </is>
      </c>
      <c r="U111"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11" s="6" t="inlineStr">
        <is>
          <t>Each artifact verified or labelled; stale counts fixed.</t>
        </is>
      </c>
      <c r="W111" s="6" t="inlineStr"/>
      <c r="X111" s="6" t="inlineStr"/>
      <c r="Y111" s="6" t="inlineStr"/>
      <c r="Z111" s="6" t="inlineStr">
        <is>
          <t>DESK-ANALYSIS, SOURCE-REREAD</t>
        </is>
      </c>
      <c r="AA111" s="6" t="inlineStr">
        <is>
          <t>K14 Source &amp; vendor verification</t>
        </is>
      </c>
      <c r="AB111" s="6" t="inlineStr">
        <is>
          <t>RECORD+SOURCE+DATA</t>
        </is>
      </c>
      <c r="AC111" s="6" t="inlineStr">
        <is>
          <t>OPEN</t>
        </is>
      </c>
      <c r="AD111" s="6" t="inlineStr">
        <is>
          <t>UNCHANGED</t>
        </is>
      </c>
      <c r="AE111" s="6" t="inlineStr">
        <is>
          <t>2026-10-19</t>
        </is>
      </c>
      <c r="AF111" s="6" t="inlineStr">
        <is>
          <t>RV-0008 (reviews/RV-0008.md), thread T-20261019-104; RV-0009 (reviews/RV-0009.md), thread T-20261019-104; RV-0010 (reviews/RV-0010.md), thread T-20261019-104</t>
        </is>
      </c>
      <c r="AG111" s="6" t="inlineStr"/>
      <c r="AH111" s="6" t="inlineStr">
        <is>
          <t>No</t>
        </is>
      </c>
      <c r="AI111" s="6" t="inlineStr"/>
      <c r="AJ111" s="6" t="inlineStr">
        <is>
          <t>SRC-11 canonical</t>
        </is>
      </c>
      <c r="AK111" s="6" t="inlineStr">
        <is>
          <t>SRC-06 C20-C27</t>
        </is>
      </c>
      <c r="AL111" s="6" t="inlineStr">
        <is>
          <t>S15</t>
        </is>
      </c>
    </row>
    <row r="112" ht="28" customHeight="1">
      <c r="A112" s="5" t="inlineStr">
        <is>
          <t>C-R03/C20</t>
        </is>
      </c>
      <c r="B112" s="6" t="inlineStr">
        <is>
          <t>No computational rerun of the simulation/limits</t>
        </is>
      </c>
      <c r="C112" s="6" t="inlineStr">
        <is>
          <t>OPEN</t>
        </is>
      </c>
      <c r="D112" s="6">
        <f>IFERROR(INDEX(Lists!$B$2:$B$14,MATCH(C112,Lists!$A$2:$A$14,0)),"?")</f>
        <v/>
      </c>
      <c r="E112" s="6">
        <f>IF(COUNTIFS(Links!$B$2:$B$600,A112,Links!$E$2:$E$600,"Yes")&gt;0,"REVISE","")</f>
        <v/>
      </c>
      <c r="F112" s="6">
        <f>COUNTIFS(Links!$B$2:$B$600,A112,Links!$D$2:$D$600,"No",Links!$C$2:$C$600,"&lt;&gt;INFORMS")</f>
        <v/>
      </c>
      <c r="G112" s="13" t="inlineStr">
        <is>
          <t>DESK-ANALYSIS</t>
        </is>
      </c>
      <c r="H112" s="6" t="inlineStr">
        <is>
          <t>K17 Record repair &amp; procedure error</t>
        </is>
      </c>
      <c r="I112" s="6" t="inlineStr">
        <is>
          <t>G4 Before claims</t>
        </is>
      </c>
      <c r="J112" s="6" t="inlineStr">
        <is>
          <t>Normal</t>
        </is>
      </c>
      <c r="K112" s="6" t="n">
        <v>143</v>
      </c>
      <c r="L112" s="6" t="inlineStr">
        <is>
          <t>W2 Desk work (no model runs)</t>
        </is>
      </c>
      <c r="M112" s="6" t="inlineStr">
        <is>
          <t>S15</t>
        </is>
      </c>
      <c r="N112" s="6" t="inlineStr">
        <is>
          <t>Lead + fresh reviewer</t>
        </is>
      </c>
      <c r="O112" s="6" t="inlineStr">
        <is>
          <t>Lead computes or writes it (no model runs)</t>
        </is>
      </c>
      <c r="P112" s="6" t="inlineStr">
        <is>
          <t>No</t>
        </is>
      </c>
      <c r="Q112" s="6" t="inlineStr">
        <is>
          <t>Scientific unknown</t>
        </is>
      </c>
      <c r="R112" s="6" t="inlineStr">
        <is>
          <t>Sub-item</t>
        </is>
      </c>
      <c r="S112" s="6" t="inlineStr">
        <is>
          <t>C-R03</t>
        </is>
      </c>
      <c r="T112" s="6" t="inlineStr">
        <is>
          <t>SRC-06 C20: the v3 greedy-core simulation and limits were not computationally re-run.</t>
        </is>
      </c>
      <c r="U112" s="6" t="inlineStr">
        <is>
          <t>Not rerun in the repo.</t>
        </is>
      </c>
      <c r="V112" s="6" t="inlineStr">
        <is>
          <t>Simulation rerun and results compared.</t>
        </is>
      </c>
      <c r="W112" s="6" t="inlineStr"/>
      <c r="X112" s="6" t="inlineStr"/>
      <c r="Y112" s="6" t="inlineStr"/>
      <c r="Z112" s="6" t="inlineStr"/>
      <c r="AA112" s="6" t="inlineStr"/>
      <c r="AB112" s="6" t="inlineStr">
        <is>
          <t>RECORD+DATA</t>
        </is>
      </c>
      <c r="AC112" s="6" t="inlineStr">
        <is>
          <t>n/a (sub-item)</t>
        </is>
      </c>
      <c r="AD112" s="6" t="inlineStr">
        <is>
          <t>NEW (SRC-11 sub-row)</t>
        </is>
      </c>
      <c r="AE112" s="6" t="inlineStr">
        <is>
          <t>2026-10-19</t>
        </is>
      </c>
      <c r="AF112" s="6" t="inlineStr">
        <is>
          <t>v4-03 section 3 ('not re-derived')</t>
        </is>
      </c>
      <c r="AG112" s="6" t="inlineStr"/>
      <c r="AH112" s="6" t="inlineStr">
        <is>
          <t>No</t>
        </is>
      </c>
      <c r="AI112" s="6" t="inlineStr"/>
      <c r="AJ112" s="6" t="inlineStr">
        <is>
          <t>SRC-11 section D4</t>
        </is>
      </c>
      <c r="AK112" s="6" t="inlineStr">
        <is>
          <t>SRC-06 C20</t>
        </is>
      </c>
      <c r="AL112" s="6" t="inlineStr">
        <is>
          <t>S15</t>
        </is>
      </c>
    </row>
    <row r="113" ht="28" customHeight="1">
      <c r="A113" s="5" t="inlineStr">
        <is>
          <t>C-R03/C21</t>
        </is>
      </c>
      <c r="B113" s="6" t="inlineStr">
        <is>
          <t>Only one challenger</t>
        </is>
      </c>
      <c r="C113" s="6" t="inlineStr">
        <is>
          <t>OPEN</t>
        </is>
      </c>
      <c r="D113" s="6">
        <f>IFERROR(INDEX(Lists!$B$2:$B$14,MATCH(C113,Lists!$A$2:$A$14,0)),"?")</f>
        <v/>
      </c>
      <c r="E113" s="6">
        <f>IF(COUNTIFS(Links!$B$2:$B$600,A113,Links!$E$2:$E$600,"Yes")&gt;0,"REVISE","")</f>
        <v/>
      </c>
      <c r="F113" s="6">
        <f>COUNTIFS(Links!$B$2:$B$600,A113,Links!$D$2:$D$600,"No",Links!$C$2:$C$600,"&lt;&gt;INFORMS")</f>
        <v/>
      </c>
      <c r="G113" s="12" t="inlineStr">
        <is>
          <t>ACCEPT-LIMITATION</t>
        </is>
      </c>
      <c r="H113" s="6" t="inlineStr">
        <is>
          <t>K17 Record repair &amp; procedure error</t>
        </is>
      </c>
      <c r="I113" s="6" t="inlineStr">
        <is>
          <t>G4 Before claims</t>
        </is>
      </c>
      <c r="J113" s="6" t="inlineStr">
        <is>
          <t>Normal</t>
        </is>
      </c>
      <c r="K113" s="6" t="n">
        <v>144</v>
      </c>
      <c r="L113" s="6" t="inlineStr">
        <is>
          <t>W2 Desk work (no model runs)</t>
        </is>
      </c>
      <c r="M113" s="6" t="inlineStr">
        <is>
          <t>S15</t>
        </is>
      </c>
      <c r="N113" s="6" t="inlineStr">
        <is>
          <t>Lead + fresh reviewer</t>
        </is>
      </c>
      <c r="O113" s="6" t="inlineStr">
        <is>
          <t>You accept or reject the limit (Q-U20)</t>
        </is>
      </c>
      <c r="P113" s="6" t="inlineStr">
        <is>
          <t>Partly</t>
        </is>
      </c>
      <c r="Q113" s="6" t="inlineStr">
        <is>
          <t>Limitation</t>
        </is>
      </c>
      <c r="R113" s="6" t="inlineStr">
        <is>
          <t>Sub-item</t>
        </is>
      </c>
      <c r="S113" s="6" t="inlineStr">
        <is>
          <t>C-R03</t>
        </is>
      </c>
      <c r="T113" s="6" t="inlineStr">
        <is>
          <t>SRC-06 C21: only one challenger reviewed v3.</t>
        </is>
      </c>
      <c r="U113" s="6" t="inlineStr">
        <is>
          <t>Same model family on every review.</t>
        </is>
      </c>
      <c r="V113" s="6" t="inlineStr">
        <is>
          <t>Limitation stated, or a different-provider review.</t>
        </is>
      </c>
      <c r="W113" s="6" t="inlineStr"/>
      <c r="X113" s="6" t="inlineStr"/>
      <c r="Y113" s="6" t="inlineStr">
        <is>
          <t>Q-U20</t>
        </is>
      </c>
      <c r="Z113" s="6" t="inlineStr"/>
      <c r="AA113" s="6" t="inlineStr"/>
      <c r="AB113" s="6" t="inlineStr">
        <is>
          <t>RECORD+DATA</t>
        </is>
      </c>
      <c r="AC113" s="6" t="inlineStr">
        <is>
          <t>n/a (sub-item)</t>
        </is>
      </c>
      <c r="AD113" s="6" t="inlineStr">
        <is>
          <t>NEW (SRC-11 sub-row)</t>
        </is>
      </c>
      <c r="AE113" s="6" t="inlineStr">
        <is>
          <t>2026-10-19</t>
        </is>
      </c>
      <c r="AF113" s="6" t="inlineStr">
        <is>
          <t>v3-04 header; SAFEGUARDS row 12 (all Sonnet)</t>
        </is>
      </c>
      <c r="AG113" s="6" t="inlineStr"/>
      <c r="AH113" s="6" t="inlineStr">
        <is>
          <t>No</t>
        </is>
      </c>
      <c r="AI113" s="6" t="inlineStr"/>
      <c r="AJ113" s="6" t="inlineStr">
        <is>
          <t>SRC-11 section D4</t>
        </is>
      </c>
      <c r="AK113" s="6" t="inlineStr">
        <is>
          <t>SRC-06 C21</t>
        </is>
      </c>
      <c r="AL113" s="6" t="inlineStr">
        <is>
          <t>S15</t>
        </is>
      </c>
    </row>
    <row r="114" ht="28" customHeight="1">
      <c r="A114" s="5" t="inlineStr">
        <is>
          <t>C-R03/C22</t>
        </is>
      </c>
      <c r="B114" s="6" t="inlineStr">
        <is>
          <t>Uniform concessions rely on an incomplete steward</t>
        </is>
      </c>
      <c r="C114" s="6" t="inlineStr">
        <is>
          <t>OPEN</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G4 Before claims</t>
        </is>
      </c>
      <c r="J114" s="6" t="inlineStr">
        <is>
          <t>Normal</t>
        </is>
      </c>
      <c r="K114" s="6" t="n">
        <v>145</v>
      </c>
      <c r="L114" s="6" t="inlineStr">
        <is>
          <t>W2 Desk work (no model runs)</t>
        </is>
      </c>
      <c r="M114" s="6" t="inlineStr">
        <is>
          <t>S15</t>
        </is>
      </c>
      <c r="N114" s="6" t="inlineStr">
        <is>
          <t>Lead + fresh reviewer</t>
        </is>
      </c>
      <c r="O114" s="6" t="inlineStr">
        <is>
          <t>Lead drafts the fix; you approve</t>
        </is>
      </c>
      <c r="P114" s="6" t="inlineStr">
        <is>
          <t>Partly</t>
        </is>
      </c>
      <c r="Q114" s="6" t="inlineStr">
        <is>
          <t>Record fix</t>
        </is>
      </c>
      <c r="R114" s="6" t="inlineStr">
        <is>
          <t>Sub-item</t>
        </is>
      </c>
      <c r="S114" s="6" t="inlineStr">
        <is>
          <t>C-R03</t>
        </is>
      </c>
      <c r="T114" s="6" t="inlineStr">
        <is>
          <t>SRC-06 C22: uniform concessions in the AUTH-004 thread relied on an incomplete steward.</t>
        </is>
      </c>
      <c r="U114" s="6" t="inlineStr">
        <is>
          <t>Recorded caveat; no re-verification.</t>
        </is>
      </c>
      <c r="V114" s="6" t="inlineStr">
        <is>
          <t>Concessions re-checked against sources.</t>
        </is>
      </c>
      <c r="W114" s="6" t="inlineStr"/>
      <c r="X114" s="6" t="inlineStr"/>
      <c r="Y114" s="6" t="inlineStr"/>
      <c r="Z114" s="6" t="inlineStr"/>
      <c r="AA114" s="6" t="inlineStr"/>
      <c r="AB114" s="6" t="inlineStr">
        <is>
          <t>RECORD+DATA</t>
        </is>
      </c>
      <c r="AC114" s="6" t="inlineStr">
        <is>
          <t>n/a (sub-item)</t>
        </is>
      </c>
      <c r="AD114" s="6" t="inlineStr">
        <is>
          <t>NEW (SRC-11 sub-row)</t>
        </is>
      </c>
      <c r="AE114" s="6" t="inlineStr">
        <is>
          <t>2026-10-19</t>
        </is>
      </c>
      <c r="AF114" s="6" t="inlineStr">
        <is>
          <t>STATE (AUTH-004 caveats: steward incomplete, unverified map SUM-0002, cap 12 reached)</t>
        </is>
      </c>
      <c r="AG114" s="6" t="inlineStr"/>
      <c r="AH114" s="6" t="inlineStr">
        <is>
          <t>No</t>
        </is>
      </c>
      <c r="AI114" s="6" t="inlineStr"/>
      <c r="AJ114" s="6" t="inlineStr">
        <is>
          <t>SRC-11 section D4</t>
        </is>
      </c>
      <c r="AK114" s="6" t="inlineStr">
        <is>
          <t>SRC-06 C22</t>
        </is>
      </c>
      <c r="AL114" s="6" t="inlineStr">
        <is>
          <t>S15</t>
        </is>
      </c>
    </row>
    <row r="115" ht="278" customHeight="1">
      <c r="A115" s="5" t="inlineStr">
        <is>
          <t>C-R03/C23</t>
        </is>
      </c>
      <c r="B115" s="6" t="inlineStr">
        <is>
          <t>RV-0002 draft residues</t>
        </is>
      </c>
      <c r="C115" s="6" t="inlineStr">
        <is>
          <t>PARTLY ANSWERED</t>
        </is>
      </c>
      <c r="D115" s="6">
        <f>IFERROR(INDEX(Lists!$B$2:$B$14,MATCH(C115,Lists!$A$2:$A$14,0)),"?")</f>
        <v/>
      </c>
      <c r="E115" s="6">
        <f>IF(COUNTIFS(Links!$B$2:$B$600,A115,Links!$E$2:$E$600,"Yes")&gt;0,"REVISE","")</f>
        <v/>
      </c>
      <c r="F115" s="6">
        <f>COUNTIFS(Links!$B$2:$B$600,A115,Links!$D$2:$D$600,"No",Links!$C$2:$C$600,"&lt;&gt;INFORMS")</f>
        <v/>
      </c>
      <c r="G115" s="8" t="inlineStr">
        <is>
          <t>RECORDS-AT-HAND</t>
        </is>
      </c>
      <c r="H115" s="6" t="inlineStr">
        <is>
          <t>K17 Record repair &amp; procedure error</t>
        </is>
      </c>
      <c r="I115" s="6" t="inlineStr">
        <is>
          <t>G4 Before claims</t>
        </is>
      </c>
      <c r="J115" s="6" t="inlineStr">
        <is>
          <t>Normal</t>
        </is>
      </c>
      <c r="K115" s="6" t="n">
        <v>146</v>
      </c>
      <c r="L115" s="6" t="inlineStr">
        <is>
          <t>W2 Desk work (no model runs)</t>
        </is>
      </c>
      <c r="M115" s="6" t="inlineStr">
        <is>
          <t>S15</t>
        </is>
      </c>
      <c r="N115" s="6" t="inlineStr">
        <is>
          <t>Lead + fresh reviewer</t>
        </is>
      </c>
      <c r="O115" s="6" t="inlineStr">
        <is>
          <t>You decide whether the successor wording is recorded (a record edit) and whether the FitText 4.2 sentences in DPR-0001 / HYP-0006 are updated</t>
        </is>
      </c>
      <c r="P115" s="6" t="inlineStr">
        <is>
          <t>Partly</t>
        </is>
      </c>
      <c r="Q115" s="6" t="inlineStr">
        <is>
          <t>Record fix</t>
        </is>
      </c>
      <c r="R115" s="6" t="inlineStr">
        <is>
          <t>Sub-item</t>
        </is>
      </c>
      <c r="S115" s="6" t="inlineStr">
        <is>
          <t>C-R03</t>
        </is>
      </c>
      <c r="T115" s="6" t="inlineStr">
        <is>
          <t>SRC-06 C23: RV-0002 is a draft with residues.</t>
        </is>
      </c>
      <c r="U115"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15" s="6" t="inlineStr">
        <is>
          <t>RV-0002 finalised or marked superseded.</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RV-0010 (reviews/RV-0010.md), thread T-20261019-104</t>
        </is>
      </c>
      <c r="AG115" s="6" t="inlineStr"/>
      <c r="AH115" s="6" t="inlineStr">
        <is>
          <t>No</t>
        </is>
      </c>
      <c r="AI115" s="6" t="inlineStr"/>
      <c r="AJ115" s="6" t="inlineStr">
        <is>
          <t>SRC-11 section D4</t>
        </is>
      </c>
      <c r="AK115" s="6" t="inlineStr">
        <is>
          <t>SRC-06 C23</t>
        </is>
      </c>
      <c r="AL115" s="6" t="inlineStr">
        <is>
          <t>S15</t>
        </is>
      </c>
    </row>
    <row r="116" ht="115.5" customHeight="1">
      <c r="A116" s="5" t="inlineStr">
        <is>
          <t>C-R03/C24</t>
        </is>
      </c>
      <c r="B116" s="6" t="inlineStr">
        <is>
          <t>Propagation defects (agreed fixes not carried into operative text)</t>
        </is>
      </c>
      <c r="C116" s="6" t="inlineStr">
        <is>
          <t>PARTLY ANSWERED</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G4 Before claims</t>
        </is>
      </c>
      <c r="J116" s="6" t="inlineStr">
        <is>
          <t>Normal</t>
        </is>
      </c>
      <c r="K116" s="6" t="n">
        <v>147</v>
      </c>
      <c r="L116" s="6" t="inlineStr">
        <is>
          <t>W2 Desk work (no model runs)</t>
        </is>
      </c>
      <c r="M116" s="6" t="inlineStr">
        <is>
          <t>S15</t>
        </is>
      </c>
      <c r="N116" s="6" t="inlineStr">
        <is>
          <t>Lead + fresh reviewer</t>
        </is>
      </c>
      <c r="O116" s="6" t="inlineStr">
        <is>
          <t>Operative wording to be verified per record when the successor notes are drafted</t>
        </is>
      </c>
      <c r="P116" s="6" t="inlineStr">
        <is>
          <t>Partly</t>
        </is>
      </c>
      <c r="Q116" s="6" t="inlineStr">
        <is>
          <t>Record fix</t>
        </is>
      </c>
      <c r="R116" s="6" t="inlineStr">
        <is>
          <t>Sub-item</t>
        </is>
      </c>
      <c r="S116" s="6" t="inlineStr">
        <is>
          <t>C-R03</t>
        </is>
      </c>
      <c r="T116" s="6" t="inlineStr">
        <is>
          <t>SRC-06 C24: agreed fixes were not carried into the operative text of several records.</t>
        </is>
      </c>
      <c r="U116"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6" s="6" t="inlineStr">
        <is>
          <t>Operative wording verified per record.</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2026-10-19</t>
        </is>
      </c>
      <c r="AF116" s="6" t="inlineStr">
        <is>
          <t>RV-0008 (reviews/RV-0008.md), thread T-20261019-104; RV-0009 (reviews/RV-0009.md), thread T-20261019-104</t>
        </is>
      </c>
      <c r="AG116" s="6" t="inlineStr"/>
      <c r="AH116" s="6" t="inlineStr">
        <is>
          <t>No</t>
        </is>
      </c>
      <c r="AI116" s="6" t="inlineStr"/>
      <c r="AJ116" s="6" t="inlineStr">
        <is>
          <t>SRC-11 section D4</t>
        </is>
      </c>
      <c r="AK116" s="6" t="inlineStr">
        <is>
          <t>SRC-06 C24</t>
        </is>
      </c>
      <c r="AL116" s="6" t="inlineStr">
        <is>
          <t>S15</t>
        </is>
      </c>
    </row>
    <row r="117" ht="28" customHeight="1">
      <c r="A117" s="5" t="inlineStr">
        <is>
          <t>C-R03/C25</t>
        </is>
      </c>
      <c r="B117" s="6" t="inlineStr">
        <is>
          <t>Unverified SUM/FND summaries</t>
        </is>
      </c>
      <c r="C117" s="6" t="inlineStr">
        <is>
          <t>OPEN</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148</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Record fix</t>
        </is>
      </c>
      <c r="R117" s="6" t="inlineStr">
        <is>
          <t>Sub-item</t>
        </is>
      </c>
      <c r="S117" s="6" t="inlineStr">
        <is>
          <t>C-R03</t>
        </is>
      </c>
      <c r="T117" s="6" t="inlineStr">
        <is>
          <t>SRC-06 C25: SUM/FND summaries are unverified (front matter says unverified-until-human-checks).</t>
        </is>
      </c>
      <c r="U117" s="6" t="inlineStr">
        <is>
          <t>All steward summaries carry 'unverified'.</t>
        </is>
      </c>
      <c r="V117" s="6" t="inlineStr">
        <is>
          <t>A human or independent check per summary.</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findings/SUM-0003..0009 front matter</t>
        </is>
      </c>
      <c r="AG117" s="6" t="inlineStr"/>
      <c r="AH117" s="6" t="inlineStr">
        <is>
          <t>No</t>
        </is>
      </c>
      <c r="AI117" s="6" t="inlineStr"/>
      <c r="AJ117" s="6" t="inlineStr">
        <is>
          <t>SRC-11 section D4</t>
        </is>
      </c>
      <c r="AK117" s="6" t="inlineStr">
        <is>
          <t>SRC-06 C25</t>
        </is>
      </c>
      <c r="AL117" s="6" t="inlineStr">
        <is>
          <t>S15</t>
        </is>
      </c>
    </row>
    <row r="118" ht="40.5" customHeight="1">
      <c r="A118" s="5" t="inlineStr">
        <is>
          <t>C-R03/C26</t>
        </is>
      </c>
      <c r="B118" s="6" t="inlineStr">
        <is>
          <t>Cost algebra fit / unreviewed numerical slip</t>
        </is>
      </c>
      <c r="C118" s="6" t="inlineStr">
        <is>
          <t>PARTLY ANSWERED</t>
        </is>
      </c>
      <c r="D118" s="6">
        <f>IFERROR(INDEX(Lists!$B$2:$B$14,MATCH(C118,Lists!$A$2:$A$14,0)),"?")</f>
        <v/>
      </c>
      <c r="E118" s="6">
        <f>IF(COUNTIFS(Links!$B$2:$B$600,A118,Links!$E$2:$E$600,"Yes")&gt;0,"REVISE","")</f>
        <v/>
      </c>
      <c r="F118" s="6">
        <f>COUNTIFS(Links!$B$2:$B$600,A118,Links!$D$2:$D$600,"No",Links!$C$2:$C$600,"&lt;&gt;INFORMS")</f>
        <v/>
      </c>
      <c r="G118" s="13" t="inlineStr">
        <is>
          <t>DESK-ANALYSIS</t>
        </is>
      </c>
      <c r="H118" s="6" t="inlineStr">
        <is>
          <t>K17 Record repair &amp; procedure error</t>
        </is>
      </c>
      <c r="I118" s="6" t="inlineStr">
        <is>
          <t>G4 Before claims</t>
        </is>
      </c>
      <c r="J118" s="6" t="inlineStr">
        <is>
          <t>Normal</t>
        </is>
      </c>
      <c r="K118" s="6" t="n">
        <v>149</v>
      </c>
      <c r="L118" s="6" t="inlineStr">
        <is>
          <t>W2 Desk work (no model runs)</t>
        </is>
      </c>
      <c r="M118" s="6" t="inlineStr">
        <is>
          <t>S15</t>
        </is>
      </c>
      <c r="N118" s="6" t="inlineStr">
        <is>
          <t>Lead + fresh reviewer</t>
        </is>
      </c>
      <c r="O118" s="6" t="inlineStr">
        <is>
          <t>Lead computes or writes it (no model runs)</t>
        </is>
      </c>
      <c r="P118" s="6" t="inlineStr">
        <is>
          <t>Partly</t>
        </is>
      </c>
      <c r="Q118" s="6" t="inlineStr">
        <is>
          <t>Scientific unknown</t>
        </is>
      </c>
      <c r="R118" s="6" t="inlineStr">
        <is>
          <t>Sub-item</t>
        </is>
      </c>
      <c r="S118" s="6" t="inlineStr">
        <is>
          <t>C-R03</t>
        </is>
      </c>
      <c r="T118" s="6" t="inlineStr">
        <is>
          <t>SRC-06 C26: cost-algebra fit and one unreviewed numerical slip (141 vs about 115 turns in v2).</t>
        </is>
      </c>
      <c r="U118" s="6" t="inlineStr">
        <is>
          <t>The v4-04 cost-ratio table was recomputed and matches; the earlier 141-vs-115 slip is not shown corrected.</t>
        </is>
      </c>
      <c r="V118" s="6" t="inlineStr">
        <is>
          <t>Closed-form algebra rechecked by a second reader.</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v2-05 section 4; v4-04 section 3 (table recomputed in the review)</t>
        </is>
      </c>
      <c r="AG118" s="6" t="inlineStr"/>
      <c r="AH118" s="6" t="inlineStr">
        <is>
          <t>No</t>
        </is>
      </c>
      <c r="AI118" s="6" t="inlineStr"/>
      <c r="AJ118" s="6" t="inlineStr">
        <is>
          <t>SRC-11 section D4</t>
        </is>
      </c>
      <c r="AK118" s="6" t="inlineStr">
        <is>
          <t>SRC-06 C26</t>
        </is>
      </c>
      <c r="AL118" s="6" t="inlineStr">
        <is>
          <t>S15</t>
        </is>
      </c>
    </row>
    <row r="119" ht="115.5" customHeight="1">
      <c r="A119" s="5" t="inlineStr">
        <is>
          <t>C-R03/C27</t>
        </is>
      </c>
      <c r="B119" s="6" t="inlineStr">
        <is>
          <t>Four partly supported pivotal passages (V2, V3, V6, V8)</t>
        </is>
      </c>
      <c r="C119" s="6" t="inlineStr">
        <is>
          <t>DEFERRED</t>
        </is>
      </c>
      <c r="D119" s="6">
        <f>IFERROR(INDEX(Lists!$B$2:$B$14,MATCH(C119,Lists!$A$2:$A$14,0)),"?")</f>
        <v/>
      </c>
      <c r="E119" s="6">
        <f>IF(COUNTIFS(Links!$B$2:$B$600,A119,Links!$E$2:$E$600,"Yes")&gt;0,"REVISE","")</f>
        <v/>
      </c>
      <c r="F119" s="6">
        <f>COUNTIFS(Links!$B$2:$B$600,A119,Links!$D$2:$D$600,"No",Links!$C$2:$C$600,"&lt;&gt;INFORMS")</f>
        <v/>
      </c>
      <c r="G119" s="14" t="inlineStr">
        <is>
          <t>SOURCE-REREAD</t>
        </is>
      </c>
      <c r="H119" s="6" t="inlineStr">
        <is>
          <t>K17 Record repair &amp; procedure error</t>
        </is>
      </c>
      <c r="I119" s="6" t="inlineStr">
        <is>
          <t>G4 Before claims</t>
        </is>
      </c>
      <c r="J119" s="6" t="inlineStr">
        <is>
          <t>Normal</t>
        </is>
      </c>
      <c r="K119" s="6" t="n">
        <v>150</v>
      </c>
      <c r="L119" s="6" t="inlineStr">
        <is>
          <t>W2 Desk work (no model runs)</t>
        </is>
      </c>
      <c r="M119" s="6" t="inlineStr">
        <is>
          <t>S15</t>
        </is>
      </c>
      <c r="N119" s="6" t="inlineStr">
        <is>
          <t>Lead + fresh reviewer</t>
        </is>
      </c>
      <c r="O119" s="6" t="inlineStr">
        <is>
          <t>none until the trigger fires</t>
        </is>
      </c>
      <c r="P119" s="6" t="inlineStr">
        <is>
          <t>Partly</t>
        </is>
      </c>
      <c r="Q119" s="6" t="inlineStr">
        <is>
          <t>Source check</t>
        </is>
      </c>
      <c r="R119" s="6" t="inlineStr">
        <is>
          <t>Sub-item</t>
        </is>
      </c>
      <c r="S119" s="6" t="inlineStr">
        <is>
          <t>C-R03</t>
        </is>
      </c>
      <c r="T119" s="6" t="inlineStr">
        <is>
          <t>SRC-06 C27: four of the eight pivotal passages checked in v2 were only partly supported (V2 and V3 with a CANNOT DETERMINE component).</t>
        </is>
      </c>
      <c r="U119" s="6" t="inlineStr">
        <is>
          <t>No pivotal claim found false; components undetermined (whether deferred definitions count toward billed tokens). Deferred 2026-10-20 with reason and trigger: the components that were undetermined (V2 and V3: whether deferred definitions count toward billed tokens) are carried by C-S03/DEFUSAGE and the E7 billing probe (C-X07); no pivotal claim was found false; the v2 steward's V-numbering is not recoverable from the repo.</t>
        </is>
      </c>
      <c r="V119" s="6" t="inlineStr">
        <is>
          <t>Each undetermined component resolved or labelled.</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2026-10-20</t>
        </is>
      </c>
      <c r="AF119" s="6" t="inlineStr">
        <is>
          <t>grep of design/package-v3 and design/package-v4 01-05 (lead, 2026-10-20)</t>
        </is>
      </c>
      <c r="AG119" s="6" t="inlineStr">
        <is>
          <t>C-S03/DEFUSAGE is answered, or a claim depends on a V2, V3, V6 or V8 passage</t>
        </is>
      </c>
      <c r="AH119" s="6" t="inlineStr">
        <is>
          <t>No</t>
        </is>
      </c>
      <c r="AI119" s="6" t="inlineStr"/>
      <c r="AJ119" s="6" t="inlineStr">
        <is>
          <t>SRC-11 section D4</t>
        </is>
      </c>
      <c r="AK119" s="6" t="inlineStr">
        <is>
          <t>SRC-06 C27</t>
        </is>
      </c>
      <c r="AL119" s="6" t="inlineStr">
        <is>
          <t>S15</t>
        </is>
      </c>
    </row>
    <row r="120" ht="300" customHeight="1">
      <c r="A120" s="5" t="inlineStr">
        <is>
          <t>C-R03/ROUND45-W</t>
        </is>
      </c>
      <c r="B120" s="6" t="inlineStr">
        <is>
          <t>Three wording problems in 05 rounds 4-5: in-sample AutoTailor, BFCL correlation, 'first measured cost effect of persisted memory'</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154</v>
      </c>
      <c r="L120" s="6" t="inlineStr">
        <is>
          <t>W2 Desk work (no model runs)</t>
        </is>
      </c>
      <c r="M120" s="6" t="inlineStr">
        <is>
          <t>S15</t>
        </is>
      </c>
      <c r="N120" s="6" t="inlineStr">
        <is>
          <t>Lead drafts, you approve</t>
        </is>
      </c>
      <c r="O120" s="6" t="inlineStr">
        <is>
          <t>You approve the replacement wording</t>
        </is>
      </c>
      <c r="P120" s="6" t="inlineStr">
        <is>
          <t>Answered (see basis)</t>
        </is>
      </c>
      <c r="Q120" s="6" t="inlineStr">
        <is>
          <t>Record fix</t>
        </is>
      </c>
      <c r="R120" s="6" t="inlineStr">
        <is>
          <t>Sub-item</t>
        </is>
      </c>
      <c r="S120" s="6" t="inlineStr">
        <is>
          <t>C-R03/ROUND45</t>
        </is>
      </c>
      <c r="T120"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20"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 Batch 14 (2026-10-20): the full check of 05 added more corrections, drafted in design/package-v4/06-corrections-proposed.md section 3b (rows 3.15 to 3.29), including a wrong attribution at 05 line 12 (a beta define-by-value passage filed under tool search), 'regressions' that are in time to first token only, the missing metric names and the summed row at line 25, the Claude-only scope of the MCP-Zero drop, LOMEKWI scope notes, the MemToolAgent gain against other baselines (19.1 to 20.9 points), the skills-memory wording, the superseded 'documentation only' line, the unsupported 'the top models drop less' and the stale section 5.</t>
        </is>
      </c>
      <c r="V120" s="6" t="inlineStr">
        <is>
          <t>05 states the in-sample calibration, hedges or recomputes the correlation without degenerate rows, and narrows the 'first' claim, or a successor note records it.</t>
        </is>
      </c>
      <c r="W120" s="6" t="inlineStr"/>
      <c r="X120" s="6" t="inlineStr"/>
      <c r="Y120" s="6" t="inlineStr"/>
      <c r="Z120" s="6" t="inlineStr"/>
      <c r="AA120" s="6" t="inlineStr"/>
      <c r="AB120" s="6" t="inlineStr">
        <is>
          <t>RECORD+DEC</t>
        </is>
      </c>
      <c r="AC120" s="6" t="inlineStr">
        <is>
          <t>n/a (sub-item)</t>
        </is>
      </c>
      <c r="AD120" s="6" t="inlineStr">
        <is>
          <t>NEW (repo sweep)</t>
        </is>
      </c>
      <c r="AE120" s="6" t="inlineStr">
        <is>
          <t>2026-10-20</t>
        </is>
      </c>
      <c r="AF120" s="6" t="inlineStr">
        <is>
          <t>design/package-v4/06-corrections-proposed.md section 3b; reviews/RV-0014.md, RV-0015.md, RV-0016.md (fresh reviewers, same model family, each read the source texts; RV-0014 and RV-0016 ended at their turn limit, drafts)</t>
        </is>
      </c>
      <c r="AG120" s="6" t="inlineStr"/>
      <c r="AH120" s="6" t="inlineStr">
        <is>
          <t>No (editing needs the human's approval)</t>
        </is>
      </c>
      <c r="AI120" s="6" t="inlineStr"/>
      <c r="AJ120" s="6" t="inlineStr">
        <is>
          <t>RV-0010 (Reviewer 6b2)</t>
        </is>
      </c>
      <c r="AK120" s="6" t="inlineStr"/>
      <c r="AL120" s="6" t="inlineStr">
        <is>
          <t>S15</t>
        </is>
      </c>
    </row>
    <row r="121" ht="300" customHeight="1">
      <c r="A121" s="5" t="inlineStr">
        <is>
          <t>C-R03/STUB</t>
        </is>
      </c>
      <c r="B121" s="6" t="inlineStr">
        <is>
          <t>Stub-schema effect on the 292K figure and 'Claude Code corpus' wording unverifiable</t>
        </is>
      </c>
      <c r="C121" s="6" t="inlineStr">
        <is>
          <t>DEFERRED</t>
        </is>
      </c>
      <c r="D121" s="6">
        <f>IFERROR(INDEX(Lists!$B$2:$B$14,MATCH(C121,Lists!$A$2:$A$14,0)),"?")</f>
        <v/>
      </c>
      <c r="E121" s="6">
        <f>IF(COUNTIFS(Links!$B$2:$B$600,A121,Links!$E$2:$E$600,"Yes")&gt;0,"REVISE","")</f>
        <v/>
      </c>
      <c r="F121" s="6">
        <f>COUNTIFS(Links!$B$2:$B$600,A121,Links!$D$2:$D$600,"No",Links!$C$2:$C$600,"&lt;&gt;INFORMS")</f>
        <v/>
      </c>
      <c r="G121" s="14" t="inlineStr">
        <is>
          <t>SOURCE-REREAD</t>
        </is>
      </c>
      <c r="H121" s="6" t="inlineStr">
        <is>
          <t>K17 Record repair &amp; procedure error</t>
        </is>
      </c>
      <c r="I121" s="6" t="inlineStr">
        <is>
          <t>G4 Before claims</t>
        </is>
      </c>
      <c r="J121" s="6" t="inlineStr">
        <is>
          <t>Normal</t>
        </is>
      </c>
      <c r="K121" s="6" t="n">
        <v>156</v>
      </c>
      <c r="L121" s="6" t="inlineStr">
        <is>
          <t>W2 Desk work (no model runs)</t>
        </is>
      </c>
      <c r="M121" s="6" t="inlineStr">
        <is>
          <t>S15</t>
        </is>
      </c>
      <c r="N121" s="6" t="inlineStr">
        <is>
          <t>Lead + fresh reviewer</t>
        </is>
      </c>
      <c r="O121" s="6" t="inlineStr">
        <is>
          <t>none until the trigger fires</t>
        </is>
      </c>
      <c r="P121" s="6" t="inlineStr">
        <is>
          <t>Yes - stored text, unread</t>
        </is>
      </c>
      <c r="Q121" s="6" t="inlineStr">
        <is>
          <t>Record fix</t>
        </is>
      </c>
      <c r="R121" s="6" t="inlineStr">
        <is>
          <t>Sub-item</t>
        </is>
      </c>
      <c r="S121" s="6" t="inlineStr">
        <is>
          <t>C-R03</t>
        </is>
      </c>
      <c r="T121"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21"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 Deferred 2026-10-20 with reason and trigger: the stub mechanism is confirmed in the code (batch 9) and the live documents already label the 292k figure second-hand and 'not clean'; what remains is the contents of ref.tool_specs (dmcp/recorder.py is not stored) and the phrase 'Claude Code corpus' (found only in the unknown-author draft and review records).</t>
        </is>
      </c>
      <c r="V121" s="6" t="inlineStr">
        <is>
          <t>Each checked in the stored texts (s4c-g2-dynamicmcpbench, r3-promcp, r3-complexmcp).</t>
        </is>
      </c>
      <c r="W121" s="6" t="inlineStr"/>
      <c r="X121" s="6" t="inlineStr"/>
      <c r="Y121" s="6" t="inlineStr"/>
      <c r="Z121" s="6" t="inlineStr"/>
      <c r="AA121" s="6" t="inlineStr"/>
      <c r="AB121" s="6" t="inlineStr">
        <is>
          <t>RECORD+SOURCE</t>
        </is>
      </c>
      <c r="AC121" s="6" t="inlineStr">
        <is>
          <t>n/a (sub-item)</t>
        </is>
      </c>
      <c r="AD121" s="6" t="inlineStr">
        <is>
          <t>NEW (repo sweep)</t>
        </is>
      </c>
      <c r="AE121" s="6" t="inlineStr">
        <is>
          <t>2026-10-20</t>
        </is>
      </c>
      <c r="AF121" s="6" t="inlineStr">
        <is>
          <t>grep of design/package-v3 and design/package-v4 01-05 (lead, 2026-10-20)</t>
        </is>
      </c>
      <c r="AG121" s="6" t="inlineStr">
        <is>
          <t>The stub share or the effect on the 292k figure is to be used, or the phrase 'Claude Code corpus' is quoted</t>
        </is>
      </c>
      <c r="AH121" s="6" t="inlineStr">
        <is>
          <t>No</t>
        </is>
      </c>
      <c r="AI121" s="6" t="inlineStr"/>
      <c r="AJ121" s="6" t="inlineStr">
        <is>
          <t>repo: v4-03 section 6 / RV-0005 / RV-0007</t>
        </is>
      </c>
      <c r="AK121" s="6" t="inlineStr">
        <is>
          <t>SUM-0004</t>
        </is>
      </c>
      <c r="AL121" s="6" t="inlineStr">
        <is>
          <t>S15</t>
        </is>
      </c>
    </row>
    <row r="122" ht="300" customHeight="1">
      <c r="A122" s="5" t="inlineStr">
        <is>
          <t>N-17</t>
        </is>
      </c>
      <c r="B122" s="6" t="inlineStr">
        <is>
          <t>Challenge-record hygiene: 24 CH records still 'open'; fixes reported applied</t>
        </is>
      </c>
      <c r="C122" s="6" t="inlineStr">
        <is>
          <t>PARTLY ANSWERED</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G4 Before claims</t>
        </is>
      </c>
      <c r="J122" s="6" t="inlineStr">
        <is>
          <t>Normal</t>
        </is>
      </c>
      <c r="K122" s="6" t="n">
        <v>157</v>
      </c>
      <c r="L122" s="6" t="inlineStr">
        <is>
          <t>W2 Desk work (no model runs)</t>
        </is>
      </c>
      <c r="M122" s="6" t="inlineStr">
        <is>
          <t>S15</t>
        </is>
      </c>
      <c r="N122" s="6" t="inlineStr">
        <is>
          <t>Lead + fresh reviewer</t>
        </is>
      </c>
      <c r="O122" s="6" t="inlineStr">
        <is>
          <t>Draft the answers to the ten residual records (rows N-17/UNANSWERED, N-17/WORDING) for your approval</t>
        </is>
      </c>
      <c r="P122" s="6" t="inlineStr">
        <is>
          <t>Answered (see basis)</t>
        </is>
      </c>
      <c r="Q122" s="6" t="inlineStr">
        <is>
          <t>Record fix</t>
        </is>
      </c>
      <c r="R122" s="6" t="inlineStr">
        <is>
          <t>Item</t>
        </is>
      </c>
      <c r="S122" s="6" t="inlineStr"/>
      <c r="T122" s="6" t="inlineStr">
        <is>
          <t>24 challenge records have front-matter status 'open' (CH-0038, 0040-0043, 0049, 0055, 0058-0074) although dispositions were reported applied in WD-022/023 and v4-05; the challenger did not re-check rounds 3-5 text; 49 others are 'conceded', 1 'withdrawn'.</t>
        </is>
      </c>
      <c r="U122"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22" s="6" t="inlineStr">
        <is>
          <t>Each record's status matches the text, with an independent re-check of the edits.</t>
        </is>
      </c>
      <c r="W122" s="6" t="inlineStr"/>
      <c r="X122" s="6" t="inlineStr"/>
      <c r="Y122" s="6" t="inlineStr"/>
      <c r="Z122" s="6" t="inlineStr"/>
      <c r="AA122" s="6" t="inlineStr"/>
      <c r="AB122" s="6" t="inlineStr">
        <is>
          <t>RECORD</t>
        </is>
      </c>
      <c r="AC122" s="6" t="inlineStr">
        <is>
          <t>n/a (new)</t>
        </is>
      </c>
      <c r="AD122" s="6" t="inlineStr">
        <is>
          <t>NEW (repo sweep)</t>
        </is>
      </c>
      <c r="AE122" s="6" t="inlineStr">
        <is>
          <t>2026-10-19</t>
        </is>
      </c>
      <c r="AF122" s="6" t="inlineStr">
        <is>
          <t>challenges/CH-0038..0071 (14 files, status and status_note lines); ops/AUTHORIZATIONS.md AUTH-017 (human, 2026-10-19); reviews/RV-0008.md</t>
        </is>
      </c>
      <c r="AG122" s="6" t="inlineStr"/>
      <c r="AH122" s="6" t="inlineStr">
        <is>
          <t>No</t>
        </is>
      </c>
      <c r="AI122" s="6" t="inlineStr"/>
      <c r="AJ122" s="6" t="inlineStr">
        <is>
          <t>repo: challenges/, reviews/RV-0005..0007</t>
        </is>
      </c>
      <c r="AK122" s="6" t="inlineStr">
        <is>
          <t>CH-0058, CH-0064, CH-0068, CH-0071, CH-0074, CH-0049, CH-0055</t>
        </is>
      </c>
      <c r="AL122" s="6" t="inlineStr">
        <is>
          <t>S15</t>
        </is>
      </c>
    </row>
    <row r="123" ht="290.5" customHeight="1">
      <c r="A123" s="5" t="inlineStr">
        <is>
          <t>N-17/UNANSWERED</t>
        </is>
      </c>
      <c r="B123" s="6" t="inlineStr">
        <is>
          <t>Eight objections in the 24 open challenge records are answered nowhere</t>
        </is>
      </c>
      <c r="C123" s="6" t="inlineStr">
        <is>
          <t>PARTLY ANSWERED</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G4 Before claims</t>
        </is>
      </c>
      <c r="J123" s="6" t="inlineStr">
        <is>
          <t>Normal</t>
        </is>
      </c>
      <c r="K123" s="6" t="n">
        <v>159</v>
      </c>
      <c r="L123" s="6" t="inlineStr">
        <is>
          <t>W2 Desk work (no model runs)</t>
        </is>
      </c>
      <c r="M123" s="6" t="inlineStr">
        <is>
          <t>S15</t>
        </is>
      </c>
      <c r="N123" s="6" t="inlineStr">
        <is>
          <t>Lead drafts, you approve</t>
        </is>
      </c>
      <c r="O123" s="6" t="inlineStr">
        <is>
          <t>You approve the drafting items and take or hand on the three decisions</t>
        </is>
      </c>
      <c r="P123" s="6" t="inlineStr">
        <is>
          <t>Answered (see basis)</t>
        </is>
      </c>
      <c r="Q123" s="6" t="inlineStr">
        <is>
          <t>Record fix</t>
        </is>
      </c>
      <c r="R123" s="6" t="inlineStr">
        <is>
          <t>Sub-item</t>
        </is>
      </c>
      <c r="S123" s="6" t="inlineStr">
        <is>
          <t>N-17</t>
        </is>
      </c>
      <c r="T123"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3"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23" s="6" t="inlineStr">
        <is>
          <t>Each objection is answered in the operative text, or recorded as accepted limitation or not applicable.</t>
        </is>
      </c>
      <c r="W123" s="6" t="inlineStr"/>
      <c r="X123" s="6" t="inlineStr"/>
      <c r="Y123" s="6" t="inlineStr"/>
      <c r="Z123" s="6" t="inlineStr"/>
      <c r="AA123" s="6" t="inlineStr"/>
      <c r="AB123" s="6" t="inlineStr">
        <is>
          <t>RECORD+DEC</t>
        </is>
      </c>
      <c r="AC123" s="6" t="inlineStr">
        <is>
          <t>n/a (sub-item)</t>
        </is>
      </c>
      <c r="AD123" s="6" t="inlineStr">
        <is>
          <t>NEW (repo sweep)</t>
        </is>
      </c>
      <c r="AE123" s="6" t="inlineStr">
        <is>
          <t>2026-10-20</t>
        </is>
      </c>
      <c r="AF123" s="6" t="inlineStr">
        <is>
          <t>design/package-v4/06-corrections-proposed.md section 4; reviews/RV-0008.md</t>
        </is>
      </c>
      <c r="AG123" s="6" t="inlineStr"/>
      <c r="AH123" s="6" t="inlineStr">
        <is>
          <t>No (editing needs the human's approval)</t>
        </is>
      </c>
      <c r="AI123" s="6" t="inlineStr"/>
      <c r="AJ123" s="6" t="inlineStr">
        <is>
          <t>RV-0008 (Reviewer 6a)</t>
        </is>
      </c>
      <c r="AK123" s="6" t="inlineStr"/>
      <c r="AL123" s="6" t="inlineStr">
        <is>
          <t>S15</t>
        </is>
      </c>
    </row>
    <row r="124" ht="300" customHeight="1">
      <c r="A124" s="5" t="inlineStr">
        <is>
          <t>N-17/WORDING</t>
        </is>
      </c>
      <c r="B124" s="6" t="inlineStr">
        <is>
          <t>Unhedged 'real gap' wording and three different counts in the literature summary and brief</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160</v>
      </c>
      <c r="L124" s="6" t="inlineStr">
        <is>
          <t>W2 Desk work (no model runs)</t>
        </is>
      </c>
      <c r="M124" s="6" t="inlineStr">
        <is>
          <t>S15</t>
        </is>
      </c>
      <c r="N124" s="6" t="inlineStr">
        <is>
          <t>Lead drafts, you approve</t>
        </is>
      </c>
      <c r="O124" s="6" t="inlineStr">
        <is>
          <t>You approve the replacement wording</t>
        </is>
      </c>
      <c r="P124" s="6" t="inlineStr">
        <is>
          <t>Answered (see basis)</t>
        </is>
      </c>
      <c r="Q124" s="6" t="inlineStr">
        <is>
          <t>Record fix</t>
        </is>
      </c>
      <c r="R124" s="6" t="inlineStr">
        <is>
          <t>Sub-item</t>
        </is>
      </c>
      <c r="S124" s="6" t="inlineStr">
        <is>
          <t>N-17</t>
        </is>
      </c>
      <c r="T124"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4"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 Batch 14 (2026-10-20): see design/package-v4/06-corrections-proposed.md section 3b for the further wording corrections of 05 and 01 (3.15-3.29), including the named source for the brief's 'vendor-documented claim that appended definitions keep the cache' (Anthropic's tool search documentation, retrieved 2026-10-11: 'The prefix is untouched, so prompt caching is preserved', EXT-0009) and the one-sentence pointer to the version maps.</t>
        </is>
      </c>
      <c r="V124" s="6" t="inlineStr">
        <is>
          <t>The brief and 05 carry hedged wording ('no source found' not 'real gap') and one consistent count, or a successor note records both.</t>
        </is>
      </c>
      <c r="W124" s="6" t="inlineStr"/>
      <c r="X124" s="6" t="inlineStr"/>
      <c r="Y124" s="6" t="inlineStr"/>
      <c r="Z124" s="6" t="inlineStr"/>
      <c r="AA124" s="6" t="inlineStr"/>
      <c r="AB124" s="6" t="inlineStr">
        <is>
          <t>RECORD+DEC</t>
        </is>
      </c>
      <c r="AC124" s="6" t="inlineStr">
        <is>
          <t>n/a (sub-item)</t>
        </is>
      </c>
      <c r="AD124" s="6" t="inlineStr">
        <is>
          <t>NEW (repo sweep)</t>
        </is>
      </c>
      <c r="AE124" s="6" t="inlineStr">
        <is>
          <t>2026-10-20</t>
        </is>
      </c>
      <c r="AF124" s="6" t="inlineStr">
        <is>
          <t>design/package-v4/06-corrections-proposed.md section 3b</t>
        </is>
      </c>
      <c r="AG124" s="6" t="inlineStr"/>
      <c r="AH124" s="6" t="inlineStr">
        <is>
          <t>No (editing needs the human's approval)</t>
        </is>
      </c>
      <c r="AI124" s="6" t="inlineStr"/>
      <c r="AJ124" s="6" t="inlineStr">
        <is>
          <t>RV-0008 (Reviewer 6a) and lead check</t>
        </is>
      </c>
      <c r="AK124" s="6" t="inlineStr"/>
      <c r="AL124" s="6" t="inlineStr">
        <is>
          <t>S15</t>
        </is>
      </c>
    </row>
    <row r="125" ht="40.5" customHeight="1">
      <c r="A125" s="5" t="inlineStr">
        <is>
          <t>C-D09</t>
        </is>
      </c>
      <c r="B125" s="6" t="inlineStr">
        <is>
          <t>Authorization to run any experiment, smoke run or script (V3 E1-E8).</t>
        </is>
      </c>
      <c r="C125" s="6" t="inlineStr">
        <is>
          <t>OPEN</t>
        </is>
      </c>
      <c r="D125" s="6">
        <f>IFERROR(INDEX(Lists!$B$2:$B$14,MATCH(C125,Lists!$A$2:$A$14,0)),"?")</f>
        <v/>
      </c>
      <c r="E125" s="6">
        <f>IF(COUNTIFS(Links!$B$2:$B$600,A125,Links!$E$2:$E$600,"Yes")&gt;0,"REVISE","")</f>
        <v/>
      </c>
      <c r="F125" s="6">
        <f>COUNTIFS(Links!$B$2:$B$600,A125,Links!$D$2:$D$600,"No",Links!$C$2:$C$600,"&lt;&gt;INFORMS")</f>
        <v/>
      </c>
      <c r="G125" s="9" t="inlineStr">
        <is>
          <t>USER-DECISION</t>
        </is>
      </c>
      <c r="H125" s="6" t="inlineStr">
        <is>
          <t>K6 Deliverable &amp; authorization</t>
        </is>
      </c>
      <c r="I125" s="6" t="inlineStr">
        <is>
          <t>G1 Before any implementation</t>
        </is>
      </c>
      <c r="J125" s="6" t="inlineStr">
        <is>
          <t>High</t>
        </is>
      </c>
      <c r="K125" s="6" t="n">
        <v>162</v>
      </c>
      <c r="L125" s="6" t="inlineStr">
        <is>
          <t>W3 Pilots (AUTH)</t>
        </is>
      </c>
      <c r="M125" s="6" t="inlineStr">
        <is>
          <t>S16</t>
        </is>
      </c>
      <c r="N125" s="6" t="inlineStr">
        <is>
          <t>You (v4 also wants the supervisor's approval and a budget)</t>
        </is>
      </c>
      <c r="O125" s="6" t="inlineStr">
        <is>
          <t>Answer Q-U14 after decisions</t>
        </is>
      </c>
      <c r="P125" s="6" t="inlineStr">
        <is>
          <t>n/a</t>
        </is>
      </c>
      <c r="Q125" s="6" t="inlineStr">
        <is>
          <t>Decision</t>
        </is>
      </c>
      <c r="R125" s="6" t="inlineStr">
        <is>
          <t>Item</t>
        </is>
      </c>
      <c r="S125" s="6" t="inlineStr"/>
      <c r="T125" s="6" t="inlineStr">
        <is>
          <t>Authorization to run any experiment, smoke run or script (V3 E1-E8).</t>
        </is>
      </c>
      <c r="U125" s="6" t="inlineStr">
        <is>
          <t>None of AUTH-001..015 authorizes an experiment; AUTH-011 excludes pilots, AUTH-013 says no experiments.</t>
        </is>
      </c>
      <c r="V125" s="6" t="inlineStr">
        <is>
          <t>An AUTH row per pilot with provider, model, budget cap and what is recorded.</t>
        </is>
      </c>
      <c r="W125" s="6" t="inlineStr">
        <is>
          <t>C-D05, C-D08</t>
        </is>
      </c>
      <c r="X125" s="6" t="inlineStr">
        <is>
          <t>C-D13, C-D11</t>
        </is>
      </c>
      <c r="Y125" s="6" t="inlineStr">
        <is>
          <t>Q-J17, Q-U06, Q-U14</t>
        </is>
      </c>
      <c r="Z125" s="6" t="inlineStr">
        <is>
          <t>JOAA-DECISION</t>
        </is>
      </c>
      <c r="AA125" s="6" t="inlineStr">
        <is>
          <t>K11 End-to-end comparison</t>
        </is>
      </c>
      <c r="AB125" s="6" t="inlineStr">
        <is>
          <t>DEC</t>
        </is>
      </c>
      <c r="AC125" s="6" t="inlineStr">
        <is>
          <t>OPEN</t>
        </is>
      </c>
      <c r="AD125" s="6" t="inlineStr">
        <is>
          <t>UNCHANGED</t>
        </is>
      </c>
      <c r="AE125" s="6" t="inlineStr">
        <is>
          <t>2026-10-19</t>
        </is>
      </c>
      <c r="AF125" s="6" t="inlineStr">
        <is>
          <t>AUTH-011 limits; AUTH-013 limits; v4-01 section 7</t>
        </is>
      </c>
      <c r="AG125" s="6" t="inlineStr"/>
      <c r="AH125" s="6" t="inlineStr">
        <is>
          <t>This is the AUTH</t>
        </is>
      </c>
      <c r="AI125" s="6" t="inlineStr"/>
      <c r="AJ125" s="6" t="inlineStr">
        <is>
          <t>SRC-11 canonical</t>
        </is>
      </c>
      <c r="AK125" s="6" t="inlineStr">
        <is>
          <t>SRC-06 D12, SRC-07 11</t>
        </is>
      </c>
      <c r="AL125" s="6" t="inlineStr">
        <is>
          <t>S16</t>
        </is>
      </c>
    </row>
    <row r="126" ht="40.5" customHeight="1">
      <c r="A126" s="5" t="inlineStr">
        <is>
          <t>C-S16</t>
        </is>
      </c>
      <c r="B126" s="6" t="inlineStr">
        <is>
          <t>Evaluation-vehicle biases (replay routes, stub distractors, 12-turn cap, reference-consistent subset) have ...</t>
        </is>
      </c>
      <c r="C126" s="6" t="inlineStr">
        <is>
          <t>OPEN</t>
        </is>
      </c>
      <c r="D126" s="6">
        <f>IFERROR(INDEX(Lists!$B$2:$B$14,MATCH(C126,Lists!$A$2:$A$14,0)),"?")</f>
        <v/>
      </c>
      <c r="E126" s="6">
        <f>IF(COUNTIFS(Links!$B$2:$B$600,A126,Links!$E$2:$E$600,"Yes")&gt;0,"REVISE","")</f>
        <v/>
      </c>
      <c r="F126" s="6">
        <f>COUNTIFS(Links!$B$2:$B$600,A126,Links!$D$2:$D$600,"No",Links!$C$2:$C$600,"&lt;&gt;INFORMS")</f>
        <v/>
      </c>
      <c r="G126" s="17" t="inlineStr">
        <is>
          <t>TEST-PILOT</t>
        </is>
      </c>
      <c r="H126" s="6" t="inlineStr">
        <is>
          <t>K13 Vehicle validity</t>
        </is>
      </c>
      <c r="I126" s="6" t="inlineStr">
        <is>
          <t>G2 Before the affected pilot/arm</t>
        </is>
      </c>
      <c r="J126" s="6" t="inlineStr">
        <is>
          <t>High</t>
        </is>
      </c>
      <c r="K126" s="6" t="n">
        <v>163</v>
      </c>
      <c r="L126" s="6" t="inlineStr">
        <is>
          <t>W3 Pilots (AUTH)</t>
        </is>
      </c>
      <c r="M126" s="6" t="inlineStr">
        <is>
          <t>S17</t>
        </is>
      </c>
      <c r="N126" s="6" t="inlineStr">
        <is>
          <t>Team</t>
        </is>
      </c>
      <c r="O126" s="6" t="inlineStr">
        <is>
          <t>Needs an AUTH and a protocol</t>
        </is>
      </c>
      <c r="P126" s="6" t="inlineStr">
        <is>
          <t>Partly</t>
        </is>
      </c>
      <c r="Q126" s="6" t="inlineStr">
        <is>
          <t>Scientific unknown</t>
        </is>
      </c>
      <c r="R126" s="6" t="inlineStr">
        <is>
          <t>Item</t>
        </is>
      </c>
      <c r="S126" s="6" t="inlineStr"/>
      <c r="T126" s="6" t="inlineStr">
        <is>
          <t>Evaluation-vehicle biases (replay routes, stub distractors, 12-turn cap, reference-consistent subset) have no measured effect.</t>
        </is>
      </c>
      <c r="U126" s="6" t="inlineStr">
        <is>
          <t>Documented (CAVEATS 3-4; 1,578 of 1,845 specs reference-consistent) but not run.</t>
        </is>
      </c>
      <c r="V126" s="6" t="inlineStr">
        <is>
          <t>Smoke run if the vehicle will carry a claim; otherwise limitation stated with scope.</t>
        </is>
      </c>
      <c r="W126" s="6" t="inlineStr">
        <is>
          <t>C-D08, C-D09</t>
        </is>
      </c>
      <c r="X126" s="6" t="inlineStr"/>
      <c r="Y126" s="6" t="inlineStr">
        <is>
          <t>Q-U03</t>
        </is>
      </c>
      <c r="Z126" s="6" t="inlineStr">
        <is>
          <t>ACCEPT-LIMITATION</t>
        </is>
      </c>
      <c r="AA126" s="6" t="inlineStr"/>
      <c r="AB126" s="6" t="inlineStr">
        <is>
          <t>DATA+BOUND</t>
        </is>
      </c>
      <c r="AC126" s="6" t="inlineStr">
        <is>
          <t>OPEN</t>
        </is>
      </c>
      <c r="AD126" s="6" t="inlineStr">
        <is>
          <t>UNCHANGED</t>
        </is>
      </c>
      <c r="AE126" s="6" t="inlineStr">
        <is>
          <t>2026-10-19</t>
        </is>
      </c>
      <c r="AF126" s="6" t="inlineStr">
        <is>
          <t>CAVEATS rows 3-4; v4-02 section 7</t>
        </is>
      </c>
      <c r="AG126" s="6" t="inlineStr"/>
      <c r="AH126" s="6" t="inlineStr">
        <is>
          <t>Yes</t>
        </is>
      </c>
      <c r="AI126" s="6" t="inlineStr"/>
      <c r="AJ126" s="6" t="inlineStr">
        <is>
          <t>SRC-11 canonical</t>
        </is>
      </c>
      <c r="AK126" s="6" t="inlineStr">
        <is>
          <t>SRC-06 S34, CAVEATS 3, CAVEATS 4</t>
        </is>
      </c>
      <c r="AL126" s="6" t="inlineStr">
        <is>
          <t>S17</t>
        </is>
      </c>
    </row>
    <row r="127" ht="28" customHeight="1">
      <c r="A127" s="5" t="inlineStr">
        <is>
          <t>C-X08</t>
        </is>
      </c>
      <c r="B127" s="6" t="inlineStr">
        <is>
          <t>Smoke execution of the evaluation vehicle that answers C-S16.</t>
        </is>
      </c>
      <c r="C127" s="6" t="inlineStr">
        <is>
          <t>UNRUN</t>
        </is>
      </c>
      <c r="D127" s="6">
        <f>IFERROR(INDEX(Lists!$B$2:$B$14,MATCH(C127,Lists!$A$2:$A$14,0)),"?")</f>
        <v/>
      </c>
      <c r="E127" s="6">
        <f>IF(COUNTIFS(Links!$B$2:$B$600,A127,Links!$E$2:$E$600,"Yes")&gt;0,"REVISE","")</f>
        <v/>
      </c>
      <c r="F127" s="6">
        <f>COUNTIFS(Links!$B$2:$B$600,A127,Links!$D$2:$D$600,"No",Links!$C$2:$C$600,"&lt;&gt;INFORMS")</f>
        <v/>
      </c>
      <c r="G127" s="17" t="inlineStr">
        <is>
          <t>TEST-PILOT</t>
        </is>
      </c>
      <c r="H127" s="6" t="inlineStr">
        <is>
          <t>K13 Vehicle validity</t>
        </is>
      </c>
      <c r="I127" s="6" t="inlineStr">
        <is>
          <t>G2 Before the affected pilot/arm</t>
        </is>
      </c>
      <c r="J127" s="6" t="inlineStr">
        <is>
          <t>High</t>
        </is>
      </c>
      <c r="K127" s="6" t="n">
        <v>164</v>
      </c>
      <c r="L127" s="6" t="inlineStr">
        <is>
          <t>W3 Pilots (AUTH)</t>
        </is>
      </c>
      <c r="M127" s="6" t="inlineStr">
        <is>
          <t>S17</t>
        </is>
      </c>
      <c r="N127" s="6" t="inlineStr">
        <is>
          <t>Team</t>
        </is>
      </c>
      <c r="O127" s="6" t="inlineStr">
        <is>
          <t>Needs an AUTH and a protocol</t>
        </is>
      </c>
      <c r="P127" s="6" t="inlineStr">
        <is>
          <t>No</t>
        </is>
      </c>
      <c r="Q127" s="6" t="inlineStr">
        <is>
          <t>Test</t>
        </is>
      </c>
      <c r="R127" s="6" t="inlineStr">
        <is>
          <t>Check</t>
        </is>
      </c>
      <c r="S127" s="6" t="inlineStr"/>
      <c r="T127" s="6" t="inlineStr">
        <is>
          <t>Smoke execution of the evaluation vehicle that answers C-S16.</t>
        </is>
      </c>
      <c r="U127" s="6" t="inlineStr">
        <is>
          <t>Not run; do it only if the vehicle will be used and differs from any earlier vehicle.</t>
        </is>
      </c>
      <c r="V127" s="6" t="inlineStr">
        <is>
          <t>Same as C-S16.</t>
        </is>
      </c>
      <c r="W127" s="6" t="inlineStr">
        <is>
          <t>C-D08, C-D09</t>
        </is>
      </c>
      <c r="X127" s="6" t="inlineStr"/>
      <c r="Y127" s="6" t="inlineStr"/>
      <c r="Z127" s="6" t="inlineStr"/>
      <c r="AA127" s="6" t="inlineStr"/>
      <c r="AB127" s="6" t="inlineStr">
        <is>
          <t>DATA</t>
        </is>
      </c>
      <c r="AC127" s="6" t="inlineStr">
        <is>
          <t>NO RESULT - OPEN</t>
        </is>
      </c>
      <c r="AD127" s="6" t="inlineStr">
        <is>
          <t>UNCHANGED</t>
        </is>
      </c>
      <c r="AE127" s="6" t="inlineStr">
        <is>
          <t>2026-10-19</t>
        </is>
      </c>
      <c r="AF127" s="6" t="inlineStr">
        <is>
          <t>CAVEATS rows 3-4</t>
        </is>
      </c>
      <c r="AG127" s="6" t="inlineStr"/>
      <c r="AH127" s="6" t="inlineStr">
        <is>
          <t>Yes</t>
        </is>
      </c>
      <c r="AI127" s="6" t="inlineStr"/>
      <c r="AJ127" s="6" t="inlineStr">
        <is>
          <t>SRC-11 canonical</t>
        </is>
      </c>
      <c r="AK127" s="6" t="inlineStr">
        <is>
          <t>smoke run</t>
        </is>
      </c>
      <c r="AL127" s="6" t="inlineStr">
        <is>
          <t>S17</t>
        </is>
      </c>
    </row>
    <row r="128" ht="203" customHeight="1">
      <c r="A128" s="5" t="inlineStr">
        <is>
          <t>C-S03/DEFUSAGE</t>
        </is>
      </c>
      <c r="B128" s="6" t="inlineStr">
        <is>
          <t>Do deferred or withdrawn definitions count in provider usage and the bill?</t>
        </is>
      </c>
      <c r="C128" s="6" t="inlineStr">
        <is>
          <t>PARTLY ANSWERED</t>
        </is>
      </c>
      <c r="D128" s="6">
        <f>IFERROR(INDEX(Lists!$B$2:$B$14,MATCH(C128,Lists!$A$2:$A$14,0)),"?")</f>
        <v/>
      </c>
      <c r="E128" s="6">
        <f>IF(COUNTIFS(Links!$B$2:$B$600,A128,Links!$E$2:$E$600,"Yes")&gt;0,"REVISE","")</f>
        <v/>
      </c>
      <c r="F128" s="6">
        <f>COUNTIFS(Links!$B$2:$B$600,A128,Links!$D$2:$D$600,"No",Links!$C$2:$C$600,"&lt;&gt;INFORMS")</f>
        <v/>
      </c>
      <c r="G128" s="17" t="inlineStr">
        <is>
          <t>TEST-PILOT</t>
        </is>
      </c>
      <c r="H128" s="6" t="inlineStr">
        <is>
          <t>K9 Cache &amp; billing</t>
        </is>
      </c>
      <c r="I128" s="6" t="inlineStr">
        <is>
          <t>G3 Before confirmatory study</t>
        </is>
      </c>
      <c r="J128" s="6" t="inlineStr">
        <is>
          <t>Normal</t>
        </is>
      </c>
      <c r="K128" s="6" t="n">
        <v>165</v>
      </c>
      <c r="L128" s="6" t="inlineStr">
        <is>
          <t>W3 Pilots (AUTH)</t>
        </is>
      </c>
      <c r="M128" s="6" t="inlineStr">
        <is>
          <t>S18</t>
        </is>
      </c>
      <c r="N128" s="6" t="inlineStr">
        <is>
          <t>Team / provider</t>
        </is>
      </c>
      <c r="O128" s="6" t="inlineStr">
        <is>
          <t>Read the OpenAI tool-search usage text; otherwise answer by the billing probe (pilot A)</t>
        </is>
      </c>
      <c r="P128" s="6" t="inlineStr">
        <is>
          <t>Partly</t>
        </is>
      </c>
      <c r="Q128" s="6" t="inlineStr">
        <is>
          <t>Scientific unknown</t>
        </is>
      </c>
      <c r="R128" s="6" t="inlineStr">
        <is>
          <t>Sub-item</t>
        </is>
      </c>
      <c r="S128" s="6" t="inlineStr">
        <is>
          <t>C-S03</t>
        </is>
      </c>
      <c r="T128" s="6" t="inlineStr">
        <is>
          <t>Whether provider-reported usage and billing count deferred or withdrawn definitions is not stated in any stored extract; v2 steward V2 'CANNOT DETERMINE'; EXT-0009 says every definition is still sent in the tools array each request.</t>
        </is>
      </c>
      <c r="U128"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28" s="6" t="inlineStr">
        <is>
          <t>Usage records of a matched pair (with and without a deferred block) on one provider.</t>
        </is>
      </c>
      <c r="W128" s="6" t="inlineStr">
        <is>
          <t>C-D09, C-D08</t>
        </is>
      </c>
      <c r="X128" s="6" t="inlineStr"/>
      <c r="Y128" s="6" t="inlineStr"/>
      <c r="Z128" s="6" t="inlineStr"/>
      <c r="AA128" s="6" t="inlineStr"/>
      <c r="AB128" s="6" t="inlineStr">
        <is>
          <t>DATA+SOURCE</t>
        </is>
      </c>
      <c r="AC128" s="6" t="inlineStr">
        <is>
          <t>n/a (sub-item)</t>
        </is>
      </c>
      <c r="AD128" s="6" t="inlineStr">
        <is>
          <t>NEW (SRC-11 sub-row)</t>
        </is>
      </c>
      <c r="AE128" s="6" t="inlineStr">
        <is>
          <t>2026-10-19</t>
        </is>
      </c>
      <c r="AF128" s="6" t="inlineStr">
        <is>
          <t>FND-0019 (findings/SUM-0021); stored texts evidence/literature-20261019/lit-cursor-forum-*.txt (3), lit-ccissue-59650-deferred-cache-reads.txt, lit-ccissue-30920-defer-cachecontrol.txt, lit-toolhop-2501.02506v4.txt</t>
        </is>
      </c>
      <c r="AG128" s="6" t="inlineStr"/>
      <c r="AH128" s="6" t="inlineStr">
        <is>
          <t>Yes</t>
        </is>
      </c>
      <c r="AI128" s="6" t="inlineStr"/>
      <c r="AJ128" s="6" t="inlineStr">
        <is>
          <t>repo: v4-05 section 1A / v2-05 / v3-04</t>
        </is>
      </c>
      <c r="AK128" s="6" t="inlineStr">
        <is>
          <t>v2-05 row 3, v3-04 section 5</t>
        </is>
      </c>
      <c r="AL128" s="6" t="inlineStr">
        <is>
          <t>S18</t>
        </is>
      </c>
    </row>
    <row r="129" ht="278" customHeight="1">
      <c r="A129" s="5" t="inlineStr">
        <is>
          <t>C-S03/EXCEPTIONS</t>
        </is>
      </c>
      <c r="B129" s="6" t="inlineStr">
        <is>
          <t>Documented cache exceptions are untested</t>
        </is>
      </c>
      <c r="C129" s="6" t="inlineStr">
        <is>
          <t>PARTLY ANSWERED</t>
        </is>
      </c>
      <c r="D129" s="6">
        <f>IFERROR(INDEX(Lists!$B$2:$B$14,MATCH(C129,Lists!$A$2:$A$14,0)),"?")</f>
        <v/>
      </c>
      <c r="E129" s="6">
        <f>IF(COUNTIFS(Links!$B$2:$B$600,A129,Links!$E$2:$E$600,"Yes")&gt;0,"REVISE","")</f>
        <v/>
      </c>
      <c r="F129" s="6">
        <f>COUNTIFS(Links!$B$2:$B$600,A129,Links!$D$2:$D$600,"No",Links!$C$2:$C$600,"&lt;&gt;INFORMS")</f>
        <v/>
      </c>
      <c r="G129" s="17" t="inlineStr">
        <is>
          <t>TEST-PILOT</t>
        </is>
      </c>
      <c r="H129" s="6" t="inlineStr">
        <is>
          <t>K9 Cache &amp; billing</t>
        </is>
      </c>
      <c r="I129" s="6" t="inlineStr">
        <is>
          <t>G3 Before confirmatory study</t>
        </is>
      </c>
      <c r="J129" s="6" t="inlineStr">
        <is>
          <t>Normal</t>
        </is>
      </c>
      <c r="K129" s="6" t="n">
        <v>166</v>
      </c>
      <c r="L129" s="6" t="inlineStr">
        <is>
          <t>W3 Pilots (AUTH)</t>
        </is>
      </c>
      <c r="M129" s="6" t="inlineStr">
        <is>
          <t>S18</t>
        </is>
      </c>
      <c r="N129" s="6" t="inlineStr">
        <is>
          <t>Team / provider</t>
        </is>
      </c>
      <c r="O129" s="6" t="inlineStr">
        <is>
          <t>Include these exception cases in the billing probe (pilot A); the documented list itself is complete for the pages read</t>
        </is>
      </c>
      <c r="P129" s="6" t="inlineStr">
        <is>
          <t>Partly</t>
        </is>
      </c>
      <c r="Q129" s="6" t="inlineStr">
        <is>
          <t>Scientific unknown</t>
        </is>
      </c>
      <c r="R129" s="6" t="inlineStr">
        <is>
          <t>Sub-item</t>
        </is>
      </c>
      <c r="S129" s="6" t="inlineStr">
        <is>
          <t>C-S03</t>
        </is>
      </c>
      <c r="T129" s="6" t="inlineStr">
        <is>
          <t>Vendor-documented exceptions (e.g., a conversation with no non-deferred tool pays one full miss; a tool-search tool counts as non-deferred) have not been tested.</t>
        </is>
      </c>
      <c r="U129"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29" s="6" t="inlineStr">
        <is>
          <t>Exception cases included in the probe.</t>
        </is>
      </c>
      <c r="W129" s="6" t="inlineStr">
        <is>
          <t>C-D09, C-D08</t>
        </is>
      </c>
      <c r="X129" s="6" t="inlineStr"/>
      <c r="Y129" s="6" t="inlineStr"/>
      <c r="Z129" s="6" t="inlineStr"/>
      <c r="AA129" s="6" t="inlineStr"/>
      <c r="AB129" s="6" t="inlineStr">
        <is>
          <t>DATA+SOURCE</t>
        </is>
      </c>
      <c r="AC129" s="6" t="inlineStr">
        <is>
          <t>n/a (sub-item)</t>
        </is>
      </c>
      <c r="AD129" s="6" t="inlineStr">
        <is>
          <t>NEW (SRC-11 sub-row)</t>
        </is>
      </c>
      <c r="AE129" s="6" t="inlineStr">
        <is>
          <t>2026-10-19</t>
        </is>
      </c>
      <c r="AF129" s="6" t="inlineStr">
        <is>
          <t>FND-0008 (findings/SUM-0010); FND-0012 (findings/SUM-0014); EXT-0115, EXT-0131, EXT-0142, EXT-0158, EXT-0161</t>
        </is>
      </c>
      <c r="AG129" s="6" t="inlineStr"/>
      <c r="AH129" s="6" t="inlineStr">
        <is>
          <t>Yes</t>
        </is>
      </c>
      <c r="AI129" s="6" t="inlineStr"/>
      <c r="AJ129" s="6" t="inlineStr">
        <is>
          <t>repo: v4-05 section 1A / v2-05 / v3-04</t>
        </is>
      </c>
      <c r="AK129" s="6" t="inlineStr"/>
      <c r="AL129" s="6" t="inlineStr">
        <is>
          <t>S18</t>
        </is>
      </c>
    </row>
    <row r="130" ht="203" customHeight="1">
      <c r="A130" s="5" t="inlineStr">
        <is>
          <t>C-S03/MINCACHE</t>
        </is>
      </c>
      <c r="B130" s="6" t="inlineStr">
        <is>
          <t>Minimum cacheable length: a small restricted prefix may fall below the cache threshold</t>
        </is>
      </c>
      <c r="C130" s="6" t="inlineStr">
        <is>
          <t>PARTLY ANSWERED</t>
        </is>
      </c>
      <c r="D130" s="6">
        <f>IFERROR(INDEX(Lists!$B$2:$B$14,MATCH(C130,Lists!$A$2:$A$14,0)),"?")</f>
        <v/>
      </c>
      <c r="E130" s="6">
        <f>IF(COUNTIFS(Links!$B$2:$B$600,A130,Links!$E$2:$E$600,"Yes")&gt;0,"REVISE","")</f>
        <v/>
      </c>
      <c r="F130" s="6">
        <f>COUNTIFS(Links!$B$2:$B$600,A130,Links!$D$2:$D$600,"No",Links!$C$2:$C$600,"&lt;&gt;INFORMS")</f>
        <v/>
      </c>
      <c r="G130" s="17" t="inlineStr">
        <is>
          <t>TEST-PILOT</t>
        </is>
      </c>
      <c r="H130" s="6" t="inlineStr">
        <is>
          <t>K9 Cache &amp; billing</t>
        </is>
      </c>
      <c r="I130" s="6" t="inlineStr">
        <is>
          <t>G3 Before confirmatory study</t>
        </is>
      </c>
      <c r="J130" s="6" t="inlineStr">
        <is>
          <t>Normal</t>
        </is>
      </c>
      <c r="K130" s="6" t="n">
        <v>167</v>
      </c>
      <c r="L130" s="6" t="inlineStr">
        <is>
          <t>W3 Pilots (AUTH)</t>
        </is>
      </c>
      <c r="M130" s="6" t="inlineStr">
        <is>
          <t>S18</t>
        </is>
      </c>
      <c r="N130" s="6" t="inlineStr">
        <is>
          <t>Team / provider</t>
        </is>
      </c>
      <c r="O130" s="6" t="inlineStr">
        <is>
          <t>Fold into the billing probe (pilot A): measure a prefix just below and above the minimum for the chosen model</t>
        </is>
      </c>
      <c r="P130" s="6" t="inlineStr">
        <is>
          <t>Partly</t>
        </is>
      </c>
      <c r="Q130" s="6" t="inlineStr">
        <is>
          <t>Scientific unknown</t>
        </is>
      </c>
      <c r="R130" s="6" t="inlineStr">
        <is>
          <t>Sub-item</t>
        </is>
      </c>
      <c r="S130" s="6" t="inlineStr">
        <is>
          <t>C-S03</t>
        </is>
      </c>
      <c r="T130" s="6" t="inlineStr">
        <is>
          <t>Cache study: minimum cacheable length 1,024-4,096 tokens by provider; a small restricted prefix can fall under it and lose caching entirely.</t>
        </is>
      </c>
      <c r="U130"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30" s="6" t="inlineStr">
        <is>
          <t>Threshold measured per provider/model.</t>
        </is>
      </c>
      <c r="W130" s="6" t="inlineStr">
        <is>
          <t>C-D09, C-D08</t>
        </is>
      </c>
      <c r="X130" s="6" t="inlineStr"/>
      <c r="Y130" s="6" t="inlineStr"/>
      <c r="Z130" s="6" t="inlineStr"/>
      <c r="AA130" s="6" t="inlineStr"/>
      <c r="AB130" s="6" t="inlineStr">
        <is>
          <t>DATA</t>
        </is>
      </c>
      <c r="AC130" s="6" t="inlineStr">
        <is>
          <t>n/a (sub-item)</t>
        </is>
      </c>
      <c r="AD130" s="6" t="inlineStr">
        <is>
          <t>NEW (SRC-11 sub-row)</t>
        </is>
      </c>
      <c r="AE130" s="6" t="inlineStr">
        <is>
          <t>2026-10-19</t>
        </is>
      </c>
      <c r="AF130" s="6" t="inlineStr">
        <is>
          <t>FND-0008 (findings/SUM-0010); FND-0012 (findings/SUM-0014); EXT-0137, EXT-0141, EXT-0142, EXT-0150</t>
        </is>
      </c>
      <c r="AG130" s="6" t="inlineStr"/>
      <c r="AH130" s="6" t="inlineStr">
        <is>
          <t>Yes</t>
        </is>
      </c>
      <c r="AI130" s="6" t="inlineStr"/>
      <c r="AJ130" s="6" t="inlineStr">
        <is>
          <t>repo: v4-05 section 1A / v2-05 / v3-04</t>
        </is>
      </c>
      <c r="AK130" s="6" t="inlineStr"/>
      <c r="AL130" s="6" t="inlineStr">
        <is>
          <t>S18</t>
        </is>
      </c>
    </row>
    <row r="131" ht="40.5" customHeight="1">
      <c r="A131" s="5" t="inlineStr">
        <is>
          <t>C-S06</t>
        </is>
      </c>
      <c r="B131" s="6" t="inlineStr">
        <is>
          <t>Output-side vs definition-side savings, harness variance, model/tokenizer drift: no equal-success controlle...</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K9 Cache &amp; billing</t>
        </is>
      </c>
      <c r="I131" s="6" t="inlineStr">
        <is>
          <t>G4 Before claims</t>
        </is>
      </c>
      <c r="J131" s="6" t="inlineStr">
        <is>
          <t>Normal</t>
        </is>
      </c>
      <c r="K131" s="6" t="n">
        <v>168</v>
      </c>
      <c r="L131" s="6" t="inlineStr">
        <is>
          <t>W3 Pilots (AUTH)</t>
        </is>
      </c>
      <c r="M131" s="6" t="inlineStr">
        <is>
          <t>S18</t>
        </is>
      </c>
      <c r="N131" s="6" t="inlineStr">
        <is>
          <t>Team</t>
        </is>
      </c>
      <c r="O131" s="6" t="inlineStr">
        <is>
          <t>Needs an AUTH and a protocol</t>
        </is>
      </c>
      <c r="P131" s="6" t="inlineStr">
        <is>
          <t>No</t>
        </is>
      </c>
      <c r="Q131" s="6" t="inlineStr">
        <is>
          <t>Scientific unknown</t>
        </is>
      </c>
      <c r="R131" s="6" t="inlineStr">
        <is>
          <t>Item</t>
        </is>
      </c>
      <c r="S131" s="6" t="inlineStr"/>
      <c r="T131" s="6" t="inlineStr">
        <is>
          <t>Output-side vs definition-side savings, harness variance, model/tokenizer drift: no equal-success controlled comparison.</t>
        </is>
      </c>
      <c r="U131" s="6" t="inlineStr">
        <is>
          <t>Output tokens enter the v4-04 cost model; BFCL cost column varies &gt;10x at similar accuracy (leaderboard snapshot).</t>
        </is>
      </c>
      <c r="V131" s="6" t="inlineStr">
        <is>
          <t>Versions fixed; trajectories compared; sensitivity reported (or deferred with trigger).</t>
        </is>
      </c>
      <c r="W131" s="6" t="inlineStr">
        <is>
          <t>C-D09, N-4</t>
        </is>
      </c>
      <c r="X131" s="6" t="inlineStr"/>
      <c r="Y131" s="6" t="inlineStr"/>
      <c r="Z131" s="6" t="inlineStr">
        <is>
          <t>TIME-RECHECK</t>
        </is>
      </c>
      <c r="AA131" s="6" t="inlineStr">
        <is>
          <t>K10 Token composition</t>
        </is>
      </c>
      <c r="AB131" s="6" t="inlineStr">
        <is>
          <t>DATA+TIME</t>
        </is>
      </c>
      <c r="AC131" s="6" t="inlineStr">
        <is>
          <t>OPEN</t>
        </is>
      </c>
      <c r="AD131" s="6" t="inlineStr">
        <is>
          <t>UNCHANGED</t>
        </is>
      </c>
      <c r="AE131" s="6" t="inlineStr">
        <is>
          <t>2026-10-19</t>
        </is>
      </c>
      <c r="AF131" s="6" t="inlineStr">
        <is>
          <t>v4-04 sections 2-3; v4-05 Round 5b</t>
        </is>
      </c>
      <c r="AG131" s="6" t="inlineStr">
        <is>
          <t>When a provider/model is chosen</t>
        </is>
      </c>
      <c r="AH131" s="6" t="inlineStr">
        <is>
          <t>Yes</t>
        </is>
      </c>
      <c r="AI131" s="6" t="inlineStr"/>
      <c r="AJ131" s="6" t="inlineStr">
        <is>
          <t>SRC-11 canonical</t>
        </is>
      </c>
      <c r="AK131" s="6" t="inlineStr">
        <is>
          <t>SRC-06 S10, SRC-06 S11, SRC-06 S12</t>
        </is>
      </c>
      <c r="AL131" s="6" t="inlineStr">
        <is>
          <t>S18</t>
        </is>
      </c>
    </row>
    <row r="132" ht="53" customHeight="1">
      <c r="A132" s="5" t="inlineStr">
        <is>
          <t>N-21</t>
        </is>
      </c>
      <c r="B132" s="6" t="inlineStr">
        <is>
          <t>E1 scope: can E1 end only the token-saving line? (retained disagreement)</t>
        </is>
      </c>
      <c r="C132" s="6" t="inlineStr">
        <is>
          <t>OPEN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K10 Token composition</t>
        </is>
      </c>
      <c r="I132" s="6" t="inlineStr">
        <is>
          <t>G3 Before confirmatory study</t>
        </is>
      </c>
      <c r="J132" s="6" t="inlineStr">
        <is>
          <t>Normal</t>
        </is>
      </c>
      <c r="K132" s="6" t="n">
        <v>169</v>
      </c>
      <c r="L132" s="6" t="inlineStr">
        <is>
          <t>W3 Pilots (AUTH)</t>
        </is>
      </c>
      <c r="M132" s="6" t="inlineStr">
        <is>
          <t>S18</t>
        </is>
      </c>
      <c r="N132" s="6" t="inlineStr">
        <is>
          <t>Team + Joaa</t>
        </is>
      </c>
      <c r="O132" s="6" t="inlineStr">
        <is>
          <t>Needs an AUTH and a protocol</t>
        </is>
      </c>
      <c r="P132" s="6" t="inlineStr">
        <is>
          <t>No</t>
        </is>
      </c>
      <c r="Q132" s="6" t="inlineStr">
        <is>
          <t>Disagreement</t>
        </is>
      </c>
      <c r="R132" s="6" t="inlineStr">
        <is>
          <t>Sub-item</t>
        </is>
      </c>
      <c r="S132" s="6" t="inlineStr">
        <is>
          <t>C-S01</t>
        </is>
      </c>
      <c r="T132" s="6" t="inlineStr">
        <is>
          <t>Lead and challenger disagree in part: E1 can end the token-saving question for negligible-share configurations but not the feasibility question; both positions are kept in v4-02 section 8 and v4-03 section 5.</t>
        </is>
      </c>
      <c r="U132" s="6" t="inlineStr">
        <is>
          <t>Retained disagreement; resolved only by the E1 result and a Joaa decision on what 'ends the line' means.</t>
        </is>
      </c>
      <c r="V132" s="6" t="inlineStr">
        <is>
          <t>E1 run; consequence agreed.</t>
        </is>
      </c>
      <c r="W132" s="6" t="inlineStr">
        <is>
          <t>C-D09</t>
        </is>
      </c>
      <c r="X132" s="6" t="inlineStr"/>
      <c r="Y132" s="6" t="inlineStr"/>
      <c r="Z132" s="6" t="inlineStr"/>
      <c r="AA132" s="6" t="inlineStr"/>
      <c r="AB132" s="6" t="inlineStr">
        <is>
          <t>DATA</t>
        </is>
      </c>
      <c r="AC132" s="6" t="inlineStr">
        <is>
          <t>n/a (new)</t>
        </is>
      </c>
      <c r="AD132" s="6" t="inlineStr">
        <is>
          <t>NEW (repo sweep)</t>
        </is>
      </c>
      <c r="AE132" s="6" t="inlineStr">
        <is>
          <t>2026-10-19</t>
        </is>
      </c>
      <c r="AF132" s="6" t="inlineStr">
        <is>
          <t>v4-02 section 8; v4-03 section 5</t>
        </is>
      </c>
      <c r="AG132" s="6" t="inlineStr"/>
      <c r="AH132" s="6" t="inlineStr">
        <is>
          <t>Yes</t>
        </is>
      </c>
      <c r="AI132" s="6" t="inlineStr"/>
      <c r="AJ132" s="6" t="inlineStr">
        <is>
          <t>repo: v4-02 section 8; thread T-20261019-96</t>
        </is>
      </c>
      <c r="AK132" s="6" t="inlineStr"/>
      <c r="AL132" s="6" t="inlineStr">
        <is>
          <t>S18</t>
        </is>
      </c>
    </row>
    <row r="133" ht="103" customHeight="1">
      <c r="A133" s="5" t="inlineStr">
        <is>
          <t>C-S01</t>
        </is>
      </c>
      <c r="B133" s="6" t="inlineStr">
        <is>
          <t>What share of tokens in real trajectories is tool definitions vs system prompt, history, tool outputs, by o...</t>
        </is>
      </c>
      <c r="C133" s="6" t="inlineStr">
        <is>
          <t>OPEN</t>
        </is>
      </c>
      <c r="D133" s="6">
        <f>IFERROR(INDEX(Lists!$B$2:$B$14,MATCH(C133,Lists!$A$2:$A$14,0)),"?")</f>
        <v/>
      </c>
      <c r="E133" s="6">
        <f>IF(COUNTIFS(Links!$B$2:$B$600,A133,Links!$E$2:$E$600,"Yes")&gt;0,"REVISE","")</f>
        <v/>
      </c>
      <c r="F133" s="6">
        <f>COUNTIFS(Links!$B$2:$B$600,A133,Links!$D$2:$D$600,"No",Links!$C$2:$C$600,"&lt;&gt;INFORMS")</f>
        <v/>
      </c>
      <c r="G133" s="17" t="inlineStr">
        <is>
          <t>TEST-PILOT</t>
        </is>
      </c>
      <c r="H133" s="6" t="inlineStr">
        <is>
          <t>K10 Token composition</t>
        </is>
      </c>
      <c r="I133" s="6" t="inlineStr">
        <is>
          <t>G3 Before confirmatory study</t>
        </is>
      </c>
      <c r="J133" s="6" t="inlineStr">
        <is>
          <t>Normal</t>
        </is>
      </c>
      <c r="K133" s="6" t="n">
        <v>170</v>
      </c>
      <c r="L133" s="6" t="inlineStr">
        <is>
          <t>W3 Pilots (AUTH)</t>
        </is>
      </c>
      <c r="M133" s="6" t="inlineStr">
        <is>
          <t>S18</t>
        </is>
      </c>
      <c r="N133" s="6" t="inlineStr">
        <is>
          <t>Team</t>
        </is>
      </c>
      <c r="O133" s="6" t="inlineStr">
        <is>
          <t>Needs an AUTH and a protocol</t>
        </is>
      </c>
      <c r="P133" s="6" t="inlineStr">
        <is>
          <t>No</t>
        </is>
      </c>
      <c r="Q133" s="6" t="inlineStr">
        <is>
          <t>Scientific unknown</t>
        </is>
      </c>
      <c r="R133" s="6" t="inlineStr">
        <is>
          <t>Item</t>
        </is>
      </c>
      <c r="S133" s="6" t="inlineStr"/>
      <c r="T133" s="6" t="inlineStr">
        <is>
          <t>What share of tokens in real trajectories is tool definitions vs system prompt, history, tool outputs, by outcome?</t>
        </is>
      </c>
      <c r="U133"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3" s="6" t="inlineStr">
        <is>
          <t>Per-call provider usage split by category, size and outcome (E1); can end the token-saving line, not the feasibility line.</t>
        </is>
      </c>
      <c r="W133" s="6" t="inlineStr">
        <is>
          <t>C-D09, C-D08, C-S16</t>
        </is>
      </c>
      <c r="X133" s="6" t="inlineStr">
        <is>
          <t>C-D11, C-D02</t>
        </is>
      </c>
      <c r="Y133" s="6" t="inlineStr">
        <is>
          <t>Q-U03</t>
        </is>
      </c>
      <c r="Z133" s="6" t="inlineStr">
        <is>
          <t>DESK-ANALYSIS</t>
        </is>
      </c>
      <c r="AA133" s="6" t="inlineStr">
        <is>
          <t>K9 Cache &amp; billing</t>
        </is>
      </c>
      <c r="AB133" s="6" t="inlineStr">
        <is>
          <t>DATA</t>
        </is>
      </c>
      <c r="AC133" s="6" t="inlineStr">
        <is>
          <t>OPEN</t>
        </is>
      </c>
      <c r="AD133" s="6" t="inlineStr">
        <is>
          <t>UNCHANGED</t>
        </is>
      </c>
      <c r="AE133" s="6" t="inlineStr">
        <is>
          <t>2026-10-19</t>
        </is>
      </c>
      <c r="AF133" s="6" t="inlineStr">
        <is>
          <t>v4-02 section 8; v4-05 section 3</t>
        </is>
      </c>
      <c r="AG133" s="6" t="inlineStr"/>
      <c r="AH133" s="6" t="inlineStr">
        <is>
          <t>Yes</t>
        </is>
      </c>
      <c r="AI133" s="6" t="inlineStr"/>
      <c r="AJ133" s="6" t="inlineStr">
        <is>
          <t>SRC-11 canonical</t>
        </is>
      </c>
      <c r="AK133" s="6" t="inlineStr">
        <is>
          <t>SRC-06 S02, SRC-06 S39, SRC-07 12, v3-04 E1</t>
        </is>
      </c>
      <c r="AL133" s="6" t="inlineStr">
        <is>
          <t>S18</t>
        </is>
      </c>
    </row>
    <row r="134" ht="253" customHeight="1">
      <c r="A134" s="5" t="inlineStr">
        <is>
          <t>C-S03</t>
        </is>
      </c>
      <c r="B134" s="6" t="inlineStr">
        <is>
          <t>Cache and billing behaviour of deferred or appended tool definitions: hit rate, effective multiplier, clien...</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G3 Before confirmatory study</t>
        </is>
      </c>
      <c r="J134" s="6" t="inlineStr">
        <is>
          <t>Normal</t>
        </is>
      </c>
      <c r="K134" s="6" t="n">
        <v>171</v>
      </c>
      <c r="L134" s="6" t="inlineStr">
        <is>
          <t>W3 Pilots (AUTH)</t>
        </is>
      </c>
      <c r="M134" s="6" t="inlineStr">
        <is>
          <t>S18</t>
        </is>
      </c>
      <c r="N134" s="6" t="inlineStr">
        <is>
          <t>Team / provider</t>
        </is>
      </c>
      <c r="O134" s="6" t="inlineStr">
        <is>
          <t>Needs an AUTH and a protocol</t>
        </is>
      </c>
      <c r="P134" s="6" t="inlineStr">
        <is>
          <t>Partly</t>
        </is>
      </c>
      <c r="Q134" s="6" t="inlineStr">
        <is>
          <t>Scientific unknown</t>
        </is>
      </c>
      <c r="R134" s="6" t="inlineStr">
        <is>
          <t>Item</t>
        </is>
      </c>
      <c r="S134" s="6" t="inlineStr"/>
      <c r="T134"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4"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4" s="6" t="inlineStr">
        <is>
          <t>Matched trajectories on one named provider, model, TTL and layout with full usage records; scope of the claim stated.</t>
        </is>
      </c>
      <c r="W134" s="6" t="inlineStr">
        <is>
          <t>C-D09, C-D08, C-E05, C-S16</t>
        </is>
      </c>
      <c r="X134" s="6" t="inlineStr">
        <is>
          <t>C-D11</t>
        </is>
      </c>
      <c r="Y134" s="6" t="inlineStr">
        <is>
          <t>Q-J26</t>
        </is>
      </c>
      <c r="Z134" s="6" t="inlineStr">
        <is>
          <t>SOURCE-REREAD, TIME-RECHECK</t>
        </is>
      </c>
      <c r="AA134" s="6" t="inlineStr">
        <is>
          <t>K15 Expiring provider facts</t>
        </is>
      </c>
      <c r="AB134" s="6" t="inlineStr">
        <is>
          <t>DATA+TIME</t>
        </is>
      </c>
      <c r="AC134" s="6" t="inlineStr">
        <is>
          <t>OPEN</t>
        </is>
      </c>
      <c r="AD134" s="6" t="inlineStr">
        <is>
          <t>NARROWED</t>
        </is>
      </c>
      <c r="AE134" s="6" t="inlineStr">
        <is>
          <t>2026-10-19</t>
        </is>
      </c>
      <c r="AF134" s="6" t="inlineStr">
        <is>
          <t>v4-05 section 1A; EXT-0093/0096/0066; HYP-0009</t>
        </is>
      </c>
      <c r="AG134" s="6" t="inlineStr"/>
      <c r="AH134" s="6" t="inlineStr">
        <is>
          <t>Yes</t>
        </is>
      </c>
      <c r="AI134" s="6" t="inlineStr"/>
      <c r="AJ134" s="6" t="inlineStr">
        <is>
          <t>SRC-11 canonical</t>
        </is>
      </c>
      <c r="AK134" s="6" t="inlineStr">
        <is>
          <t>SRC-06 S03, SRC-06 S04, SRC-06 S08, HYP-0007, HYP-0009, RA12, CH-0065, CH-0066, Joaa 19 Oct 12:25 (explored information kept in cache)</t>
        </is>
      </c>
      <c r="AL134" s="6" t="inlineStr">
        <is>
          <t>S18</t>
        </is>
      </c>
    </row>
    <row r="135" ht="28" customHeight="1">
      <c r="A135" s="5" t="inlineStr">
        <is>
          <t>C-X01</t>
        </is>
      </c>
      <c r="B135" s="6" t="inlineStr">
        <is>
          <t>E1: the token-composition test that answers C-S01.</t>
        </is>
      </c>
      <c r="C135" s="6" t="inlineStr">
        <is>
          <t>UNRUN</t>
        </is>
      </c>
      <c r="D135" s="6">
        <f>IFERROR(INDEX(Lists!$B$2:$B$14,MATCH(C135,Lists!$A$2:$A$14,0)),"?")</f>
        <v/>
      </c>
      <c r="E135" s="6">
        <f>IF(COUNTIFS(Links!$B$2:$B$600,A135,Links!$E$2:$E$600,"Yes")&gt;0,"REVISE","")</f>
        <v/>
      </c>
      <c r="F135" s="6">
        <f>COUNTIFS(Links!$B$2:$B$600,A135,Links!$D$2:$D$600,"No",Links!$C$2:$C$600,"&lt;&gt;INFORMS")</f>
        <v/>
      </c>
      <c r="G135" s="17" t="inlineStr">
        <is>
          <t>TEST-PILOT</t>
        </is>
      </c>
      <c r="H135" s="6" t="inlineStr">
        <is>
          <t>K10 Token composition</t>
        </is>
      </c>
      <c r="I135" s="6" t="inlineStr">
        <is>
          <t>G3 Before confirmatory study</t>
        </is>
      </c>
      <c r="J135" s="6" t="inlineStr">
        <is>
          <t>Normal</t>
        </is>
      </c>
      <c r="K135" s="6" t="n">
        <v>172</v>
      </c>
      <c r="L135" s="6" t="inlineStr">
        <is>
          <t>W3 Pilots (AUTH)</t>
        </is>
      </c>
      <c r="M135" s="6" t="inlineStr">
        <is>
          <t>S18</t>
        </is>
      </c>
      <c r="N135" s="6" t="inlineStr">
        <is>
          <t>Team</t>
        </is>
      </c>
      <c r="O135" s="6" t="inlineStr">
        <is>
          <t>Needs an AUTH and a protocol</t>
        </is>
      </c>
      <c r="P135" s="6" t="inlineStr">
        <is>
          <t>No</t>
        </is>
      </c>
      <c r="Q135" s="6" t="inlineStr">
        <is>
          <t>Test</t>
        </is>
      </c>
      <c r="R135" s="6" t="inlineStr">
        <is>
          <t>Check</t>
        </is>
      </c>
      <c r="S135" s="6" t="inlineStr"/>
      <c r="T135" s="6" t="inlineStr">
        <is>
          <t>E1: the token-composition test that answers C-S01.</t>
        </is>
      </c>
      <c r="U135" s="6" t="inlineStr">
        <is>
          <t>Restated, not run; not authorized.</t>
        </is>
      </c>
      <c r="V135" s="6" t="inlineStr">
        <is>
          <t>Same as C-S01.</t>
        </is>
      </c>
      <c r="W135" s="6" t="inlineStr">
        <is>
          <t>C-D09, C-D08, C-S16</t>
        </is>
      </c>
      <c r="X135" s="6" t="inlineStr">
        <is>
          <t>C-D11</t>
        </is>
      </c>
      <c r="Y135" s="6" t="inlineStr"/>
      <c r="Z135" s="6" t="inlineStr"/>
      <c r="AA135" s="6" t="inlineStr">
        <is>
          <t>K9 Cache &amp; billing</t>
        </is>
      </c>
      <c r="AB135" s="6" t="inlineStr">
        <is>
          <t>DATA</t>
        </is>
      </c>
      <c r="AC135" s="6" t="inlineStr">
        <is>
          <t>NO RESULT - OPEN</t>
        </is>
      </c>
      <c r="AD135" s="6" t="inlineStr">
        <is>
          <t>UNCHANGED</t>
        </is>
      </c>
      <c r="AE135" s="6" t="inlineStr">
        <is>
          <t>2026-10-19</t>
        </is>
      </c>
      <c r="AF135" s="6" t="inlineStr">
        <is>
          <t>v4-02 section 8</t>
        </is>
      </c>
      <c r="AG135" s="6" t="inlineStr"/>
      <c r="AH135" s="6" t="inlineStr">
        <is>
          <t>Yes</t>
        </is>
      </c>
      <c r="AI135" s="6" t="inlineStr"/>
      <c r="AJ135" s="6" t="inlineStr">
        <is>
          <t>SRC-11 canonical</t>
        </is>
      </c>
      <c r="AK135" s="6" t="inlineStr">
        <is>
          <t>E1</t>
        </is>
      </c>
      <c r="AL135" s="6" t="inlineStr">
        <is>
          <t>S18</t>
        </is>
      </c>
    </row>
    <row r="136" ht="28" customHeight="1">
      <c r="A136" s="5" t="inlineStr">
        <is>
          <t>C-X07</t>
        </is>
      </c>
      <c r="B136" s="6" t="inlineStr">
        <is>
          <t>E7: billed-cost and cache probe that answers C-S03 (and feeds C-S02/S04).</t>
        </is>
      </c>
      <c r="C136" s="6" t="inlineStr">
        <is>
          <t>UNRUN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K9 Cache &amp; billing</t>
        </is>
      </c>
      <c r="I136" s="6" t="inlineStr">
        <is>
          <t>G3 Before confirmatory study</t>
        </is>
      </c>
      <c r="J136" s="6" t="inlineStr">
        <is>
          <t>Normal</t>
        </is>
      </c>
      <c r="K136" s="6" t="n">
        <v>173</v>
      </c>
      <c r="L136" s="6" t="inlineStr">
        <is>
          <t>W3 Pilots (AUTH)</t>
        </is>
      </c>
      <c r="M136" s="6" t="inlineStr">
        <is>
          <t>S18</t>
        </is>
      </c>
      <c r="N136" s="6" t="inlineStr">
        <is>
          <t>Team</t>
        </is>
      </c>
      <c r="O136" s="6" t="inlineStr">
        <is>
          <t>Needs an AUTH and a protocol</t>
        </is>
      </c>
      <c r="P136" s="6" t="inlineStr">
        <is>
          <t>No</t>
        </is>
      </c>
      <c r="Q136" s="6" t="inlineStr">
        <is>
          <t>Test</t>
        </is>
      </c>
      <c r="R136" s="6" t="inlineStr">
        <is>
          <t>Check</t>
        </is>
      </c>
      <c r="S136" s="6" t="inlineStr"/>
      <c r="T136" s="6" t="inlineStr">
        <is>
          <t>E7: billed-cost and cache probe that answers C-S03 (and feeds C-S02/S04).</t>
        </is>
      </c>
      <c r="U136" s="6" t="inlineStr">
        <is>
          <t>Pilot 1 reframed in v4-05 section 2; not run.</t>
        </is>
      </c>
      <c r="V136" s="6" t="inlineStr">
        <is>
          <t>Same as C-S03.</t>
        </is>
      </c>
      <c r="W136" s="6" t="inlineStr">
        <is>
          <t>C-D09, C-D08, C-E05, C-S16</t>
        </is>
      </c>
      <c r="X136" s="6" t="inlineStr">
        <is>
          <t>C-D11</t>
        </is>
      </c>
      <c r="Y136" s="6" t="inlineStr"/>
      <c r="Z136" s="6" t="inlineStr"/>
      <c r="AA136" s="6" t="inlineStr"/>
      <c r="AB136" s="6" t="inlineStr">
        <is>
          <t>DATA</t>
        </is>
      </c>
      <c r="AC136" s="6" t="inlineStr">
        <is>
          <t>NO RESULT - OPEN</t>
        </is>
      </c>
      <c r="AD136" s="6" t="inlineStr">
        <is>
          <t>UNCHANGED</t>
        </is>
      </c>
      <c r="AE136" s="6" t="inlineStr">
        <is>
          <t>2026-10-19</t>
        </is>
      </c>
      <c r="AF136" s="6" t="inlineStr">
        <is>
          <t>v4-05 section 2 item 2</t>
        </is>
      </c>
      <c r="AG136" s="6" t="inlineStr"/>
      <c r="AH136" s="6" t="inlineStr">
        <is>
          <t>Yes</t>
        </is>
      </c>
      <c r="AI136" s="6" t="inlineStr"/>
      <c r="AJ136" s="6" t="inlineStr">
        <is>
          <t>SRC-11 canonical</t>
        </is>
      </c>
      <c r="AK136" s="6" t="inlineStr">
        <is>
          <t>E7</t>
        </is>
      </c>
      <c r="AL136" s="6" t="inlineStr">
        <is>
          <t>S18</t>
        </is>
      </c>
    </row>
    <row r="137" ht="40.5" customHeight="1">
      <c r="A137" s="5" t="inlineStr">
        <is>
          <t>C-S04</t>
        </is>
      </c>
      <c r="B137" s="6" t="inlineStr">
        <is>
          <t>The warm-hit arithmetic (the '11-16%' figure) omits TTL, concurrency and growing suffix; session gaps unacc...</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K9 Cache &amp; billing</t>
        </is>
      </c>
      <c r="I137" s="6" t="inlineStr">
        <is>
          <t>G4 Before claims</t>
        </is>
      </c>
      <c r="J137" s="6" t="inlineStr">
        <is>
          <t>Normal</t>
        </is>
      </c>
      <c r="K137" s="6" t="n">
        <v>174</v>
      </c>
      <c r="L137" s="6" t="inlineStr">
        <is>
          <t>W3 Pilots (AUTH)</t>
        </is>
      </c>
      <c r="M137" s="6" t="inlineStr">
        <is>
          <t>S18</t>
        </is>
      </c>
      <c r="N137" s="6" t="inlineStr">
        <is>
          <t>Team</t>
        </is>
      </c>
      <c r="O137" s="6" t="inlineStr">
        <is>
          <t>Needs an AUTH and a protocol</t>
        </is>
      </c>
      <c r="P137" s="6" t="inlineStr">
        <is>
          <t>Partly</t>
        </is>
      </c>
      <c r="Q137" s="6" t="inlineStr">
        <is>
          <t>Scientific unknown</t>
        </is>
      </c>
      <c r="R137" s="6" t="inlineStr">
        <is>
          <t>Item</t>
        </is>
      </c>
      <c r="S137" s="6" t="inlineStr"/>
      <c r="T137" s="6" t="inlineStr">
        <is>
          <t>The warm-hit arithmetic (the '11-16%' figure) omits TTL, concurrency and growing suffix; session gaps unaccounted.</t>
        </is>
      </c>
      <c r="U137" s="6" t="inlineStr">
        <is>
          <t>v4-04 section 3 gives a cost model with cold-start per session (arithmetic verified); the specific 11-16% figure is not in the repo.</t>
        </is>
      </c>
      <c r="V137" s="6" t="inlineStr">
        <is>
          <t>Recalculate with measured hit rates and varied session patterns.</t>
        </is>
      </c>
      <c r="W137" s="6" t="inlineStr">
        <is>
          <t>C-S03</t>
        </is>
      </c>
      <c r="X137" s="6" t="inlineStr"/>
      <c r="Y137" s="6" t="inlineStr">
        <is>
          <t>Q-J04</t>
        </is>
      </c>
      <c r="Z137" s="6" t="inlineStr">
        <is>
          <t>DESK-ANALYSIS</t>
        </is>
      </c>
      <c r="AA137" s="6" t="inlineStr">
        <is>
          <t>K4 Memory &amp; sessions</t>
        </is>
      </c>
      <c r="AB137" s="6" t="inlineStr">
        <is>
          <t>DATA+BOUND</t>
        </is>
      </c>
      <c r="AC137" s="6" t="inlineStr">
        <is>
          <t>OPEN</t>
        </is>
      </c>
      <c r="AD137" s="6" t="inlineStr">
        <is>
          <t>RE-CHARACTERISED</t>
        </is>
      </c>
      <c r="AE137" s="6" t="inlineStr">
        <is>
          <t>2026-10-19</t>
        </is>
      </c>
      <c r="AF137" s="6" t="inlineStr">
        <is>
          <t>v4-04 section 3</t>
        </is>
      </c>
      <c r="AG137" s="6" t="inlineStr"/>
      <c r="AH137" s="6" t="inlineStr">
        <is>
          <t>Yes (measured rates)</t>
        </is>
      </c>
      <c r="AI137" s="6" t="inlineStr"/>
      <c r="AJ137" s="6" t="inlineStr">
        <is>
          <t>SRC-11 canonical</t>
        </is>
      </c>
      <c r="AK137" s="6" t="inlineStr">
        <is>
          <t>SRC-06 S07</t>
        </is>
      </c>
      <c r="AL137" s="6" t="inlineStr">
        <is>
          <t>S18</t>
        </is>
      </c>
    </row>
    <row r="138" ht="65.5" customHeight="1">
      <c r="A138" s="5" t="inlineStr">
        <is>
          <t>C-S08/EVENTS</t>
        </is>
      </c>
      <c r="B138" s="6" t="inlineStr">
        <is>
          <t>Counted events and 'absent' constructs for the search pilot</t>
        </is>
      </c>
      <c r="C138" s="6" t="inlineStr">
        <is>
          <t>OPEN</t>
        </is>
      </c>
      <c r="D138" s="6">
        <f>IFERROR(INDEX(Lists!$B$2:$B$14,MATCH(C138,Lists!$A$2:$A$14,0)),"?")</f>
        <v/>
      </c>
      <c r="E138" s="6">
        <f>IF(COUNTIFS(Links!$B$2:$B$600,A138,Links!$E$2:$E$600,"Yes")&gt;0,"REVISE","")</f>
        <v/>
      </c>
      <c r="F138" s="6">
        <f>COUNTIFS(Links!$B$2:$B$600,A138,Links!$D$2:$D$600,"No",Links!$C$2:$C$600,"&lt;&gt;INFORMS")</f>
        <v/>
      </c>
      <c r="G138" s="13" t="inlineStr">
        <is>
          <t>DESK-ANALYSIS</t>
        </is>
      </c>
      <c r="H138" s="6" t="inlineStr">
        <is>
          <t>K8 Search initiation &amp; recovery</t>
        </is>
      </c>
      <c r="I138" s="6" t="inlineStr">
        <is>
          <t>G3 Before confirmatory study</t>
        </is>
      </c>
      <c r="J138" s="6" t="inlineStr">
        <is>
          <t>Normal</t>
        </is>
      </c>
      <c r="K138" s="6" t="n">
        <v>175</v>
      </c>
      <c r="L138" s="6" t="inlineStr">
        <is>
          <t>W3 Pilots (AUTH)</t>
        </is>
      </c>
      <c r="M138" s="6" t="inlineStr">
        <is>
          <t>S19</t>
        </is>
      </c>
      <c r="N138" s="6" t="inlineStr">
        <is>
          <t>Team</t>
        </is>
      </c>
      <c r="O138" s="6" t="inlineStr">
        <is>
          <t>Lead computes or writes it (no model runs)</t>
        </is>
      </c>
      <c r="P138" s="6" t="inlineStr">
        <is>
          <t>Partly</t>
        </is>
      </c>
      <c r="Q138" s="6" t="inlineStr">
        <is>
          <t>Scientific unknown</t>
        </is>
      </c>
      <c r="R138" s="6" t="inlineStr">
        <is>
          <t>Sub-item</t>
        </is>
      </c>
      <c r="S138" s="6" t="inlineStr">
        <is>
          <t>C-S08</t>
        </is>
      </c>
      <c r="T138" s="6" t="inlineStr">
        <is>
          <t>The pilot must count (i) search calls, (ii) domain-tool calls, (iii) direct answers, and separate three 'absent' constructs (hidden-but-present, nonexistent, visible-but-uncalled); a 'spurious call' means the opposite of correct behaviour in our setting.</t>
        </is>
      </c>
      <c r="U138" s="6" t="inlineStr">
        <is>
          <t>Recorded as open in its source; not examined further in this review.</t>
        </is>
      </c>
      <c r="V138" s="6" t="inlineStr">
        <is>
          <t>Definitions written into the pilot protocol.</t>
        </is>
      </c>
      <c r="W138" s="6" t="inlineStr">
        <is>
          <t>C-D09, C-D08</t>
        </is>
      </c>
      <c r="X138" s="6" t="inlineStr"/>
      <c r="Y138" s="6" t="inlineStr"/>
      <c r="Z138" s="6" t="inlineStr"/>
      <c r="AA138" s="6" t="inlineStr"/>
      <c r="AB138" s="6" t="inlineStr">
        <is>
          <t>DATA</t>
        </is>
      </c>
      <c r="AC138" s="6" t="inlineStr">
        <is>
          <t>n/a (sub-item)</t>
        </is>
      </c>
      <c r="AD138" s="6" t="inlineStr">
        <is>
          <t>NEW (SRC-11 sub-row)</t>
        </is>
      </c>
      <c r="AE138" s="6" t="inlineStr">
        <is>
          <t>2026-10-19</t>
        </is>
      </c>
      <c r="AF138" s="6" t="inlineStr">
        <is>
          <t>v4-05 section 1B</t>
        </is>
      </c>
      <c r="AG138" s="6" t="inlineStr"/>
      <c r="AH138" s="6" t="inlineStr">
        <is>
          <t>Yes</t>
        </is>
      </c>
      <c r="AI138" s="6" t="inlineStr"/>
      <c r="AJ138" s="6" t="inlineStr">
        <is>
          <t>repo: v4-05 sections 1B, 3, 4; reviews RV-0006/0007</t>
        </is>
      </c>
      <c r="AK138" s="6" t="inlineStr">
        <is>
          <t>CH-0061, CH-0072</t>
        </is>
      </c>
      <c r="AL138" s="6" t="inlineStr">
        <is>
          <t>S13</t>
        </is>
      </c>
    </row>
    <row r="139" ht="103" customHeight="1">
      <c r="A139" s="5" t="inlineStr">
        <is>
          <t>C-S08/FPCOST</t>
        </is>
      </c>
      <c r="B139" s="6" t="inlineStr">
        <is>
          <t>False-positive / wasted-call cost is priced by no source</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K8 Search initiation &amp; recovery</t>
        </is>
      </c>
      <c r="I139" s="6" t="inlineStr">
        <is>
          <t>G3 Before confirmatory study</t>
        </is>
      </c>
      <c r="J139" s="6" t="inlineStr">
        <is>
          <t>Normal</t>
        </is>
      </c>
      <c r="K139" s="6" t="n">
        <v>176</v>
      </c>
      <c r="L139" s="6" t="inlineStr">
        <is>
          <t>W3 Pilots (AUTH)</t>
        </is>
      </c>
      <c r="M139" s="6" t="inlineStr">
        <is>
          <t>S19</t>
        </is>
      </c>
      <c r="N139" s="6" t="inlineStr">
        <is>
          <t>Team</t>
        </is>
      </c>
      <c r="O139" s="6" t="inlineStr">
        <is>
          <t>Needs an AUTH and a protocol (pilot B) if the cost of spurious calls is to be priced</t>
        </is>
      </c>
      <c r="P139" s="6" t="inlineStr">
        <is>
          <t>Partly</t>
        </is>
      </c>
      <c r="Q139" s="6" t="inlineStr">
        <is>
          <t>Scientific unknown</t>
        </is>
      </c>
      <c r="R139" s="6" t="inlineStr">
        <is>
          <t>Sub-item</t>
        </is>
      </c>
      <c r="S139" s="6" t="inlineStr">
        <is>
          <t>C-S08</t>
        </is>
      </c>
      <c r="T139" s="6" t="inlineStr">
        <is>
          <t>Rates of hallucinated or spurious tool calls exist under different, non-interchangeable definitions (1-96%, 15-57%, BFCL irrelevance ~13-26% leading models); none prices the wasted rounds; scoring must be rule-based, not by an LLM judge that is also a candidate.</t>
        </is>
      </c>
      <c r="U139"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39" s="6" t="inlineStr">
        <is>
          <t>Cost accounting of false-positive calls in pilot B.</t>
        </is>
      </c>
      <c r="W139" s="6" t="inlineStr">
        <is>
          <t>C-D09, C-D08</t>
        </is>
      </c>
      <c r="X139" s="6" t="inlineStr"/>
      <c r="Y139" s="6" t="inlineStr"/>
      <c r="Z139" s="6" t="inlineStr"/>
      <c r="AA139" s="6" t="inlineStr"/>
      <c r="AB139" s="6" t="inlineStr">
        <is>
          <t>DATA</t>
        </is>
      </c>
      <c r="AC139" s="6" t="inlineStr">
        <is>
          <t>n/a (sub-item)</t>
        </is>
      </c>
      <c r="AD139" s="6" t="inlineStr">
        <is>
          <t>NEW (SRC-11 sub-row)</t>
        </is>
      </c>
      <c r="AE139" s="6" t="inlineStr">
        <is>
          <t>2026-10-19</t>
        </is>
      </c>
      <c r="AF139" s="6" t="inlineStr">
        <is>
          <t>FND-0016 (findings/SUM-0018); stored texts evidence/literature-20261019/lit-when2tool-2605.09252.txt, lit-tulip-2407.21778.txt, lit-closedworld-2609.19425.txt</t>
        </is>
      </c>
      <c r="AG139" s="6" t="inlineStr"/>
      <c r="AH139" s="6" t="inlineStr">
        <is>
          <t>Yes</t>
        </is>
      </c>
      <c r="AI139" s="6" t="inlineStr"/>
      <c r="AJ139" s="6" t="inlineStr">
        <is>
          <t>repo: v4-05 sections 1B, 3, 4; reviews RV-0006/0007</t>
        </is>
      </c>
      <c r="AK139" s="6" t="inlineStr">
        <is>
          <t>CH-0069, CH-0070</t>
        </is>
      </c>
      <c r="AL139" s="6" t="inlineStr">
        <is>
          <t>S13</t>
        </is>
      </c>
    </row>
    <row r="140" ht="28" customHeight="1">
      <c r="A140" s="5" t="inlineStr">
        <is>
          <t>C-S08/RA6</t>
        </is>
      </c>
      <c r="B140" s="6" t="inlineStr">
        <is>
          <t>RA6: scope statement must tell the model enough to search without leaking gold information</t>
        </is>
      </c>
      <c r="C140" s="6" t="inlineStr">
        <is>
          <t>OPEN</t>
        </is>
      </c>
      <c r="D140" s="6">
        <f>IFERROR(INDEX(Lists!$B$2:$B$14,MATCH(C140,Lists!$A$2:$A$14,0)),"?")</f>
        <v/>
      </c>
      <c r="E140" s="6">
        <f>IF(COUNTIFS(Links!$B$2:$B$600,A140,Links!$E$2:$E$600,"Yes")&gt;0,"REVISE","")</f>
        <v/>
      </c>
      <c r="F140" s="6">
        <f>COUNTIFS(Links!$B$2:$B$600,A140,Links!$D$2:$D$600,"No",Links!$C$2:$C$600,"&lt;&gt;INFORMS")</f>
        <v/>
      </c>
      <c r="G140" s="13" t="inlineStr">
        <is>
          <t>DESK-ANALYSIS</t>
        </is>
      </c>
      <c r="H140" s="6" t="inlineStr">
        <is>
          <t>K8 Search initiation &amp; recovery</t>
        </is>
      </c>
      <c r="I140" s="6" t="inlineStr">
        <is>
          <t>G3 Before confirmatory study</t>
        </is>
      </c>
      <c r="J140" s="6" t="inlineStr">
        <is>
          <t>Normal</t>
        </is>
      </c>
      <c r="K140" s="6" t="n">
        <v>177</v>
      </c>
      <c r="L140" s="6" t="inlineStr">
        <is>
          <t>W3 Pilots (AUTH)</t>
        </is>
      </c>
      <c r="M140" s="6" t="inlineStr">
        <is>
          <t>S19</t>
        </is>
      </c>
      <c r="N140" s="6" t="inlineStr">
        <is>
          <t>Team</t>
        </is>
      </c>
      <c r="O140" s="6" t="inlineStr">
        <is>
          <t>Lead computes or writes it (no model runs)</t>
        </is>
      </c>
      <c r="P140" s="6" t="inlineStr">
        <is>
          <t>Partly</t>
        </is>
      </c>
      <c r="Q140" s="6" t="inlineStr">
        <is>
          <t>Assumption</t>
        </is>
      </c>
      <c r="R140" s="6" t="inlineStr">
        <is>
          <t>Sub-item</t>
        </is>
      </c>
      <c r="S140" s="6" t="inlineStr">
        <is>
          <t>C-S08</t>
        </is>
      </c>
      <c r="T140" s="6" t="inlineStr">
        <is>
          <t>Recovery assumption RA6 (v3-02): the scope statement must be informative without leaking gold information.</t>
        </is>
      </c>
      <c r="U140" s="6" t="inlineStr">
        <is>
          <t>Recorded as open in its source; not examined further in this review.</t>
        </is>
      </c>
      <c r="V140" s="6" t="inlineStr">
        <is>
          <t>Statement ladder specified and its tokens charged (C-D08/SCOPESTMT).</t>
        </is>
      </c>
      <c r="W140" s="6" t="inlineStr">
        <is>
          <t>C-D09, C-D08</t>
        </is>
      </c>
      <c r="X140" s="6" t="inlineStr"/>
      <c r="Y140" s="6" t="inlineStr"/>
      <c r="Z140" s="6" t="inlineStr"/>
      <c r="AA140" s="6" t="inlineStr"/>
      <c r="AB140" s="6" t="inlineStr">
        <is>
          <t>DATA</t>
        </is>
      </c>
      <c r="AC140" s="6" t="inlineStr">
        <is>
          <t>n/a (sub-item)</t>
        </is>
      </c>
      <c r="AD140" s="6" t="inlineStr">
        <is>
          <t>NEW (SRC-11 sub-row)</t>
        </is>
      </c>
      <c r="AE140" s="6" t="inlineStr">
        <is>
          <t>2026-10-19</t>
        </is>
      </c>
      <c r="AF140" s="6" t="inlineStr">
        <is>
          <t>v3-02 section 4 RA1-RA13</t>
        </is>
      </c>
      <c r="AG140" s="6" t="inlineStr"/>
      <c r="AH140" s="6" t="inlineStr">
        <is>
          <t>Yes</t>
        </is>
      </c>
      <c r="AI140" s="6" t="inlineStr"/>
      <c r="AJ140" s="6" t="inlineStr">
        <is>
          <t>repo: v3-02 section 4</t>
        </is>
      </c>
      <c r="AK140" s="6" t="inlineStr">
        <is>
          <t>RA6</t>
        </is>
      </c>
      <c r="AL140" s="6" t="inlineStr">
        <is>
          <t>S13</t>
        </is>
      </c>
    </row>
    <row r="141" ht="115.5" customHeight="1">
      <c r="A141" s="5" t="inlineStr">
        <is>
          <t>C-S08/UNINSTR</t>
        </is>
      </c>
      <c r="B141" s="6" t="inlineStr">
        <is>
          <t>Uninstructed search initiation: no per-task rate found</t>
        </is>
      </c>
      <c r="C141" s="6" t="inlineStr">
        <is>
          <t>PARTLY ANSWERED</t>
        </is>
      </c>
      <c r="D141" s="6">
        <f>IFERROR(INDEX(Lists!$B$2:$B$14,MATCH(C141,Lists!$A$2:$A$14,0)),"?")</f>
        <v/>
      </c>
      <c r="E141" s="6">
        <f>IF(COUNTIFS(Links!$B$2:$B$600,A141,Links!$E$2:$E$600,"Yes")&gt;0,"REVISE","")</f>
        <v/>
      </c>
      <c r="F141" s="6">
        <f>COUNTIFS(Links!$B$2:$B$600,A141,Links!$D$2:$D$600,"No",Links!$C$2:$C$600,"&lt;&gt;INFORMS")</f>
        <v/>
      </c>
      <c r="G141" s="17" t="inlineStr">
        <is>
          <t>TEST-PILOT</t>
        </is>
      </c>
      <c r="H141" s="6" t="inlineStr">
        <is>
          <t>K8 Search initiation &amp; recovery</t>
        </is>
      </c>
      <c r="I141" s="6" t="inlineStr">
        <is>
          <t>G3 Before confirmatory study</t>
        </is>
      </c>
      <c r="J141" s="6" t="inlineStr">
        <is>
          <t>Normal</t>
        </is>
      </c>
      <c r="K141" s="6" t="n">
        <v>178</v>
      </c>
      <c r="L141" s="6" t="inlineStr">
        <is>
          <t>W3 Pilots (AUTH)</t>
        </is>
      </c>
      <c r="M141" s="6" t="inlineStr">
        <is>
          <t>S19</t>
        </is>
      </c>
      <c r="N141" s="6" t="inlineStr">
        <is>
          <t>Team</t>
        </is>
      </c>
      <c r="O141" s="6" t="inlineStr">
        <is>
          <t>Needs an AUTH and a protocol (pilot B) if a rate is wanted</t>
        </is>
      </c>
      <c r="P141" s="6" t="inlineStr">
        <is>
          <t>Partly</t>
        </is>
      </c>
      <c r="Q141" s="6" t="inlineStr">
        <is>
          <t>Scientific unknown</t>
        </is>
      </c>
      <c r="R141" s="6" t="inlineStr">
        <is>
          <t>Sub-item</t>
        </is>
      </c>
      <c r="S141" s="6" t="inlineStr">
        <is>
          <t>C-S08</t>
        </is>
      </c>
      <c r="T141" s="6" t="inlineStr">
        <is>
          <t>No source reports the share of tasks with zero search calls when a search channel exists but is not instructed and no visible tool fits.</t>
        </is>
      </c>
      <c r="U141"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41" s="6" t="inlineStr">
        <is>
          <t>Pilot B primary cell: tool-description only.</t>
        </is>
      </c>
      <c r="W141" s="6" t="inlineStr">
        <is>
          <t>C-D09, C-D08</t>
        </is>
      </c>
      <c r="X141" s="6" t="inlineStr"/>
      <c r="Y141" s="6" t="inlineStr"/>
      <c r="Z141" s="6" t="inlineStr"/>
      <c r="AA141" s="6" t="inlineStr"/>
      <c r="AB141" s="6" t="inlineStr">
        <is>
          <t>DATA</t>
        </is>
      </c>
      <c r="AC141" s="6" t="inlineStr">
        <is>
          <t>n/a (sub-item)</t>
        </is>
      </c>
      <c r="AD141" s="6" t="inlineStr">
        <is>
          <t>NEW (SRC-11 sub-row)</t>
        </is>
      </c>
      <c r="AE141" s="6" t="inlineStr">
        <is>
          <t>2026-10-19</t>
        </is>
      </c>
      <c r="AF141" s="6" t="inlineStr">
        <is>
          <t>FND-0016 (findings/SUM-0018); stored texts evidence/literature-20261019/lit-when2tool-2605.09252.txt, lit-tulip-2407.21778.txt, lit-closedworld-2609.19425.txt</t>
        </is>
      </c>
      <c r="AG141" s="6" t="inlineStr"/>
      <c r="AH141" s="6" t="inlineStr">
        <is>
          <t>Yes</t>
        </is>
      </c>
      <c r="AI141" s="6" t="inlineStr"/>
      <c r="AJ141" s="6" t="inlineStr">
        <is>
          <t>repo: v4-05 sections 1B, 3, 4; reviews RV-0006/0007</t>
        </is>
      </c>
      <c r="AK141" s="6" t="inlineStr">
        <is>
          <t>CH-0062, RA1b</t>
        </is>
      </c>
      <c r="AL141" s="6" t="inlineStr">
        <is>
          <t>S13</t>
        </is>
      </c>
    </row>
    <row r="142" ht="53" customHeight="1">
      <c r="A142" s="5" t="inlineStr">
        <is>
          <t>C-S08</t>
        </is>
      </c>
      <c r="B142" s="6" t="inlineStr">
        <is>
          <t>Do models start a search when a needed tool is not visible (uninstructed), does recovery restore success, a...</t>
        </is>
      </c>
      <c r="C142" s="6" t="inlineStr">
        <is>
          <t>PARTLY ANSWERED</t>
        </is>
      </c>
      <c r="D142" s="6">
        <f>IFERROR(INDEX(Lists!$B$2:$B$14,MATCH(C142,Lists!$A$2:$A$14,0)),"?")</f>
        <v/>
      </c>
      <c r="E142" s="6">
        <f>IF(COUNTIFS(Links!$B$2:$B$600,A142,Links!$E$2:$E$600,"Yes")&gt;0,"REVISE","")</f>
        <v/>
      </c>
      <c r="F142" s="6">
        <f>COUNTIFS(Links!$B$2:$B$600,A142,Links!$D$2:$D$600,"No",Links!$C$2:$C$600,"&lt;&gt;INFORMS")</f>
        <v/>
      </c>
      <c r="G142" s="17" t="inlineStr">
        <is>
          <t>TEST-PILOT</t>
        </is>
      </c>
      <c r="H142" s="6" t="inlineStr">
        <is>
          <t>K8 Search initiation &amp; recovery</t>
        </is>
      </c>
      <c r="I142" s="6" t="inlineStr">
        <is>
          <t>G3 Before confirmatory study</t>
        </is>
      </c>
      <c r="J142" s="6" t="inlineStr">
        <is>
          <t>Normal</t>
        </is>
      </c>
      <c r="K142" s="6" t="n">
        <v>179</v>
      </c>
      <c r="L142" s="6" t="inlineStr">
        <is>
          <t>W3 Pilots (AUTH)</t>
        </is>
      </c>
      <c r="M142" s="6" t="inlineStr">
        <is>
          <t>S19</t>
        </is>
      </c>
      <c r="N142" s="6" t="inlineStr">
        <is>
          <t>Team</t>
        </is>
      </c>
      <c r="O142" s="6" t="inlineStr">
        <is>
          <t>Needs an AUTH and a protocol</t>
        </is>
      </c>
      <c r="P142" s="6" t="inlineStr">
        <is>
          <t>Partly</t>
        </is>
      </c>
      <c r="Q142" s="6" t="inlineStr">
        <is>
          <t>Scientific unknown</t>
        </is>
      </c>
      <c r="R142" s="6" t="inlineStr">
        <is>
          <t>Item</t>
        </is>
      </c>
      <c r="S142" s="6" t="inlineStr"/>
      <c r="T142" s="6" t="inlineStr">
        <is>
          <t>Do models start a search when a needed tool is not visible (uninstructed), does recovery restore success, and what is the no-miss overhead?</t>
        </is>
      </c>
      <c r="U142" s="6" t="inlineStr">
        <is>
          <t>Instructed use is measured at catalogue scale for strong models (TheMCPCompany, LiveMCPBench); uninstructed initiation not found; false-positive rates exist under different definitions.</t>
        </is>
      </c>
      <c r="V142" s="6" t="inlineStr">
        <is>
          <t>Pilot B: tool-description-only cell, statement ladder, hidden-but-present / nonexistent / wrong-tool-visible arms, per-task share with zero searches.</t>
        </is>
      </c>
      <c r="W142" s="6" t="inlineStr">
        <is>
          <t>C-D09, C-D08, C-S16</t>
        </is>
      </c>
      <c r="X142" s="6" t="inlineStr">
        <is>
          <t>C-D03, C-D11</t>
        </is>
      </c>
      <c r="Y142" s="6" t="inlineStr">
        <is>
          <t>Q-U03</t>
        </is>
      </c>
      <c r="Z142" s="6" t="inlineStr">
        <is>
          <t>LITERATURE-DIRECTED</t>
        </is>
      </c>
      <c r="AA142" s="6" t="inlineStr">
        <is>
          <t>K11 End-to-end comparison</t>
        </is>
      </c>
      <c r="AB142" s="6" t="inlineStr">
        <is>
          <t>DATA</t>
        </is>
      </c>
      <c r="AC142" s="6" t="inlineStr">
        <is>
          <t>OPEN</t>
        </is>
      </c>
      <c r="AD142" s="6" t="inlineStr">
        <is>
          <t>NARROWED</t>
        </is>
      </c>
      <c r="AE142" s="6" t="inlineStr">
        <is>
          <t>2026-10-19</t>
        </is>
      </c>
      <c r="AF142" s="6" t="inlineStr">
        <is>
          <t>v4-05 sections 1B, 3, 4; HYP-0010</t>
        </is>
      </c>
      <c r="AG142" s="6" t="inlineStr"/>
      <c r="AH142" s="6" t="inlineStr">
        <is>
          <t>Yes</t>
        </is>
      </c>
      <c r="AI142" s="6" t="inlineStr"/>
      <c r="AJ142" s="6" t="inlineStr">
        <is>
          <t>SRC-11 canonical</t>
        </is>
      </c>
      <c r="AK142" s="6" t="inlineStr">
        <is>
          <t>SRC-06 S21, SRC-07 14, RA1, HYP-0003, HYP-0004, HYP-0010, HYP-0011, CAVEATS 16, CH-0059, CH-0060</t>
        </is>
      </c>
      <c r="AL142" s="6" t="inlineStr">
        <is>
          <t>S13</t>
        </is>
      </c>
    </row>
    <row r="143" ht="28" customHeight="1">
      <c r="A143" s="5" t="inlineStr">
        <is>
          <t>C-S09/RA10</t>
        </is>
      </c>
      <c r="B143" s="6" t="inlineStr">
        <is>
          <t>RA10: names and arguments found by search are valid at call time</t>
        </is>
      </c>
      <c r="C143" s="6" t="inlineStr">
        <is>
          <t>OPEN</t>
        </is>
      </c>
      <c r="D143" s="6">
        <f>IFERROR(INDEX(Lists!$B$2:$B$14,MATCH(C143,Lists!$A$2:$A$14,0)),"?")</f>
        <v/>
      </c>
      <c r="E143" s="6">
        <f>IF(COUNTIFS(Links!$B$2:$B$600,A143,Links!$E$2:$E$600,"Yes")&gt;0,"REVISE","")</f>
        <v/>
      </c>
      <c r="F143" s="6">
        <f>COUNTIFS(Links!$B$2:$B$600,A143,Links!$D$2:$D$600,"No",Links!$C$2:$C$600,"&lt;&gt;INFORMS")</f>
        <v/>
      </c>
      <c r="G143" s="17" t="inlineStr">
        <is>
          <t>TEST-PILOT</t>
        </is>
      </c>
      <c r="H143" s="6" t="inlineStr">
        <is>
          <t>K8 Search initiation &amp; recovery</t>
        </is>
      </c>
      <c r="I143" s="6" t="inlineStr">
        <is>
          <t>G3 Before confirmatory study</t>
        </is>
      </c>
      <c r="J143" s="6" t="inlineStr">
        <is>
          <t>Normal</t>
        </is>
      </c>
      <c r="K143" s="6" t="n">
        <v>180</v>
      </c>
      <c r="L143" s="6" t="inlineStr">
        <is>
          <t>W3 Pilots (AUTH)</t>
        </is>
      </c>
      <c r="M143" s="6" t="inlineStr">
        <is>
          <t>S19</t>
        </is>
      </c>
      <c r="N143" s="6" t="inlineStr">
        <is>
          <t>Team</t>
        </is>
      </c>
      <c r="O143" s="6" t="inlineStr">
        <is>
          <t>Needs an AUTH and a protocol</t>
        </is>
      </c>
      <c r="P143" s="6" t="inlineStr">
        <is>
          <t>No</t>
        </is>
      </c>
      <c r="Q143" s="6" t="inlineStr">
        <is>
          <t>Assumption</t>
        </is>
      </c>
      <c r="R143" s="6" t="inlineStr">
        <is>
          <t>Sub-item</t>
        </is>
      </c>
      <c r="S143" s="6" t="inlineStr">
        <is>
          <t>C-S09</t>
        </is>
      </c>
      <c r="T143" s="6" t="inlineStr">
        <is>
          <t>Recovery assumption RA10.</t>
        </is>
      </c>
      <c r="U143" s="6" t="inlineStr">
        <is>
          <t>Assumption.</t>
        </is>
      </c>
      <c r="V143" s="6" t="inlineStr">
        <is>
          <t>Tested end-to-end.</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v3-02 section 4</t>
        </is>
      </c>
      <c r="AG143" s="6" t="inlineStr"/>
      <c r="AH143" s="6" t="inlineStr">
        <is>
          <t>Yes</t>
        </is>
      </c>
      <c r="AI143" s="6" t="inlineStr"/>
      <c r="AJ143" s="6" t="inlineStr">
        <is>
          <t>repo: v3-02 section 4</t>
        </is>
      </c>
      <c r="AK143" s="6" t="inlineStr">
        <is>
          <t>RA10</t>
        </is>
      </c>
      <c r="AL143" s="6" t="inlineStr">
        <is>
          <t>S19</t>
        </is>
      </c>
    </row>
    <row r="144" ht="28" customHeight="1">
      <c r="A144" s="5" t="inlineStr">
        <is>
          <t>C-S09/RA7</t>
        </is>
      </c>
      <c r="B144" s="6" t="inlineStr">
        <is>
          <t>RA7: the model understands the interface schema</t>
        </is>
      </c>
      <c r="C144" s="6" t="inlineStr">
        <is>
          <t>OPEN</t>
        </is>
      </c>
      <c r="D144" s="6">
        <f>IFERROR(INDEX(Lists!$B$2:$B$14,MATCH(C144,Lists!$A$2:$A$14,0)),"?")</f>
        <v/>
      </c>
      <c r="E144" s="6">
        <f>IF(COUNTIFS(Links!$B$2:$B$600,A144,Links!$E$2:$E$600,"Yes")&gt;0,"REVISE","")</f>
        <v/>
      </c>
      <c r="F144" s="6">
        <f>COUNTIFS(Links!$B$2:$B$600,A144,Links!$D$2:$D$600,"No",Links!$C$2:$C$600,"&lt;&gt;INFORMS")</f>
        <v/>
      </c>
      <c r="G144" s="17" t="inlineStr">
        <is>
          <t>TEST-PILOT</t>
        </is>
      </c>
      <c r="H144" s="6" t="inlineStr">
        <is>
          <t>K8 Search initiation &amp; recovery</t>
        </is>
      </c>
      <c r="I144" s="6" t="inlineStr">
        <is>
          <t>G3 Before confirmatory study</t>
        </is>
      </c>
      <c r="J144" s="6" t="inlineStr">
        <is>
          <t>Normal</t>
        </is>
      </c>
      <c r="K144" s="6" t="n">
        <v>181</v>
      </c>
      <c r="L144" s="6" t="inlineStr">
        <is>
          <t>W3 Pilots (AUTH)</t>
        </is>
      </c>
      <c r="M144" s="6" t="inlineStr">
        <is>
          <t>S19</t>
        </is>
      </c>
      <c r="N144" s="6" t="inlineStr">
        <is>
          <t>Team</t>
        </is>
      </c>
      <c r="O144" s="6" t="inlineStr">
        <is>
          <t>Needs an AUTH and a protocol</t>
        </is>
      </c>
      <c r="P144" s="6" t="inlineStr">
        <is>
          <t>No</t>
        </is>
      </c>
      <c r="Q144" s="6" t="inlineStr">
        <is>
          <t>Assumption</t>
        </is>
      </c>
      <c r="R144" s="6" t="inlineStr">
        <is>
          <t>Sub-item</t>
        </is>
      </c>
      <c r="S144" s="6" t="inlineStr">
        <is>
          <t>C-S09</t>
        </is>
      </c>
      <c r="T144" s="6" t="inlineStr">
        <is>
          <t>Recovery assumption RA7.</t>
        </is>
      </c>
      <c r="U144" s="6" t="inlineStr">
        <is>
          <t>Assumption.</t>
        </is>
      </c>
      <c r="V144" s="6" t="inlineStr">
        <is>
          <t>Tested end-to-end.</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v3-02 section 4</t>
        </is>
      </c>
      <c r="AG144" s="6" t="inlineStr"/>
      <c r="AH144" s="6" t="inlineStr">
        <is>
          <t>Yes</t>
        </is>
      </c>
      <c r="AI144" s="6" t="inlineStr"/>
      <c r="AJ144" s="6" t="inlineStr">
        <is>
          <t>repo: v3-02 section 4</t>
        </is>
      </c>
      <c r="AK144" s="6" t="inlineStr">
        <is>
          <t>RA7</t>
        </is>
      </c>
      <c r="AL144" s="6" t="inlineStr">
        <is>
          <t>S19</t>
        </is>
      </c>
    </row>
    <row r="145" ht="40.5" customHeight="1">
      <c r="A145" s="5" t="inlineStr">
        <is>
          <t>C-S09</t>
        </is>
      </c>
      <c r="B145" s="6" t="inlineStr">
        <is>
          <t>Deferred-schema argument errors vs zero-call/under-invocation, measured as a pair.</t>
        </is>
      </c>
      <c r="C145" s="6" t="inlineStr">
        <is>
          <t>OPEN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K8 Search initiation &amp; recovery</t>
        </is>
      </c>
      <c r="I145" s="6" t="inlineStr">
        <is>
          <t>G3 Before confirmatory study</t>
        </is>
      </c>
      <c r="J145" s="6" t="inlineStr">
        <is>
          <t>Normal</t>
        </is>
      </c>
      <c r="K145" s="6" t="n">
        <v>182</v>
      </c>
      <c r="L145" s="6" t="inlineStr">
        <is>
          <t>W3 Pilots (AUTH)</t>
        </is>
      </c>
      <c r="M145" s="6" t="inlineStr">
        <is>
          <t>S19</t>
        </is>
      </c>
      <c r="N145" s="6" t="inlineStr">
        <is>
          <t>Team</t>
        </is>
      </c>
      <c r="O145" s="6" t="inlineStr">
        <is>
          <t>Needs an AUTH and a protocol</t>
        </is>
      </c>
      <c r="P145" s="6" t="inlineStr">
        <is>
          <t>No</t>
        </is>
      </c>
      <c r="Q145" s="6" t="inlineStr">
        <is>
          <t>Scientific unknown</t>
        </is>
      </c>
      <c r="R145" s="6" t="inlineStr">
        <is>
          <t>Item</t>
        </is>
      </c>
      <c r="S145" s="6" t="inlineStr"/>
      <c r="T145" s="6" t="inlineStr">
        <is>
          <t>Deferred-schema argument errors vs zero-call/under-invocation, measured as a pair.</t>
        </is>
      </c>
      <c r="U145" s="6" t="inlineStr">
        <is>
          <t>Related only: under-calling in small-model settings; nothing on deferred schemas.</t>
        </is>
      </c>
      <c r="V145" s="6" t="inlineStr">
        <is>
          <t>Eager vs deferred with parameter errors, no-call and success as separate outcomes.</t>
        </is>
      </c>
      <c r="W145" s="6" t="inlineStr">
        <is>
          <t>C-D09, C-D08, C-S16</t>
        </is>
      </c>
      <c r="X145" s="6" t="inlineStr">
        <is>
          <t>C-S08</t>
        </is>
      </c>
      <c r="Y145" s="6" t="inlineStr"/>
      <c r="Z145" s="6" t="inlineStr"/>
      <c r="AA145" s="6" t="inlineStr"/>
      <c r="AB145" s="6" t="inlineStr">
        <is>
          <t>DATA</t>
        </is>
      </c>
      <c r="AC145" s="6" t="inlineStr">
        <is>
          <t>OPEN</t>
        </is>
      </c>
      <c r="AD145" s="6" t="inlineStr">
        <is>
          <t>UNCHANGED</t>
        </is>
      </c>
      <c r="AE145" s="6" t="inlineStr">
        <is>
          <t>2026-10-19</t>
        </is>
      </c>
      <c r="AF145" s="6" t="inlineStr">
        <is>
          <t>v4-05 Round 5</t>
        </is>
      </c>
      <c r="AG145" s="6" t="inlineStr"/>
      <c r="AH145" s="6" t="inlineStr">
        <is>
          <t>Yes</t>
        </is>
      </c>
      <c r="AI145" s="6" t="inlineStr"/>
      <c r="AJ145" s="6" t="inlineStr">
        <is>
          <t>SRC-11 canonical</t>
        </is>
      </c>
      <c r="AK145" s="6" t="inlineStr">
        <is>
          <t>SRC-06 S22, SRC-06 S23, SRC-07 20</t>
        </is>
      </c>
      <c r="AL145" s="6" t="inlineStr">
        <is>
          <t>S19</t>
        </is>
      </c>
    </row>
    <row r="146" ht="28" customHeight="1">
      <c r="A146" s="5" t="inlineStr">
        <is>
          <t>C-X02</t>
        </is>
      </c>
      <c r="B146" s="6" t="inlineStr">
        <is>
          <t>E2: the omission/search test that answers C-S08.</t>
        </is>
      </c>
      <c r="C146" s="6" t="inlineStr">
        <is>
          <t>UNRUN</t>
        </is>
      </c>
      <c r="D146" s="6">
        <f>IFERROR(INDEX(Lists!$B$2:$B$14,MATCH(C146,Lists!$A$2:$A$14,0)),"?")</f>
        <v/>
      </c>
      <c r="E146" s="6">
        <f>IF(COUNTIFS(Links!$B$2:$B$600,A146,Links!$E$2:$E$600,"Yes")&gt;0,"REVISE","")</f>
        <v/>
      </c>
      <c r="F146" s="6">
        <f>COUNTIFS(Links!$B$2:$B$600,A146,Links!$D$2:$D$600,"No",Links!$C$2:$C$600,"&lt;&gt;INFORMS")</f>
        <v/>
      </c>
      <c r="G146" s="17" t="inlineStr">
        <is>
          <t>TEST-PILOT</t>
        </is>
      </c>
      <c r="H146" s="6" t="inlineStr">
        <is>
          <t>K8 Search initiation &amp; recovery</t>
        </is>
      </c>
      <c r="I146" s="6" t="inlineStr">
        <is>
          <t>G3 Before confirmatory study</t>
        </is>
      </c>
      <c r="J146" s="6" t="inlineStr">
        <is>
          <t>Normal</t>
        </is>
      </c>
      <c r="K146" s="6" t="n">
        <v>183</v>
      </c>
      <c r="L146" s="6" t="inlineStr">
        <is>
          <t>W3 Pilots (AUTH)</t>
        </is>
      </c>
      <c r="M146" s="6" t="inlineStr">
        <is>
          <t>S19</t>
        </is>
      </c>
      <c r="N146" s="6" t="inlineStr">
        <is>
          <t>Team</t>
        </is>
      </c>
      <c r="O146" s="6" t="inlineStr">
        <is>
          <t>Needs an AUTH and a protocol</t>
        </is>
      </c>
      <c r="P146" s="6" t="inlineStr">
        <is>
          <t>No</t>
        </is>
      </c>
      <c r="Q146" s="6" t="inlineStr">
        <is>
          <t>Test</t>
        </is>
      </c>
      <c r="R146" s="6" t="inlineStr">
        <is>
          <t>Check</t>
        </is>
      </c>
      <c r="S146" s="6" t="inlineStr"/>
      <c r="T146" s="6" t="inlineStr">
        <is>
          <t>E2: the omission/search test that answers C-S08.</t>
        </is>
      </c>
      <c r="U146" s="6" t="inlineStr">
        <is>
          <t>Pilot 2 reframed; not run.</t>
        </is>
      </c>
      <c r="V146" s="6" t="inlineStr">
        <is>
          <t>Same as C-S08.</t>
        </is>
      </c>
      <c r="W146" s="6" t="inlineStr">
        <is>
          <t>C-D09, C-D08, C-S16</t>
        </is>
      </c>
      <c r="X146" s="6" t="inlineStr">
        <is>
          <t>C-D03, C-D11</t>
        </is>
      </c>
      <c r="Y146" s="6" t="inlineStr"/>
      <c r="Z146" s="6" t="inlineStr"/>
      <c r="AA146" s="6" t="inlineStr"/>
      <c r="AB146" s="6" t="inlineStr">
        <is>
          <t>DATA</t>
        </is>
      </c>
      <c r="AC146" s="6" t="inlineStr">
        <is>
          <t>NO RESULT - OPEN</t>
        </is>
      </c>
      <c r="AD146" s="6" t="inlineStr">
        <is>
          <t>UNCHANGED</t>
        </is>
      </c>
      <c r="AE146" s="6" t="inlineStr">
        <is>
          <t>2026-10-19</t>
        </is>
      </c>
      <c r="AF146" s="6" t="inlineStr">
        <is>
          <t>v4-05 section 2 item 3</t>
        </is>
      </c>
      <c r="AG146" s="6" t="inlineStr"/>
      <c r="AH146" s="6" t="inlineStr">
        <is>
          <t>Yes</t>
        </is>
      </c>
      <c r="AI146" s="6" t="inlineStr"/>
      <c r="AJ146" s="6" t="inlineStr">
        <is>
          <t>SRC-11 canonical</t>
        </is>
      </c>
      <c r="AK146" s="6" t="inlineStr">
        <is>
          <t>E2</t>
        </is>
      </c>
      <c r="AL146" s="6" t="inlineStr">
        <is>
          <t>S19</t>
        </is>
      </c>
    </row>
    <row r="147" ht="40.5" customHeight="1">
      <c r="A147" s="5" t="inlineStr">
        <is>
          <t>C-S13/CALIB</t>
        </is>
      </c>
      <c r="B147" s="6" t="inlineStr">
        <is>
          <t>Calibration tolerance and 'roughly constant' for extrapolation above n_fit are undefined</t>
        </is>
      </c>
      <c r="C147" s="6" t="inlineStr">
        <is>
          <t>OPEN</t>
        </is>
      </c>
      <c r="D147" s="6">
        <f>IFERROR(INDEX(Lists!$B$2:$B$14,MATCH(C147,Lists!$A$2:$A$14,0)),"?")</f>
        <v/>
      </c>
      <c r="E147" s="6">
        <f>IF(COUNTIFS(Links!$B$2:$B$600,A147,Links!$E$2:$E$600,"Yes")&gt;0,"REVISE","")</f>
        <v/>
      </c>
      <c r="F147" s="6">
        <f>COUNTIFS(Links!$B$2:$B$600,A147,Links!$D$2:$D$600,"No",Links!$C$2:$C$600,"&lt;&gt;INFORMS")</f>
        <v/>
      </c>
      <c r="G147" s="10" t="inlineStr">
        <is>
          <t>JOAA-DECISION</t>
        </is>
      </c>
      <c r="H147" s="6" t="inlineStr">
        <is>
          <t>K7 Large-catalogue reference</t>
        </is>
      </c>
      <c r="I147" s="6" t="inlineStr">
        <is>
          <t>G3 Before confirmatory study</t>
        </is>
      </c>
      <c r="J147" s="6" t="inlineStr">
        <is>
          <t>Normal</t>
        </is>
      </c>
      <c r="K147" s="6" t="n">
        <v>184</v>
      </c>
      <c r="L147" s="6" t="inlineStr">
        <is>
          <t>W3 Pilots (AUTH)</t>
        </is>
      </c>
      <c r="M147" s="6" t="inlineStr">
        <is>
          <t>S20</t>
        </is>
      </c>
      <c r="N147" s="6" t="inlineStr">
        <is>
          <t>Team + Joaa</t>
        </is>
      </c>
      <c r="O147" s="6" t="inlineStr">
        <is>
          <t>Ask Joaa (Q-J13)</t>
        </is>
      </c>
      <c r="P147" s="6" t="inlineStr">
        <is>
          <t>No</t>
        </is>
      </c>
      <c r="Q147" s="6" t="inlineStr">
        <is>
          <t>Scientific unknown</t>
        </is>
      </c>
      <c r="R147" s="6" t="inlineStr">
        <is>
          <t>Sub-item</t>
        </is>
      </c>
      <c r="S147" s="6" t="inlineStr">
        <is>
          <t>C-S13</t>
        </is>
      </c>
      <c r="T147" s="6" t="inlineStr">
        <is>
          <t>R-pool calibration has no acceptance criterion; 'roughly constant' gap and the extrapolation above n_fit are assumptions; the claim above n_fit is only a trend.</t>
        </is>
      </c>
      <c r="U147" s="6" t="inlineStr">
        <is>
          <t>Documented as unresolved.</t>
        </is>
      </c>
      <c r="V147" s="6" t="inlineStr">
        <is>
          <t>A human-set tolerance and regression definition recorded.</t>
        </is>
      </c>
      <c r="W147" s="6" t="inlineStr"/>
      <c r="X147" s="6" t="inlineStr"/>
      <c r="Y147" s="6" t="inlineStr">
        <is>
          <t>Q-J13</t>
        </is>
      </c>
      <c r="Z147" s="6" t="inlineStr">
        <is>
          <t>DESK-ANALYSIS</t>
        </is>
      </c>
      <c r="AA147" s="6" t="inlineStr"/>
      <c r="AB147" s="6" t="inlineStr">
        <is>
          <t>DEC</t>
        </is>
      </c>
      <c r="AC147" s="6" t="inlineStr">
        <is>
          <t>n/a (sub-item)</t>
        </is>
      </c>
      <c r="AD147" s="6" t="inlineStr">
        <is>
          <t>NEW (SRC-11 sub-row)</t>
        </is>
      </c>
      <c r="AE147" s="6" t="inlineStr">
        <is>
          <t>2026-10-19</t>
        </is>
      </c>
      <c r="AF147" s="6" t="inlineStr">
        <is>
          <t>v4-02 section 4</t>
        </is>
      </c>
      <c r="AG147" s="6" t="inlineStr"/>
      <c r="AH147" s="6" t="inlineStr">
        <is>
          <t>Yes</t>
        </is>
      </c>
      <c r="AI147" s="6" t="inlineStr"/>
      <c r="AJ147" s="6" t="inlineStr">
        <is>
          <t>repo: v4-02 section 4 / v4-03 section 5</t>
        </is>
      </c>
      <c r="AK147" s="6" t="inlineStr">
        <is>
          <t>RV-0005 R5, RV-0005 R6</t>
        </is>
      </c>
      <c r="AL147" s="6" t="inlineStr">
        <is>
          <t>S09</t>
        </is>
      </c>
    </row>
    <row r="148" ht="53" customHeight="1">
      <c r="A148" s="5" t="inlineStr">
        <is>
          <t>C-S13/POOLDIR</t>
        </is>
      </c>
      <c r="B148" s="6" t="inlineStr">
        <is>
          <t>R-pool vs expose-all: is it a harder or an easier success bar? (retained disagreement)</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K7 Large-catalogue reference</t>
        </is>
      </c>
      <c r="I148" s="6" t="inlineStr">
        <is>
          <t>G3 Before confirmatory study</t>
        </is>
      </c>
      <c r="J148" s="6" t="inlineStr">
        <is>
          <t>Normal</t>
        </is>
      </c>
      <c r="K148" s="6" t="n">
        <v>185</v>
      </c>
      <c r="L148" s="6" t="inlineStr">
        <is>
          <t>W3 Pilots (AUTH)</t>
        </is>
      </c>
      <c r="M148" s="6" t="inlineStr">
        <is>
          <t>S20</t>
        </is>
      </c>
      <c r="N148" s="6" t="inlineStr">
        <is>
          <t>Team + Joaa</t>
        </is>
      </c>
      <c r="O148" s="6" t="inlineStr">
        <is>
          <t>Needs an AUTH and a protocol</t>
        </is>
      </c>
      <c r="P148" s="6" t="inlineStr">
        <is>
          <t>No</t>
        </is>
      </c>
      <c r="Q148" s="6" t="inlineStr">
        <is>
          <t>Disagreement</t>
        </is>
      </c>
      <c r="R148" s="6" t="inlineStr">
        <is>
          <t>Sub-item</t>
        </is>
      </c>
      <c r="S148" s="6" t="inlineStr">
        <is>
          <t>C-S13</t>
        </is>
      </c>
      <c r="T148" s="6" t="inlineStr">
        <is>
          <t>Two readings are kept: R-pool has full reachability and little distraction (harder bar if its success &gt;= expose-all's), or a gold-derived pool is weaker and favours restriction. Neither is derived; the only evidence is one cell (44.0 vs 36.0, +/-8).</t>
        </is>
      </c>
      <c r="U148" s="6" t="inlineStr">
        <is>
          <t>Documented as unresolved.</t>
        </is>
      </c>
      <c r="V148" s="6" t="inlineStr">
        <is>
          <t>Calibration of R-pool against R-full where both exist.</t>
        </is>
      </c>
      <c r="W148" s="6" t="inlineStr"/>
      <c r="X148" s="6" t="inlineStr"/>
      <c r="Y148" s="6" t="inlineStr">
        <is>
          <t>Q-J13</t>
        </is>
      </c>
      <c r="Z148" s="6" t="inlineStr"/>
      <c r="AA148" s="6" t="inlineStr"/>
      <c r="AB148" s="6" t="inlineStr">
        <is>
          <t>DATA+BOUND</t>
        </is>
      </c>
      <c r="AC148" s="6" t="inlineStr">
        <is>
          <t>n/a (sub-item)</t>
        </is>
      </c>
      <c r="AD148" s="6" t="inlineStr">
        <is>
          <t>NEW (SRC-11 sub-row)</t>
        </is>
      </c>
      <c r="AE148" s="6" t="inlineStr">
        <is>
          <t>2026-10-19</t>
        </is>
      </c>
      <c r="AF148" s="6" t="inlineStr">
        <is>
          <t>v4-02 section 4</t>
        </is>
      </c>
      <c r="AG148" s="6" t="inlineStr"/>
      <c r="AH148" s="6" t="inlineStr">
        <is>
          <t>Yes</t>
        </is>
      </c>
      <c r="AI148" s="6" t="inlineStr"/>
      <c r="AJ148" s="6" t="inlineStr">
        <is>
          <t>repo: v4-02 section 4 / v4-03 section 5</t>
        </is>
      </c>
      <c r="AK148" s="6" t="inlineStr">
        <is>
          <t>CH-0051, RV-0005 R5</t>
        </is>
      </c>
      <c r="AL148" s="6" t="inlineStr">
        <is>
          <t>S09</t>
        </is>
      </c>
    </row>
    <row r="149" ht="40.5" customHeight="1">
      <c r="A149" s="5" t="inlineStr">
        <is>
          <t>C-S13/POOLPARAMS</t>
        </is>
      </c>
      <c r="B149" s="6" t="inlineStr">
        <is>
          <t>R-pool distractor rule, seed and size m unset</t>
        </is>
      </c>
      <c r="C149" s="6" t="inlineStr">
        <is>
          <t>OPEN</t>
        </is>
      </c>
      <c r="D149" s="6">
        <f>IFERROR(INDEX(Lists!$B$2:$B$14,MATCH(C149,Lists!$A$2:$A$14,0)),"?")</f>
        <v/>
      </c>
      <c r="E149" s="6">
        <f>IF(COUNTIFS(Links!$B$2:$B$600,A149,Links!$E$2:$E$600,"Yes")&gt;0,"REVISE","")</f>
        <v/>
      </c>
      <c r="F149" s="6">
        <f>COUNTIFS(Links!$B$2:$B$600,A149,Links!$D$2:$D$600,"No",Links!$C$2:$C$600,"&lt;&gt;INFORMS")</f>
        <v/>
      </c>
      <c r="G149" s="13" t="inlineStr">
        <is>
          <t>DESK-ANALYSIS</t>
        </is>
      </c>
      <c r="H149" s="6" t="inlineStr">
        <is>
          <t>K7 Large-catalogue reference</t>
        </is>
      </c>
      <c r="I149" s="6" t="inlineStr">
        <is>
          <t>G3 Before confirmatory study</t>
        </is>
      </c>
      <c r="J149" s="6" t="inlineStr">
        <is>
          <t>Normal</t>
        </is>
      </c>
      <c r="K149" s="6" t="n">
        <v>186</v>
      </c>
      <c r="L149" s="6" t="inlineStr">
        <is>
          <t>W3 Pilots (AUTH)</t>
        </is>
      </c>
      <c r="M149" s="6" t="inlineStr">
        <is>
          <t>S20</t>
        </is>
      </c>
      <c r="N149" s="6" t="inlineStr">
        <is>
          <t>Team + Joaa</t>
        </is>
      </c>
      <c r="O149" s="6" t="inlineStr">
        <is>
          <t>Lead computes or writes it (no model runs)</t>
        </is>
      </c>
      <c r="P149" s="6" t="inlineStr">
        <is>
          <t>No</t>
        </is>
      </c>
      <c r="Q149" s="6" t="inlineStr">
        <is>
          <t>Scientific unknown</t>
        </is>
      </c>
      <c r="R149" s="6" t="inlineStr">
        <is>
          <t>Sub-item</t>
        </is>
      </c>
      <c r="S149" s="6" t="inlineStr">
        <is>
          <t>C-S13</t>
        </is>
      </c>
      <c r="T149" s="6" t="inlineStr">
        <is>
          <t>The distractor distribution, seed and m (R-pool size) are design choices that are unset; random and near-miss distractors give different difficulty.</t>
        </is>
      </c>
      <c r="U149" s="6" t="inlineStr">
        <is>
          <t>Documented as unresolved.</t>
        </is>
      </c>
      <c r="V149" s="6" t="inlineStr">
        <is>
          <t>Rule, seed and m fixed in the contract.</t>
        </is>
      </c>
      <c r="W149" s="6" t="inlineStr"/>
      <c r="X149" s="6" t="inlineStr"/>
      <c r="Y149" s="6" t="inlineStr"/>
      <c r="Z149" s="6" t="inlineStr"/>
      <c r="AA149" s="6" t="inlineStr"/>
      <c r="AB149" s="6" t="inlineStr">
        <is>
          <t>DEC</t>
        </is>
      </c>
      <c r="AC149" s="6" t="inlineStr">
        <is>
          <t>n/a (sub-item)</t>
        </is>
      </c>
      <c r="AD149" s="6" t="inlineStr">
        <is>
          <t>NEW (SRC-11 sub-row)</t>
        </is>
      </c>
      <c r="AE149" s="6" t="inlineStr">
        <is>
          <t>2026-10-19</t>
        </is>
      </c>
      <c r="AF149" s="6" t="inlineStr">
        <is>
          <t>v4-02 section 4</t>
        </is>
      </c>
      <c r="AG149" s="6" t="inlineStr"/>
      <c r="AH149" s="6" t="inlineStr">
        <is>
          <t>Yes</t>
        </is>
      </c>
      <c r="AI149" s="6" t="inlineStr"/>
      <c r="AJ149" s="6" t="inlineStr">
        <is>
          <t>repo: v4-02 section 4 / v4-03 section 5</t>
        </is>
      </c>
      <c r="AK149" s="6" t="inlineStr"/>
      <c r="AL149" s="6" t="inlineStr">
        <is>
          <t>S09</t>
        </is>
      </c>
    </row>
    <row r="150" ht="53" customHeight="1">
      <c r="A150" s="5" t="inlineStr">
        <is>
          <t>C-S13</t>
        </is>
      </c>
      <c r="B150" s="6" t="inlineStr">
        <is>
          <t>Is the substitute reference valid, and how does it relate to true full exposure?</t>
        </is>
      </c>
      <c r="C150" s="6" t="inlineStr">
        <is>
          <t>PARTLY ANSWERED</t>
        </is>
      </c>
      <c r="D150" s="6">
        <f>IFERROR(INDEX(Lists!$B$2:$B$14,MATCH(C150,Lists!$A$2:$A$14,0)),"?")</f>
        <v/>
      </c>
      <c r="E150" s="6">
        <f>IF(COUNTIFS(Links!$B$2:$B$600,A150,Links!$E$2:$E$600,"Yes")&gt;0,"REVISE","")</f>
        <v/>
      </c>
      <c r="F150" s="6">
        <f>COUNTIFS(Links!$B$2:$B$600,A150,Links!$D$2:$D$600,"No",Links!$C$2:$C$600,"&lt;&gt;INFORMS")</f>
        <v/>
      </c>
      <c r="G150" s="17" t="inlineStr">
        <is>
          <t>TEST-PILOT</t>
        </is>
      </c>
      <c r="H150" s="6" t="inlineStr">
        <is>
          <t>K7 Large-catalogue reference</t>
        </is>
      </c>
      <c r="I150" s="6" t="inlineStr">
        <is>
          <t>G3 Before confirmatory study</t>
        </is>
      </c>
      <c r="J150" s="6" t="inlineStr">
        <is>
          <t>Normal</t>
        </is>
      </c>
      <c r="K150" s="6" t="n">
        <v>187</v>
      </c>
      <c r="L150" s="6" t="inlineStr">
        <is>
          <t>W3 Pilots (AUTH)</t>
        </is>
      </c>
      <c r="M150" s="6" t="inlineStr">
        <is>
          <t>S20</t>
        </is>
      </c>
      <c r="N150" s="6" t="inlineStr">
        <is>
          <t>Team (+Joaa on margin)</t>
        </is>
      </c>
      <c r="O150" s="6" t="inlineStr">
        <is>
          <t>Needs an AUTH and a protocol</t>
        </is>
      </c>
      <c r="P150" s="6" t="inlineStr">
        <is>
          <t>Partly</t>
        </is>
      </c>
      <c r="Q150" s="6" t="inlineStr">
        <is>
          <t>Scientific unknown</t>
        </is>
      </c>
      <c r="R150" s="6" t="inlineStr">
        <is>
          <t>Item</t>
        </is>
      </c>
      <c r="S150" s="6" t="inlineStr"/>
      <c r="T150" s="6" t="inlineStr">
        <is>
          <t>Is the substitute reference valid, and how does it relate to true full exposure?</t>
        </is>
      </c>
      <c r="U150" s="6" t="inlineStr">
        <is>
          <t>v3's substitute rule was found undefined for catalogues and replaced by a reference ladder (R-full, R-pool, frontier); R-pool's direction is unresolved.</t>
        </is>
      </c>
      <c r="V150" s="6" t="inlineStr">
        <is>
          <t>R-pool calibrated against R-full where both exist; above n_fit only substitute-relative claims.</t>
        </is>
      </c>
      <c r="W150" s="6" t="inlineStr">
        <is>
          <t>C-D09, C-D08, C-E06</t>
        </is>
      </c>
      <c r="X150" s="6" t="inlineStr">
        <is>
          <t>C-S12</t>
        </is>
      </c>
      <c r="Y150" s="6" t="inlineStr">
        <is>
          <t>Q-J13, Q-U03</t>
        </is>
      </c>
      <c r="Z150" s="6" t="inlineStr">
        <is>
          <t>ACCEPT-LIMITATION, JOAA-DECISION</t>
        </is>
      </c>
      <c r="AA150" s="6" t="inlineStr">
        <is>
          <t>K5 Evaluation contract</t>
        </is>
      </c>
      <c r="AB150" s="6" t="inlineStr">
        <is>
          <t>DATA+BOUND</t>
        </is>
      </c>
      <c r="AC150" s="6" t="inlineStr">
        <is>
          <t>PARTLY ANSWERED - OPEN</t>
        </is>
      </c>
      <c r="AD150" s="6" t="inlineStr">
        <is>
          <t>RE-CHARACTERISED</t>
        </is>
      </c>
      <c r="AE150" s="6" t="inlineStr">
        <is>
          <t>2026-10-19</t>
        </is>
      </c>
      <c r="AF150" s="6" t="inlineStr">
        <is>
          <t>v4-02 section 4; v4-03 section 1 row 5</t>
        </is>
      </c>
      <c r="AG150" s="6" t="inlineStr"/>
      <c r="AH150" s="6" t="inlineStr">
        <is>
          <t>Yes</t>
        </is>
      </c>
      <c r="AI150" s="6" t="inlineStr"/>
      <c r="AJ150" s="6" t="inlineStr">
        <is>
          <t>SRC-11 canonical</t>
        </is>
      </c>
      <c r="AK150" s="6" t="inlineStr">
        <is>
          <t>SRC-06 S31, SRC-07 18, SRC-07 32, v3-04 objection 5, CH-0038</t>
        </is>
      </c>
      <c r="AL150" s="6" t="inlineStr">
        <is>
          <t>S09</t>
        </is>
      </c>
    </row>
    <row r="151" ht="300" customHeight="1">
      <c r="A151" s="5" t="inlineStr">
        <is>
          <t>AS-12</t>
        </is>
      </c>
      <c r="B151" s="6" t="inlineStr">
        <is>
          <t>Supervisor assertion A12: LLM behaviour does not transfer across models</t>
        </is>
      </c>
      <c r="C151" s="6" t="inlineStr">
        <is>
          <t>PARTLY ANSWERED</t>
        </is>
      </c>
      <c r="D151" s="6">
        <f>IFERROR(INDEX(Lists!$B$2:$B$14,MATCH(C151,Lists!$A$2:$A$14,0)),"?")</f>
        <v/>
      </c>
      <c r="E151" s="6">
        <f>IF(COUNTIFS(Links!$B$2:$B$600,A151,Links!$E$2:$E$600,"Yes")&gt;0,"REVISE","")</f>
        <v/>
      </c>
      <c r="F151" s="6">
        <f>COUNTIFS(Links!$B$2:$B$600,A151,Links!$D$2:$D$600,"No",Links!$C$2:$C$600,"&lt;&gt;INFORMS")</f>
        <v/>
      </c>
      <c r="G151" s="17" t="inlineStr">
        <is>
          <t>TEST-PILOT</t>
        </is>
      </c>
      <c r="H151" s="6" t="inlineStr">
        <is>
          <t>K5 Evaluation contract</t>
        </is>
      </c>
      <c r="I151" s="6" t="inlineStr">
        <is>
          <t>G4 Before claims</t>
        </is>
      </c>
      <c r="J151" s="6" t="inlineStr">
        <is>
          <t>Normal</t>
        </is>
      </c>
      <c r="K151" s="6" t="n">
        <v>188</v>
      </c>
      <c r="L151" s="6" t="inlineStr">
        <is>
          <t>W3 Pilots (AUTH)</t>
        </is>
      </c>
      <c r="M151" s="6" t="inlineStr">
        <is>
          <t>S20</t>
        </is>
      </c>
      <c r="N151" s="6" t="inlineStr">
        <is>
          <t>Lead / team</t>
        </is>
      </c>
      <c r="O151" s="6" t="inlineStr">
        <is>
          <t>Q-J29 and Q-J21 (how many models)</t>
        </is>
      </c>
      <c r="P151" s="6" t="inlineStr">
        <is>
          <t>No</t>
        </is>
      </c>
      <c r="Q151" s="6" t="inlineStr">
        <is>
          <t>Claim to test</t>
        </is>
      </c>
      <c r="R151" s="6" t="inlineStr">
        <is>
          <t>Item</t>
        </is>
      </c>
      <c r="S151" s="6" t="inlineStr"/>
      <c r="T151" s="6" t="inlineStr">
        <is>
          <t>REQ-A1 A12: LLM behaviour does not transfer across models. Empirical claim; affects how many evaluation models are needed (U12).</t>
        </is>
      </c>
      <c r="U151"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t>
        </is>
      </c>
      <c r="V151" s="6" t="inlineStr">
        <is>
          <t>Empirical claim; affects how many evaluation models are needed (U12).</t>
        </is>
      </c>
      <c r="W151" s="6" t="inlineStr"/>
      <c r="X151" s="6" t="inlineStr"/>
      <c r="Y151" s="6" t="inlineStr">
        <is>
          <t>Q-J21, Q-J29</t>
        </is>
      </c>
      <c r="Z151" s="6" t="inlineStr"/>
      <c r="AA151" s="6" t="inlineStr"/>
      <c r="AB151" s="6" t="inlineStr">
        <is>
          <t>DATA</t>
        </is>
      </c>
      <c r="AC151" s="6" t="inlineStr">
        <is>
          <t>n/a (REGISTER E)</t>
        </is>
      </c>
      <c r="AD151" s="6" t="inlineStr">
        <is>
          <t>NEW (repo sweep)</t>
        </is>
      </c>
      <c r="AE151" s="6" t="inlineStr">
        <is>
          <t>2026-10-20</t>
        </is>
      </c>
      <c r="AF151" s="6" t="inlineStr">
        <is>
          <t>FND-0029 (findings/SUM-0031; the steward ended at its turn limit with the table but no verdict paragraph: the verdict here is the lead's reading of that table)</t>
        </is>
      </c>
      <c r="AG151" s="6" t="inlineStr"/>
      <c r="AH151" s="6" t="inlineStr">
        <is>
          <t>Yes</t>
        </is>
      </c>
      <c r="AI151" s="6" t="inlineStr"/>
      <c r="AJ151" s="6" t="inlineStr">
        <is>
          <t>repo: REGISTER section E / EXT-0004</t>
        </is>
      </c>
      <c r="AK151" s="6" t="inlineStr">
        <is>
          <t>REQ-A1 A12</t>
        </is>
      </c>
      <c r="AL151" s="6" t="inlineStr">
        <is>
          <t>S11</t>
        </is>
      </c>
    </row>
    <row r="152" ht="300" customHeight="1">
      <c r="A152" s="5" t="inlineStr">
        <is>
          <t>AS-06</t>
        </is>
      </c>
      <c r="B152" s="6" t="inlineStr">
        <is>
          <t>Supervisor assertion A6: ~50% token reduction is 'low-hanging fruit' with no accuracy loss; 50% to 10% is the hard part</t>
        </is>
      </c>
      <c r="C152" s="6" t="inlineStr">
        <is>
          <t>PARTLY ANSWERED</t>
        </is>
      </c>
      <c r="D152" s="6">
        <f>IFERROR(INDEX(Lists!$B$2:$B$14,MATCH(C152,Lists!$A$2:$A$14,0)),"?")</f>
        <v/>
      </c>
      <c r="E152" s="6">
        <f>IF(COUNTIFS(Links!$B$2:$B$600,A152,Links!$E$2:$E$600,"Yes")&gt;0,"REVISE","")</f>
        <v/>
      </c>
      <c r="F152" s="6">
        <f>COUNTIFS(Links!$B$2:$B$600,A152,Links!$D$2:$D$600,"No",Links!$C$2:$C$600,"&lt;&gt;INFORMS")</f>
        <v/>
      </c>
      <c r="G152" s="17" t="inlineStr">
        <is>
          <t>TEST-PILOT</t>
        </is>
      </c>
      <c r="H152" s="6" t="inlineStr">
        <is>
          <t>K12 Selector &amp; need estimation</t>
        </is>
      </c>
      <c r="I152" s="6" t="inlineStr">
        <is>
          <t>G4 Before claims</t>
        </is>
      </c>
      <c r="J152" s="6" t="inlineStr">
        <is>
          <t>Normal</t>
        </is>
      </c>
      <c r="K152" s="6" t="n">
        <v>189</v>
      </c>
      <c r="L152" s="6" t="inlineStr">
        <is>
          <t>W3 Pilots (AUTH)</t>
        </is>
      </c>
      <c r="M152" s="6" t="inlineStr">
        <is>
          <t>S20</t>
        </is>
      </c>
      <c r="N152" s="6" t="inlineStr">
        <is>
          <t>Lead / team</t>
        </is>
      </c>
      <c r="O152" s="6" t="inlineStr">
        <is>
          <t>Q-J29 (Joaa accepts, amends or drops the sharper version); a measurement in our setting would test it</t>
        </is>
      </c>
      <c r="P152" s="6" t="inlineStr">
        <is>
          <t>No</t>
        </is>
      </c>
      <c r="Q152" s="6" t="inlineStr">
        <is>
          <t>Claim to test</t>
        </is>
      </c>
      <c r="R152" s="6" t="inlineStr">
        <is>
          <t>Item</t>
        </is>
      </c>
      <c r="S152" s="6" t="inlineStr"/>
      <c r="T152" s="6" t="inlineStr">
        <is>
          <t>REQ-A1 A6: ~50% token reduction is 'low-hanging fruit' with no accuracy loss; 50% to 10% is the hard part. Quantitative claim; needs sources or measurement (the same premise as C-S15).</t>
        </is>
      </c>
      <c r="U152"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t>
        </is>
      </c>
      <c r="V152" s="6" t="inlineStr">
        <is>
          <t>Quantitative claim; needs sources or measurement (the same premise as C-S15).</t>
        </is>
      </c>
      <c r="W152" s="6" t="inlineStr">
        <is>
          <t>C-D09, C-D08</t>
        </is>
      </c>
      <c r="X152" s="6" t="inlineStr"/>
      <c r="Y152" s="6" t="inlineStr">
        <is>
          <t>Q-J29</t>
        </is>
      </c>
      <c r="Z152" s="6" t="inlineStr"/>
      <c r="AA152" s="6" t="inlineStr"/>
      <c r="AB152" s="6" t="inlineStr">
        <is>
          <t>DATA</t>
        </is>
      </c>
      <c r="AC152" s="6" t="inlineStr">
        <is>
          <t>n/a (REGISTER E)</t>
        </is>
      </c>
      <c r="AD152" s="6" t="inlineStr">
        <is>
          <t>NEW (repo sweep)</t>
        </is>
      </c>
      <c r="AE152" s="6" t="inlineStr">
        <is>
          <t>2026-10-20</t>
        </is>
      </c>
      <c r="AF152" s="6" t="inlineStr">
        <is>
          <t>FND-0028 (findings/SUM-0030); EXT-0215</t>
        </is>
      </c>
      <c r="AG152" s="6" t="inlineStr"/>
      <c r="AH152" s="6" t="inlineStr">
        <is>
          <t>Yes</t>
        </is>
      </c>
      <c r="AI152" s="6" t="inlineStr"/>
      <c r="AJ152" s="6" t="inlineStr">
        <is>
          <t>repo: REGISTER section E / EXT-0004</t>
        </is>
      </c>
      <c r="AK152" s="6" t="inlineStr">
        <is>
          <t>REQ-A1 A6</t>
        </is>
      </c>
      <c r="AL152" s="6" t="inlineStr">
        <is>
          <t>S11</t>
        </is>
      </c>
    </row>
    <row r="153" ht="215.5" customHeight="1">
      <c r="A153" s="5" t="inlineStr">
        <is>
          <t>AS-13</t>
        </is>
      </c>
      <c r="B153" s="6" t="inlineStr">
        <is>
          <t>Supervisor assertion A13: Filtering 100 to 60 is a safe 'big win'; names only for the lowest tier keep accuracy</t>
        </is>
      </c>
      <c r="C153" s="6" t="inlineStr">
        <is>
          <t>NOT LOCATED</t>
        </is>
      </c>
      <c r="D153" s="6">
        <f>IFERROR(INDEX(Lists!$B$2:$B$14,MATCH(C153,Lists!$A$2:$A$14,0)),"?")</f>
        <v/>
      </c>
      <c r="E153" s="6">
        <f>IF(COUNTIFS(Links!$B$2:$B$600,A153,Links!$E$2:$E$600,"Yes")&gt;0,"REVISE","")</f>
        <v/>
      </c>
      <c r="F153" s="6">
        <f>COUNTIFS(Links!$B$2:$B$600,A153,Links!$D$2:$D$600,"No",Links!$C$2:$C$600,"&lt;&gt;INFORMS")</f>
        <v/>
      </c>
      <c r="G153" s="17" t="inlineStr">
        <is>
          <t>TEST-PILOT</t>
        </is>
      </c>
      <c r="H153" s="6" t="inlineStr">
        <is>
          <t>K12 Selector &amp; need estimation</t>
        </is>
      </c>
      <c r="I153" s="6" t="inlineStr">
        <is>
          <t>G4 Before claims</t>
        </is>
      </c>
      <c r="J153" s="6" t="inlineStr">
        <is>
          <t>Normal</t>
        </is>
      </c>
      <c r="K153" s="6" t="n">
        <v>190</v>
      </c>
      <c r="L153" s="6" t="inlineStr">
        <is>
          <t>W3 Pilots (AUTH)</t>
        </is>
      </c>
      <c r="M153" s="6" t="inlineStr">
        <is>
          <t>S20</t>
        </is>
      </c>
      <c r="N153" s="6" t="inlineStr">
        <is>
          <t>Lead / team</t>
        </is>
      </c>
      <c r="O153" s="6" t="inlineStr">
        <is>
          <t>A graded-exposure arm is a candidate pilot cell (needs Q-J12 and an AUTH); web search for MCP-Atlas exposure experiments is optional</t>
        </is>
      </c>
      <c r="P153" s="6" t="inlineStr">
        <is>
          <t>No</t>
        </is>
      </c>
      <c r="Q153" s="6" t="inlineStr">
        <is>
          <t>Claim to test</t>
        </is>
      </c>
      <c r="R153" s="6" t="inlineStr">
        <is>
          <t>Item</t>
        </is>
      </c>
      <c r="S153" s="6" t="inlineStr"/>
      <c r="T153" s="6" t="inlineStr">
        <is>
          <t>REQ-A1 A13: Filtering 100 to 60 is a safe 'big win'; names only for the lowest tier keep accuracy. Untested design claim.</t>
        </is>
      </c>
      <c r="U153"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t>
        </is>
      </c>
      <c r="V153" s="6" t="inlineStr">
        <is>
          <t>Untested design claim.</t>
        </is>
      </c>
      <c r="W153" s="6" t="inlineStr">
        <is>
          <t>C-D09, C-D08</t>
        </is>
      </c>
      <c r="X153" s="6" t="inlineStr"/>
      <c r="Y153" s="6" t="inlineStr">
        <is>
          <t>Q-J29</t>
        </is>
      </c>
      <c r="Z153" s="6" t="inlineStr"/>
      <c r="AA153" s="6" t="inlineStr"/>
      <c r="AB153" s="6" t="inlineStr">
        <is>
          <t>DATA</t>
        </is>
      </c>
      <c r="AC153" s="6" t="inlineStr">
        <is>
          <t>n/a (REGISTER E)</t>
        </is>
      </c>
      <c r="AD153" s="6" t="inlineStr">
        <is>
          <t>NEW (repo sweep)</t>
        </is>
      </c>
      <c r="AE153" s="6" t="inlineStr">
        <is>
          <t>2026-10-20</t>
        </is>
      </c>
      <c r="AF153" s="6" t="inlineStr">
        <is>
          <t>FND-0028 (findings/SUM-0030); EXT-0215</t>
        </is>
      </c>
      <c r="AG153" s="6" t="inlineStr"/>
      <c r="AH153" s="6" t="inlineStr">
        <is>
          <t>Yes</t>
        </is>
      </c>
      <c r="AI153" s="6" t="inlineStr"/>
      <c r="AJ153" s="6" t="inlineStr">
        <is>
          <t>repo: REGISTER section E / EXT-0004</t>
        </is>
      </c>
      <c r="AK153" s="6" t="inlineStr">
        <is>
          <t>REQ-A1 A13</t>
        </is>
      </c>
      <c r="AL153" s="6" t="inlineStr">
        <is>
          <t>S11</t>
        </is>
      </c>
    </row>
    <row r="154" ht="40.5" customHeight="1">
      <c r="A154" s="5" t="inlineStr">
        <is>
          <t>C-S12</t>
        </is>
      </c>
      <c r="B154" s="6" t="inlineStr">
        <is>
          <t>Need labels and selector recall at large catalogue size have no valid estimator when the full reference can...</t>
        </is>
      </c>
      <c r="C154" s="6" t="inlineStr">
        <is>
          <t>OPEN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K12 Selector &amp; need estimation</t>
        </is>
      </c>
      <c r="I154" s="6" t="inlineStr">
        <is>
          <t>G3 Before confirmatory study</t>
        </is>
      </c>
      <c r="J154" s="6" t="inlineStr">
        <is>
          <t>Normal</t>
        </is>
      </c>
      <c r="K154" s="6" t="n">
        <v>191</v>
      </c>
      <c r="L154" s="6" t="inlineStr">
        <is>
          <t>W3 Pilots (AUTH)</t>
        </is>
      </c>
      <c r="M154" s="6" t="inlineStr">
        <is>
          <t>S20</t>
        </is>
      </c>
      <c r="N154" s="6" t="inlineStr">
        <is>
          <t>Team</t>
        </is>
      </c>
      <c r="O154" s="6" t="inlineStr">
        <is>
          <t>Needs an AUTH and a protocol</t>
        </is>
      </c>
      <c r="P154" s="6" t="inlineStr">
        <is>
          <t>No</t>
        </is>
      </c>
      <c r="Q154" s="6" t="inlineStr">
        <is>
          <t>Scientific unknown</t>
        </is>
      </c>
      <c r="R154" s="6" t="inlineStr">
        <is>
          <t>Item</t>
        </is>
      </c>
      <c r="S154" s="6" t="inlineStr"/>
      <c r="T154" s="6" t="inlineStr">
        <is>
          <t>Need labels and selector recall at large catalogue size have no valid estimator when the full reference cannot run.</t>
        </is>
      </c>
      <c r="U154" s="6" t="inlineStr">
        <is>
          <t>v4 brief: no legitimate labelled data for request-level narrowing recall.</t>
        </is>
      </c>
      <c r="V154" s="6" t="inlineStr">
        <is>
          <t>Estimator tested where the reference fits; transfer limit stated.</t>
        </is>
      </c>
      <c r="W154" s="6" t="inlineStr">
        <is>
          <t>C-D09, C-D08</t>
        </is>
      </c>
      <c r="X154" s="6" t="inlineStr">
        <is>
          <t>C-D11</t>
        </is>
      </c>
      <c r="Y154" s="6" t="inlineStr">
        <is>
          <t>Q-U03</t>
        </is>
      </c>
      <c r="Z154" s="6" t="inlineStr">
        <is>
          <t>LITERATURE-DIRECTED, ACCEPT-LIMITATION</t>
        </is>
      </c>
      <c r="AA154" s="6" t="inlineStr">
        <is>
          <t>K7 Large-catalogue reference</t>
        </is>
      </c>
      <c r="AB154" s="6" t="inlineStr">
        <is>
          <t>DATA+BOUND</t>
        </is>
      </c>
      <c r="AC154" s="6" t="inlineStr">
        <is>
          <t>OPEN</t>
        </is>
      </c>
      <c r="AD154" s="6" t="inlineStr">
        <is>
          <t>UNCHANGED</t>
        </is>
      </c>
      <c r="AE154" s="6" t="inlineStr">
        <is>
          <t>2026-10-19</t>
        </is>
      </c>
      <c r="AF154" s="6" t="inlineStr">
        <is>
          <t>v4-01 section 6 item 5</t>
        </is>
      </c>
      <c r="AG154" s="6" t="inlineStr"/>
      <c r="AH154" s="6" t="inlineStr">
        <is>
          <t>Yes</t>
        </is>
      </c>
      <c r="AI154" s="6" t="inlineStr"/>
      <c r="AJ154" s="6" t="inlineStr">
        <is>
          <t>SRC-11 canonical</t>
        </is>
      </c>
      <c r="AK154" s="6" t="inlineStr">
        <is>
          <t>SRC-06 S30, SRC-07 15, RA2, v3-04 objection 4</t>
        </is>
      </c>
      <c r="AL154" s="6" t="inlineStr">
        <is>
          <t>S13</t>
        </is>
      </c>
    </row>
    <row r="155" ht="28" customHeight="1">
      <c r="A155" s="5" t="inlineStr">
        <is>
          <t>C-S12/RA13</t>
        </is>
      </c>
      <c r="B155" s="6" t="inlineStr">
        <is>
          <t>RA13: model query vocabulary matches tool descriptions well enough</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K12 Selector &amp; need estimation</t>
        </is>
      </c>
      <c r="I155" s="6" t="inlineStr">
        <is>
          <t>G3 Before confirmatory study</t>
        </is>
      </c>
      <c r="J155" s="6" t="inlineStr">
        <is>
          <t>Normal</t>
        </is>
      </c>
      <c r="K155" s="6" t="n">
        <v>192</v>
      </c>
      <c r="L155" s="6" t="inlineStr">
        <is>
          <t>W3 Pilots (AUTH)</t>
        </is>
      </c>
      <c r="M155" s="6" t="inlineStr">
        <is>
          <t>S20</t>
        </is>
      </c>
      <c r="N155" s="6" t="inlineStr">
        <is>
          <t>Team</t>
        </is>
      </c>
      <c r="O155" s="6" t="inlineStr">
        <is>
          <t>Needs an AUTH and a protocol</t>
        </is>
      </c>
      <c r="P155" s="6" t="inlineStr">
        <is>
          <t>No</t>
        </is>
      </c>
      <c r="Q155" s="6" t="inlineStr">
        <is>
          <t>Assumption</t>
        </is>
      </c>
      <c r="R155" s="6" t="inlineStr">
        <is>
          <t>Sub-item</t>
        </is>
      </c>
      <c r="S155" s="6" t="inlineStr">
        <is>
          <t>C-S12</t>
        </is>
      </c>
      <c r="T155" s="6" t="inlineStr">
        <is>
          <t>Recovery assumption RA13: a vocabulary mismatch is a recall failure counted in q.</t>
        </is>
      </c>
      <c r="U155" s="6" t="inlineStr">
        <is>
          <t>Assumption.</t>
        </is>
      </c>
      <c r="V155" s="6" t="inlineStr">
        <is>
          <t>Recall measured per query style.</t>
        </is>
      </c>
      <c r="W155" s="6" t="inlineStr">
        <is>
          <t>C-D09, C-D08</t>
        </is>
      </c>
      <c r="X155" s="6" t="inlineStr"/>
      <c r="Y155" s="6" t="inlineStr"/>
      <c r="Z155" s="6" t="inlineStr"/>
      <c r="AA155" s="6" t="inlineStr"/>
      <c r="AB155" s="6" t="inlineStr">
        <is>
          <t>DATA</t>
        </is>
      </c>
      <c r="AC155" s="6" t="inlineStr">
        <is>
          <t>n/a (sub-item)</t>
        </is>
      </c>
      <c r="AD155" s="6" t="inlineStr">
        <is>
          <t>NEW (SRC-11 sub-row)</t>
        </is>
      </c>
      <c r="AE155" s="6" t="inlineStr">
        <is>
          <t>2026-10-19</t>
        </is>
      </c>
      <c r="AF155" s="6" t="inlineStr">
        <is>
          <t>v3-02 section 4</t>
        </is>
      </c>
      <c r="AG155" s="6" t="inlineStr"/>
      <c r="AH155" s="6" t="inlineStr">
        <is>
          <t>Yes</t>
        </is>
      </c>
      <c r="AI155" s="6" t="inlineStr"/>
      <c r="AJ155" s="6" t="inlineStr">
        <is>
          <t>repo: v3-02 section 4</t>
        </is>
      </c>
      <c r="AK155" s="6" t="inlineStr">
        <is>
          <t>RA13</t>
        </is>
      </c>
      <c r="AL155" s="6" t="inlineStr">
        <is>
          <t>S13</t>
        </is>
      </c>
    </row>
    <row r="156" ht="40.5" customHeight="1">
      <c r="A156" s="5" t="inlineStr">
        <is>
          <t>C-S15</t>
        </is>
      </c>
      <c r="B156" s="6" t="inlineStr">
        <is>
          <t>Does a concentrated usage core exist and transfer to held-out tasks; do model-count effects hold at matched...</t>
        </is>
      </c>
      <c r="C156" s="6" t="inlineStr">
        <is>
          <t>OPEN</t>
        </is>
      </c>
      <c r="D156" s="6">
        <f>IFERROR(INDEX(Lists!$B$2:$B$14,MATCH(C156,Lists!$A$2:$A$14,0)),"?")</f>
        <v/>
      </c>
      <c r="E156" s="6">
        <f>IF(COUNTIFS(Links!$B$2:$B$600,A156,Links!$E$2:$E$600,"Yes")&gt;0,"REVISE","")</f>
        <v/>
      </c>
      <c r="F156" s="6">
        <f>COUNTIFS(Links!$B$2:$B$600,A156,Links!$D$2:$D$600,"No",Links!$C$2:$C$600,"&lt;&gt;INFORMS")</f>
        <v/>
      </c>
      <c r="G156" s="17" t="inlineStr">
        <is>
          <t>TEST-PILOT</t>
        </is>
      </c>
      <c r="H156" s="6" t="inlineStr">
        <is>
          <t>K12 Selector &amp; need estimation</t>
        </is>
      </c>
      <c r="I156" s="6" t="inlineStr">
        <is>
          <t>G3 Before confirmatory study</t>
        </is>
      </c>
      <c r="J156" s="6" t="inlineStr">
        <is>
          <t>Normal</t>
        </is>
      </c>
      <c r="K156" s="6" t="n">
        <v>193</v>
      </c>
      <c r="L156" s="6" t="inlineStr">
        <is>
          <t>W3 Pilots (AUTH)</t>
        </is>
      </c>
      <c r="M156" s="6" t="inlineStr">
        <is>
          <t>S20</t>
        </is>
      </c>
      <c r="N156" s="6" t="inlineStr">
        <is>
          <t>Team</t>
        </is>
      </c>
      <c r="O156" s="6" t="inlineStr">
        <is>
          <t>Needs an AUTH and a protocol</t>
        </is>
      </c>
      <c r="P156" s="6" t="inlineStr">
        <is>
          <t>No</t>
        </is>
      </c>
      <c r="Q156" s="6" t="inlineStr">
        <is>
          <t>Scientific unknown</t>
        </is>
      </c>
      <c r="R156" s="6" t="inlineStr">
        <is>
          <t>Item</t>
        </is>
      </c>
      <c r="S156" s="6" t="inlineStr"/>
      <c r="T156" s="6" t="inlineStr">
        <is>
          <t>Does a concentrated usage core exist and transfer to held-out tasks; do model-count effects hold at matched tokens?</t>
        </is>
      </c>
      <c r="U156" s="6" t="inlineStr">
        <is>
          <t>No held-out evidence (HYP-0014 proposed); C-A already demoted to a component.</t>
        </is>
      </c>
      <c r="V156" s="6" t="inlineStr">
        <is>
          <t>Held-out core test plus matched-token contrasts.</t>
        </is>
      </c>
      <c r="W156" s="6" t="inlineStr">
        <is>
          <t>C-D09, C-D08</t>
        </is>
      </c>
      <c r="X156" s="6" t="inlineStr">
        <is>
          <t>C-D11, C-S01</t>
        </is>
      </c>
      <c r="Y156" s="6" t="inlineStr">
        <is>
          <t>Q-J27, Q-U03</t>
        </is>
      </c>
      <c r="Z156" s="6" t="inlineStr"/>
      <c r="AA156" s="6" t="inlineStr">
        <is>
          <t>K10 Token composition</t>
        </is>
      </c>
      <c r="AB156" s="6" t="inlineStr">
        <is>
          <t>DATA</t>
        </is>
      </c>
      <c r="AC156" s="6" t="inlineStr">
        <is>
          <t>OPEN</t>
        </is>
      </c>
      <c r="AD156" s="6" t="inlineStr">
        <is>
          <t>UNCHANGED</t>
        </is>
      </c>
      <c r="AE156" s="6" t="inlineStr">
        <is>
          <t>2026-10-19</t>
        </is>
      </c>
      <c r="AF156" s="6" t="inlineStr">
        <is>
          <t>HYP-0014; v4-01 section 5</t>
        </is>
      </c>
      <c r="AG156" s="6" t="inlineStr"/>
      <c r="AH156" s="6" t="inlineStr">
        <is>
          <t>Yes</t>
        </is>
      </c>
      <c r="AI156" s="6" t="inlineStr"/>
      <c r="AJ156" s="6" t="inlineStr">
        <is>
          <t>SRC-11 canonical</t>
        </is>
      </c>
      <c r="AK156" s="6" t="inlineStr">
        <is>
          <t>SRC-06 S33, SRC-06 S39, HYP-0014</t>
        </is>
      </c>
      <c r="AL156" s="6" t="inlineStr">
        <is>
          <t>S20</t>
        </is>
      </c>
    </row>
    <row r="157" ht="28" customHeight="1">
      <c r="A157" s="5" t="inlineStr">
        <is>
          <t>C-X03</t>
        </is>
      </c>
      <c r="B157" s="6" t="inlineStr">
        <is>
          <t>E3/E8: selector recall plus need-estimator check that answers C-S12.</t>
        </is>
      </c>
      <c r="C157" s="6" t="inlineStr">
        <is>
          <t>UNRUN</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K12 Selector &amp; need estimation</t>
        </is>
      </c>
      <c r="I157" s="6" t="inlineStr">
        <is>
          <t>G3 Before confirmatory study</t>
        </is>
      </c>
      <c r="J157" s="6" t="inlineStr">
        <is>
          <t>Normal</t>
        </is>
      </c>
      <c r="K157" s="6" t="n">
        <v>194</v>
      </c>
      <c r="L157" s="6" t="inlineStr">
        <is>
          <t>W3 Pilots (AUTH)</t>
        </is>
      </c>
      <c r="M157" s="6" t="inlineStr">
        <is>
          <t>S20</t>
        </is>
      </c>
      <c r="N157" s="6" t="inlineStr">
        <is>
          <t>Team</t>
        </is>
      </c>
      <c r="O157" s="6" t="inlineStr">
        <is>
          <t>Needs an AUTH and a protocol</t>
        </is>
      </c>
      <c r="P157" s="6" t="inlineStr">
        <is>
          <t>No</t>
        </is>
      </c>
      <c r="Q157" s="6" t="inlineStr">
        <is>
          <t>Test</t>
        </is>
      </c>
      <c r="R157" s="6" t="inlineStr">
        <is>
          <t>Check</t>
        </is>
      </c>
      <c r="S157" s="6" t="inlineStr"/>
      <c r="T157" s="6" t="inlineStr">
        <is>
          <t>E3/E8: selector recall plus need-estimator check that answers C-S12.</t>
        </is>
      </c>
      <c r="U157" s="6" t="inlineStr">
        <is>
          <t>Not run.</t>
        </is>
      </c>
      <c r="V157" s="6" t="inlineStr">
        <is>
          <t>Same as C-S12.</t>
        </is>
      </c>
      <c r="W157" s="6" t="inlineStr">
        <is>
          <t>C-D09, C-D08</t>
        </is>
      </c>
      <c r="X157" s="6" t="inlineStr">
        <is>
          <t>C-D11</t>
        </is>
      </c>
      <c r="Y157" s="6" t="inlineStr"/>
      <c r="Z157" s="6" t="inlineStr"/>
      <c r="AA157" s="6" t="inlineStr"/>
      <c r="AB157" s="6" t="inlineStr">
        <is>
          <t>DATA</t>
        </is>
      </c>
      <c r="AC157" s="6" t="inlineStr">
        <is>
          <t>NO RESULT - OPEN</t>
        </is>
      </c>
      <c r="AD157" s="6" t="inlineStr">
        <is>
          <t>UNCHANGED</t>
        </is>
      </c>
      <c r="AE157" s="6" t="inlineStr">
        <is>
          <t>2026-10-19</t>
        </is>
      </c>
      <c r="AF157" s="6" t="inlineStr">
        <is>
          <t>v3-04 section 4</t>
        </is>
      </c>
      <c r="AG157" s="6" t="inlineStr"/>
      <c r="AH157" s="6" t="inlineStr">
        <is>
          <t>Yes</t>
        </is>
      </c>
      <c r="AI157" s="6" t="inlineStr"/>
      <c r="AJ157" s="6" t="inlineStr">
        <is>
          <t>SRC-11 canonical</t>
        </is>
      </c>
      <c r="AK157" s="6" t="inlineStr">
        <is>
          <t>E3, E8</t>
        </is>
      </c>
      <c r="AL157" s="6" t="inlineStr">
        <is>
          <t>S20</t>
        </is>
      </c>
    </row>
    <row r="158" ht="28" customHeight="1">
      <c r="A158" s="5" t="inlineStr">
        <is>
          <t>C-X04</t>
        </is>
      </c>
      <c r="B158" s="6" t="inlineStr">
        <is>
          <t>E4: substitute-reference validity check that answers C-S13.</t>
        </is>
      </c>
      <c r="C158" s="6" t="inlineStr">
        <is>
          <t>UNRUN</t>
        </is>
      </c>
      <c r="D158" s="6">
        <f>IFERROR(INDEX(Lists!$B$2:$B$14,MATCH(C158,Lists!$A$2:$A$14,0)),"?")</f>
        <v/>
      </c>
      <c r="E158" s="6">
        <f>IF(COUNTIFS(Links!$B$2:$B$600,A158,Links!$E$2:$E$600,"Yes")&gt;0,"REVISE","")</f>
        <v/>
      </c>
      <c r="F158" s="6">
        <f>COUNTIFS(Links!$B$2:$B$600,A158,Links!$D$2:$D$600,"No",Links!$C$2:$C$600,"&lt;&gt;INFORMS")</f>
        <v/>
      </c>
      <c r="G158" s="17" t="inlineStr">
        <is>
          <t>TEST-PILOT</t>
        </is>
      </c>
      <c r="H158" s="6" t="inlineStr">
        <is>
          <t>K7 Large-catalogue reference</t>
        </is>
      </c>
      <c r="I158" s="6" t="inlineStr">
        <is>
          <t>G3 Before confirmatory study</t>
        </is>
      </c>
      <c r="J158" s="6" t="inlineStr">
        <is>
          <t>Normal</t>
        </is>
      </c>
      <c r="K158" s="6" t="n">
        <v>195</v>
      </c>
      <c r="L158" s="6" t="inlineStr">
        <is>
          <t>W3 Pilots (AUTH)</t>
        </is>
      </c>
      <c r="M158" s="6" t="inlineStr">
        <is>
          <t>S20</t>
        </is>
      </c>
      <c r="N158" s="6" t="inlineStr">
        <is>
          <t>Team</t>
        </is>
      </c>
      <c r="O158" s="6" t="inlineStr">
        <is>
          <t>Needs an AUTH and a protocol</t>
        </is>
      </c>
      <c r="P158" s="6" t="inlineStr">
        <is>
          <t>No</t>
        </is>
      </c>
      <c r="Q158" s="6" t="inlineStr">
        <is>
          <t>Test</t>
        </is>
      </c>
      <c r="R158" s="6" t="inlineStr">
        <is>
          <t>Check</t>
        </is>
      </c>
      <c r="S158" s="6" t="inlineStr"/>
      <c r="T158" s="6" t="inlineStr">
        <is>
          <t>E4: substitute-reference validity check that answers C-S13.</t>
        </is>
      </c>
      <c r="U158" s="6" t="inlineStr">
        <is>
          <t>Not run; cannot prove equivalence at an infeasible size.</t>
        </is>
      </c>
      <c r="V158" s="6" t="inlineStr">
        <is>
          <t>Same as C-S13.</t>
        </is>
      </c>
      <c r="W158" s="6" t="inlineStr">
        <is>
          <t>C-D09, C-D08, C-E06</t>
        </is>
      </c>
      <c r="X158" s="6" t="inlineStr"/>
      <c r="Y158" s="6" t="inlineStr"/>
      <c r="Z158" s="6" t="inlineStr"/>
      <c r="AA158" s="6" t="inlineStr"/>
      <c r="AB158" s="6" t="inlineStr">
        <is>
          <t>DATA</t>
        </is>
      </c>
      <c r="AC158" s="6" t="inlineStr">
        <is>
          <t>NO RESULT - OPEN</t>
        </is>
      </c>
      <c r="AD158" s="6" t="inlineStr">
        <is>
          <t>UNCHANGED</t>
        </is>
      </c>
      <c r="AE158" s="6" t="inlineStr">
        <is>
          <t>2026-10-19</t>
        </is>
      </c>
      <c r="AF158" s="6" t="inlineStr">
        <is>
          <t>v4-02 section 4</t>
        </is>
      </c>
      <c r="AG158" s="6" t="inlineStr"/>
      <c r="AH158" s="6" t="inlineStr">
        <is>
          <t>Yes</t>
        </is>
      </c>
      <c r="AI158" s="6" t="inlineStr"/>
      <c r="AJ158" s="6" t="inlineStr">
        <is>
          <t>SRC-11 canonical</t>
        </is>
      </c>
      <c r="AK158" s="6" t="inlineStr">
        <is>
          <t>E4</t>
        </is>
      </c>
      <c r="AL158" s="6" t="inlineStr">
        <is>
          <t>S20</t>
        </is>
      </c>
    </row>
    <row r="159" ht="40.5" customHeight="1">
      <c r="A159" s="5" t="inlineStr">
        <is>
          <t>C-S20</t>
        </is>
      </c>
      <c r="B159" s="6" t="inlineStr">
        <is>
          <t>Cross-reference to the offline-cost convention, the definition share and the 40-50% premise.</t>
        </is>
      </c>
      <c r="C159" s="6" t="inlineStr">
        <is>
          <t>OPEN</t>
        </is>
      </c>
      <c r="D159" s="6">
        <f>IFERROR(INDEX(Lists!$B$2:$B$14,MATCH(C159,Lists!$A$2:$A$14,0)),"?")</f>
        <v/>
      </c>
      <c r="E159" s="6">
        <f>IF(COUNTIFS(Links!$B$2:$B$600,A159,Links!$E$2:$E$600,"Yes")&gt;0,"REVISE","")</f>
        <v/>
      </c>
      <c r="F159" s="6">
        <f>COUNTIFS(Links!$B$2:$B$600,A159,Links!$D$2:$D$600,"No",Links!$C$2:$C$600,"&lt;&gt;INFORMS")</f>
        <v/>
      </c>
      <c r="G159" s="18" t="inlineStr">
        <is>
          <t>CROSS-REFERENCE</t>
        </is>
      </c>
      <c r="H159" s="6" t="inlineStr">
        <is>
          <t>K2 Objective &amp; accounting</t>
        </is>
      </c>
      <c r="I159" s="6" t="inlineStr">
        <is>
          <t>G3 Before confirmatory study</t>
        </is>
      </c>
      <c r="J159" s="6" t="inlineStr">
        <is>
          <t>Normal</t>
        </is>
      </c>
      <c r="K159" s="6" t="n">
        <v>196</v>
      </c>
      <c r="L159" s="6" t="inlineStr">
        <is>
          <t>W3 Pilots (AUTH)</t>
        </is>
      </c>
      <c r="M159" s="6" t="inlineStr">
        <is>
          <t>S20</t>
        </is>
      </c>
      <c r="N159" s="6" t="inlineStr">
        <is>
          <t>n/a</t>
        </is>
      </c>
      <c r="O159" s="6" t="inlineStr">
        <is>
          <t>None; closes when its parents close</t>
        </is>
      </c>
      <c r="P159" s="6" t="inlineStr">
        <is>
          <t>No</t>
        </is>
      </c>
      <c r="Q159" s="6" t="inlineStr">
        <is>
          <t>Scientific unknown</t>
        </is>
      </c>
      <c r="R159" s="6" t="inlineStr">
        <is>
          <t>Item</t>
        </is>
      </c>
      <c r="S159" s="6" t="inlineStr"/>
      <c r="T159" s="6" t="inlineStr">
        <is>
          <t>Cross-reference to the offline-cost convention, the definition share and the 40-50% premise.</t>
        </is>
      </c>
      <c r="U159" s="6" t="inlineStr">
        <is>
          <t>Closes when C-S17, C-S01, C-S15 close; count their measurements once.</t>
        </is>
      </c>
      <c r="V159" s="6" t="inlineStr">
        <is>
          <t>All three pointed-to items closed.</t>
        </is>
      </c>
      <c r="W159" s="6" t="inlineStr">
        <is>
          <t>C-S17, C-S01, C-S15</t>
        </is>
      </c>
      <c r="X159" s="6" t="inlineStr"/>
      <c r="Y159" s="6" t="inlineStr">
        <is>
          <t>Q-J03, Q-J19</t>
        </is>
      </c>
      <c r="Z159" s="6" t="inlineStr"/>
      <c r="AA159" s="6" t="inlineStr">
        <is>
          <t>K10 Token composition, K12 Selector &amp; need estimation</t>
        </is>
      </c>
      <c r="AB159" s="6" t="inlineStr">
        <is>
          <t>DEC+DATA</t>
        </is>
      </c>
      <c r="AC159" s="6" t="inlineStr">
        <is>
          <t>OPEN</t>
        </is>
      </c>
      <c r="AD159" s="6" t="inlineStr">
        <is>
          <t>UNCHANGED</t>
        </is>
      </c>
      <c r="AE159" s="6" t="inlineStr">
        <is>
          <t>2026-10-19</t>
        </is>
      </c>
      <c r="AF159" s="6" t="inlineStr">
        <is>
          <t>SRC-11 C-S20</t>
        </is>
      </c>
      <c r="AG159" s="6" t="inlineStr"/>
      <c r="AH159" s="6" t="inlineStr">
        <is>
          <t>n/a</t>
        </is>
      </c>
      <c r="AI159" s="6" t="inlineStr"/>
      <c r="AJ159" s="6" t="inlineStr">
        <is>
          <t>SRC-11 canonical</t>
        </is>
      </c>
      <c r="AK159" s="6" t="inlineStr">
        <is>
          <t>SRC-06 S35, SRC-06 S39</t>
        </is>
      </c>
      <c r="AL159" s="6" t="inlineStr">
        <is>
          <t>S20</t>
        </is>
      </c>
    </row>
    <row r="160" ht="265.5" customHeight="1">
      <c r="A160" s="5" t="inlineStr">
        <is>
          <t>N-6</t>
        </is>
      </c>
      <c r="B160" s="6" t="inlineStr">
        <is>
          <t>Memory of which tools exist or were discovered, in a catalogue too large to expose, measured across sessions.</t>
        </is>
      </c>
      <c r="C160" s="6" t="inlineStr">
        <is>
          <t>NOT LOCATED</t>
        </is>
      </c>
      <c r="D160" s="6">
        <f>IFERROR(INDEX(Lists!$B$2:$B$14,MATCH(C160,Lists!$A$2:$A$14,0)),"?")</f>
        <v/>
      </c>
      <c r="E160" s="6">
        <f>IF(COUNTIFS(Links!$B$2:$B$600,A160,Links!$E$2:$E$600,"Yes")&gt;0,"REVISE","")</f>
        <v/>
      </c>
      <c r="F160" s="6">
        <f>COUNTIFS(Links!$B$2:$B$600,A160,Links!$D$2:$D$600,"No",Links!$C$2:$C$600,"&lt;&gt;INFORMS")</f>
        <v/>
      </c>
      <c r="G160" s="11" t="inlineStr">
        <is>
          <t>LITERATURE-DIRECTED</t>
        </is>
      </c>
      <c r="H160" s="6" t="inlineStr">
        <is>
          <t>K4 Memory &amp; sessions</t>
        </is>
      </c>
      <c r="I160" s="6" t="inlineStr">
        <is>
          <t>G3 Before confirmatory study</t>
        </is>
      </c>
      <c r="J160" s="6" t="inlineStr">
        <is>
          <t>Normal</t>
        </is>
      </c>
      <c r="K160" s="6" t="n">
        <v>197</v>
      </c>
      <c r="L160" s="6" t="inlineStr">
        <is>
          <t>W3 Pilots (AUTH)</t>
        </is>
      </c>
      <c r="M160" s="6" t="inlineStr">
        <is>
          <t>S21</t>
        </is>
      </c>
      <c r="N160" s="6" t="inlineStr">
        <is>
          <t>Lead (search); team (pilot D)</t>
        </is>
      </c>
      <c r="O160" s="6" t="inlineStr">
        <is>
          <t>Stated deferral or a session pilot (user decision; a pilot needs its own AUTH)</t>
        </is>
      </c>
      <c r="P160" s="6" t="inlineStr">
        <is>
          <t>No</t>
        </is>
      </c>
      <c r="Q160" s="6" t="inlineStr">
        <is>
          <t>Scientific unknown</t>
        </is>
      </c>
      <c r="R160" s="6" t="inlineStr">
        <is>
          <t>Item</t>
        </is>
      </c>
      <c r="S160" s="6" t="inlineStr"/>
      <c r="T160" s="6" t="inlineStr">
        <is>
          <t>Memory of which tools exist or were discovered, in a catalogue too large to expose, measured across sessions.</t>
        </is>
      </c>
      <c r="U160"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 2026-10-20 (batch 13b): the agent-memory survey adds no measurement of cross-session memory of which tools exist or were used: it names ToolMem, MemTool, Memp, ReasoningBank and SkillsBench with qualitative effects only and no library sizes (FND-0032); not found in these texts, not 'does not exist'.</t>
        </is>
      </c>
      <c r="V160" s="6" t="inlineStr">
        <is>
          <t>Directed search for procedural/skill memory done; if still absent, a session pilot or a stated deferral.</t>
        </is>
      </c>
      <c r="W160" s="6" t="inlineStr">
        <is>
          <t>N-2</t>
        </is>
      </c>
      <c r="X160" s="6" t="inlineStr"/>
      <c r="Y160" s="6" t="inlineStr">
        <is>
          <t>Q-J05, Q-U21</t>
        </is>
      </c>
      <c r="Z160" s="6" t="inlineStr">
        <is>
          <t>TEST-PILOT, ACCEPT-LIMITATION</t>
        </is>
      </c>
      <c r="AA160" s="6" t="inlineStr">
        <is>
          <t>K8 Search initiation &amp; recovery</t>
        </is>
      </c>
      <c r="AB160" s="6" t="inlineStr"/>
      <c r="AC160" s="6" t="inlineStr">
        <is>
          <t>n/a (new)</t>
        </is>
      </c>
      <c r="AD160" s="6" t="inlineStr">
        <is>
          <t>NEW</t>
        </is>
      </c>
      <c r="AE160" s="6" t="inlineStr">
        <is>
          <t>2026-10-20</t>
        </is>
      </c>
      <c r="AF160" s="6" t="inlineStr">
        <is>
          <t>FND-0017 (findings/SUM-0019); stored texts evidence/literature-20261019/lit-skilllens-2605.08386.txt, lit-procmem-2602.01869.txt (the paper is titled Skill-Pro), lit-codemem-2512.15813.txt, lit-efficientagents-2601.14192.txt, lit-memskill-2609.16669.txt; FND-0032 (findings/SUM-0034); evidence/literature-20261019/pdf-memory-survey-2602.06052.txt</t>
        </is>
      </c>
      <c r="AG160" s="6" t="inlineStr"/>
      <c r="AH160" s="6" t="inlineStr">
        <is>
          <t>Pilot: yes</t>
        </is>
      </c>
      <c r="AI160" s="6" t="inlineStr"/>
      <c r="AJ160" s="6" t="inlineStr">
        <is>
          <t>Review 19 Oct (section 5)</t>
        </is>
      </c>
      <c r="AK160" s="6" t="inlineStr"/>
      <c r="AL160" s="6" t="inlineStr">
        <is>
          <t>S13</t>
        </is>
      </c>
    </row>
    <row r="161" ht="40.5" customHeight="1">
      <c r="A161" s="5" t="inlineStr">
        <is>
          <t>N-7</t>
        </is>
      </c>
      <c r="B161" s="6" t="inlineStr">
        <is>
          <t>Prefix layout and cache sharing across users: memory-seeded tools could fragment a shared prefix.</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K4 Memory &amp; sessions</t>
        </is>
      </c>
      <c r="I161" s="6" t="inlineStr">
        <is>
          <t>G3 Before confirmatory study</t>
        </is>
      </c>
      <c r="J161" s="6" t="inlineStr">
        <is>
          <t>Normal</t>
        </is>
      </c>
      <c r="K161" s="6" t="n">
        <v>198</v>
      </c>
      <c r="L161" s="6" t="inlineStr">
        <is>
          <t>W3 Pilots (AUTH)</t>
        </is>
      </c>
      <c r="M161" s="6" t="inlineStr">
        <is>
          <t>S21</t>
        </is>
      </c>
      <c r="N161" s="6" t="inlineStr">
        <is>
          <t>Team / provider</t>
        </is>
      </c>
      <c r="O161" s="6" t="inlineStr">
        <is>
          <t>Needs an AUTH and a protocol</t>
        </is>
      </c>
      <c r="P161" s="6" t="inlineStr">
        <is>
          <t>No</t>
        </is>
      </c>
      <c r="Q161" s="6" t="inlineStr">
        <is>
          <t>Test</t>
        </is>
      </c>
      <c r="R161" s="6" t="inlineStr">
        <is>
          <t>Item</t>
        </is>
      </c>
      <c r="S161" s="6" t="inlineStr"/>
      <c r="T161" s="6" t="inlineStr">
        <is>
          <t>Prefix layout and cache sharing across users: memory-seeded tools could fragment a shared prefix.</t>
        </is>
      </c>
      <c r="U161" s="6" t="inlineStr">
        <is>
          <t>Hypothesis; provider sharing behaviour is 'not established here'.</t>
        </is>
      </c>
      <c r="V161" s="6" t="inlineStr">
        <is>
          <t>Provider-specific probe of cross-user prefix sharing and layout.</t>
        </is>
      </c>
      <c r="W161" s="6" t="inlineStr">
        <is>
          <t>N-2</t>
        </is>
      </c>
      <c r="X161" s="6" t="inlineStr">
        <is>
          <t>N-6</t>
        </is>
      </c>
      <c r="Y161" s="6" t="inlineStr">
        <is>
          <t>Q-J05</t>
        </is>
      </c>
      <c r="Z161" s="6" t="inlineStr">
        <is>
          <t>SOURCE-REREAD</t>
        </is>
      </c>
      <c r="AA161" s="6" t="inlineStr">
        <is>
          <t>K9 Cache &amp; billing</t>
        </is>
      </c>
      <c r="AB161" s="6" t="inlineStr"/>
      <c r="AC161" s="6" t="inlineStr">
        <is>
          <t>n/a (new)</t>
        </is>
      </c>
      <c r="AD161" s="6" t="inlineStr">
        <is>
          <t>NEW</t>
        </is>
      </c>
      <c r="AE161" s="6" t="inlineStr">
        <is>
          <t>2026-10-19</t>
        </is>
      </c>
      <c r="AF161" s="6" t="inlineStr">
        <is>
          <t>v4-04 section 4 risk (iii)</t>
        </is>
      </c>
      <c r="AG161" s="6" t="inlineStr"/>
      <c r="AH161" s="6" t="inlineStr">
        <is>
          <t>Yes</t>
        </is>
      </c>
      <c r="AI161" s="6" t="inlineStr"/>
      <c r="AJ161" s="6" t="inlineStr">
        <is>
          <t>Review 19 Oct (section 5)</t>
        </is>
      </c>
      <c r="AK161" s="6" t="inlineStr"/>
      <c r="AL161" s="6" t="inlineStr">
        <is>
          <t>S21</t>
        </is>
      </c>
    </row>
    <row r="162" ht="40.5" customHeight="1">
      <c r="A162" s="5" t="inlineStr">
        <is>
          <t>C-S10</t>
        </is>
      </c>
      <c r="B162" s="6" t="inlineStr">
        <is>
          <t>Why does retrieval hurt (query, embedder, server granularity, judge)?</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K11 End-to-end comparison</t>
        </is>
      </c>
      <c r="I162" s="6" t="inlineStr">
        <is>
          <t>G4 Before claims</t>
        </is>
      </c>
      <c r="J162" s="6" t="inlineStr">
        <is>
          <t>Normal</t>
        </is>
      </c>
      <c r="K162" s="6" t="n">
        <v>199</v>
      </c>
      <c r="L162" s="6" t="inlineStr">
        <is>
          <t>W4 End-to-end</t>
        </is>
      </c>
      <c r="M162" s="6" t="inlineStr">
        <is>
          <t>S22</t>
        </is>
      </c>
      <c r="N162" s="6" t="inlineStr">
        <is>
          <t>Team</t>
        </is>
      </c>
      <c r="O162" s="6" t="inlineStr">
        <is>
          <t>Needs an AUTH and a protocol</t>
        </is>
      </c>
      <c r="P162" s="6" t="inlineStr">
        <is>
          <t>No</t>
        </is>
      </c>
      <c r="Q162" s="6" t="inlineStr">
        <is>
          <t>Scientific unknown</t>
        </is>
      </c>
      <c r="R162" s="6" t="inlineStr">
        <is>
          <t>Item</t>
        </is>
      </c>
      <c r="S162" s="6" t="inlineStr"/>
      <c r="T162" s="6" t="inlineStr">
        <is>
          <t>Why does retrieval hurt (query, embedder, server granularity, judge)? Generality is not isolated.</t>
        </is>
      </c>
      <c r="U162" s="6" t="inlineStr">
        <is>
          <t>TheMCPCompany shows premiums but conflates retrieval failure with discovery.</t>
        </is>
      </c>
      <c r="V162" s="6" t="inlineStr">
        <is>
          <t>Strong-retriever full-catalogue comparison with fixed judge and query variants.</t>
        </is>
      </c>
      <c r="W162" s="6" t="inlineStr">
        <is>
          <t>C-D09, C-D08</t>
        </is>
      </c>
      <c r="X162" s="6" t="inlineStr">
        <is>
          <t>C-S11</t>
        </is>
      </c>
      <c r="Y162" s="6" t="inlineStr"/>
      <c r="Z162" s="6" t="inlineStr">
        <is>
          <t>LITERATURE-DIRECTED, SOURCE-REREAD</t>
        </is>
      </c>
      <c r="AA162" s="6" t="inlineStr">
        <is>
          <t>K12 Selector &amp; need estimation</t>
        </is>
      </c>
      <c r="AB162" s="6" t="inlineStr">
        <is>
          <t>DATA+SOURCE</t>
        </is>
      </c>
      <c r="AC162" s="6" t="inlineStr">
        <is>
          <t>OPEN</t>
        </is>
      </c>
      <c r="AD162" s="6" t="inlineStr">
        <is>
          <t>UNCHANGED</t>
        </is>
      </c>
      <c r="AE162" s="6" t="inlineStr">
        <is>
          <t>2026-10-19</t>
        </is>
      </c>
      <c r="AF162" s="6" t="inlineStr">
        <is>
          <t>v4-05 section 1A</t>
        </is>
      </c>
      <c r="AG162" s="6" t="inlineStr"/>
      <c r="AH162" s="6" t="inlineStr">
        <is>
          <t>Yes</t>
        </is>
      </c>
      <c r="AI162" s="6" t="inlineStr"/>
      <c r="AJ162" s="6" t="inlineStr">
        <is>
          <t>SRC-11 canonical</t>
        </is>
      </c>
      <c r="AK162" s="6" t="inlineStr">
        <is>
          <t>SRC-06 S24</t>
        </is>
      </c>
      <c r="AL162" s="6" t="inlineStr">
        <is>
          <t>S13</t>
        </is>
      </c>
    </row>
    <row r="163" ht="28" customHeight="1">
      <c r="A163" s="5" t="inlineStr">
        <is>
          <t>C-S10/RA3</t>
        </is>
      </c>
      <c r="B163" s="6" t="inlineStr">
        <is>
          <t>RA3: appended results do not degrade later steps</t>
        </is>
      </c>
      <c r="C163" s="6" t="inlineStr">
        <is>
          <t>OPEN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K11 End-to-end comparison</t>
        </is>
      </c>
      <c r="I163" s="6" t="inlineStr">
        <is>
          <t>G4 Before claims</t>
        </is>
      </c>
      <c r="J163" s="6" t="inlineStr">
        <is>
          <t>Normal</t>
        </is>
      </c>
      <c r="K163" s="6" t="n">
        <v>200</v>
      </c>
      <c r="L163" s="6" t="inlineStr">
        <is>
          <t>W4 End-to-end</t>
        </is>
      </c>
      <c r="M163" s="6" t="inlineStr">
        <is>
          <t>S22</t>
        </is>
      </c>
      <c r="N163" s="6" t="inlineStr">
        <is>
          <t>Team</t>
        </is>
      </c>
      <c r="O163" s="6" t="inlineStr">
        <is>
          <t>Needs an AUTH and a protocol</t>
        </is>
      </c>
      <c r="P163" s="6" t="inlineStr">
        <is>
          <t>No</t>
        </is>
      </c>
      <c r="Q163" s="6" t="inlineStr">
        <is>
          <t>Assumption</t>
        </is>
      </c>
      <c r="R163" s="6" t="inlineStr">
        <is>
          <t>Sub-item</t>
        </is>
      </c>
      <c r="S163" s="6" t="inlineStr">
        <is>
          <t>C-S10</t>
        </is>
      </c>
      <c r="T163" s="6" t="inlineStr">
        <is>
          <t>Recovery assumption RA3: appended search results do not degrade later steps.</t>
        </is>
      </c>
      <c r="U163" s="6" t="inlineStr">
        <is>
          <t>Assumption, not assumed true.</t>
        </is>
      </c>
      <c r="V163" s="6" t="inlineStr">
        <is>
          <t>Tested end-to-end (failure of RA1-RA4 is a lost task).</t>
        </is>
      </c>
      <c r="W163" s="6" t="inlineStr">
        <is>
          <t>C-D09, C-D08</t>
        </is>
      </c>
      <c r="X163" s="6" t="inlineStr"/>
      <c r="Y163" s="6" t="inlineStr"/>
      <c r="Z163" s="6" t="inlineStr"/>
      <c r="AA163" s="6" t="inlineStr"/>
      <c r="AB163" s="6" t="inlineStr">
        <is>
          <t>DATA</t>
        </is>
      </c>
      <c r="AC163" s="6" t="inlineStr">
        <is>
          <t>n/a (sub-item)</t>
        </is>
      </c>
      <c r="AD163" s="6" t="inlineStr">
        <is>
          <t>NEW (SRC-11 sub-row)</t>
        </is>
      </c>
      <c r="AE163" s="6" t="inlineStr">
        <is>
          <t>2026-10-19</t>
        </is>
      </c>
      <c r="AF163" s="6" t="inlineStr">
        <is>
          <t>v3-02 section 4 RA1-RA13</t>
        </is>
      </c>
      <c r="AG163" s="6" t="inlineStr"/>
      <c r="AH163" s="6" t="inlineStr">
        <is>
          <t>Yes</t>
        </is>
      </c>
      <c r="AI163" s="6" t="inlineStr"/>
      <c r="AJ163" s="6" t="inlineStr">
        <is>
          <t>repo: v3-02 section 4</t>
        </is>
      </c>
      <c r="AK163" s="6" t="inlineStr">
        <is>
          <t>RA3</t>
        </is>
      </c>
      <c r="AL163" s="6" t="inlineStr">
        <is>
          <t>S13</t>
        </is>
      </c>
    </row>
    <row r="164" ht="28" customHeight="1">
      <c r="A164" s="5" t="inlineStr">
        <is>
          <t>C-S10/RA9</t>
        </is>
      </c>
      <c r="B164" s="6" t="inlineStr">
        <is>
          <t>RA9: appended definitions remain visible for the rest of the trajectory</t>
        </is>
      </c>
      <c r="C164" s="6" t="inlineStr">
        <is>
          <t>OPEN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K11 End-to-end comparison</t>
        </is>
      </c>
      <c r="I164" s="6" t="inlineStr">
        <is>
          <t>G4 Before claims</t>
        </is>
      </c>
      <c r="J164" s="6" t="inlineStr">
        <is>
          <t>Normal</t>
        </is>
      </c>
      <c r="K164" s="6" t="n">
        <v>201</v>
      </c>
      <c r="L164" s="6" t="inlineStr">
        <is>
          <t>W4 End-to-end</t>
        </is>
      </c>
      <c r="M164" s="6" t="inlineStr">
        <is>
          <t>S22</t>
        </is>
      </c>
      <c r="N164" s="6" t="inlineStr">
        <is>
          <t>Team</t>
        </is>
      </c>
      <c r="O164" s="6" t="inlineStr">
        <is>
          <t>Needs an AUTH and a protocol</t>
        </is>
      </c>
      <c r="P164" s="6" t="inlineStr">
        <is>
          <t>No</t>
        </is>
      </c>
      <c r="Q164" s="6" t="inlineStr">
        <is>
          <t>Assumption</t>
        </is>
      </c>
      <c r="R164" s="6" t="inlineStr">
        <is>
          <t>Sub-item</t>
        </is>
      </c>
      <c r="S164" s="6" t="inlineStr">
        <is>
          <t>C-S10</t>
        </is>
      </c>
      <c r="T164" s="6" t="inlineStr">
        <is>
          <t>Recovery assumption RA9 (design property to verify in the vehicle).</t>
        </is>
      </c>
      <c r="U164" s="6" t="inlineStr">
        <is>
          <t>Assumption, not assumed true.</t>
        </is>
      </c>
      <c r="V164" s="6" t="inlineStr">
        <is>
          <t>Tested end-to-end (failure of RA1-RA4 is a lost task).</t>
        </is>
      </c>
      <c r="W164" s="6" t="inlineStr">
        <is>
          <t>C-D09, C-D08</t>
        </is>
      </c>
      <c r="X164" s="6" t="inlineStr"/>
      <c r="Y164" s="6" t="inlineStr"/>
      <c r="Z164" s="6" t="inlineStr"/>
      <c r="AA164" s="6" t="inlineStr"/>
      <c r="AB164" s="6" t="inlineStr">
        <is>
          <t>DATA</t>
        </is>
      </c>
      <c r="AC164" s="6" t="inlineStr">
        <is>
          <t>n/a (sub-item)</t>
        </is>
      </c>
      <c r="AD164" s="6" t="inlineStr">
        <is>
          <t>NEW (SRC-11 sub-row)</t>
        </is>
      </c>
      <c r="AE164" s="6" t="inlineStr">
        <is>
          <t>2026-10-19</t>
        </is>
      </c>
      <c r="AF164" s="6" t="inlineStr">
        <is>
          <t>v3-02 section 4 RA1-RA13</t>
        </is>
      </c>
      <c r="AG164" s="6" t="inlineStr"/>
      <c r="AH164" s="6" t="inlineStr">
        <is>
          <t>Yes</t>
        </is>
      </c>
      <c r="AI164" s="6" t="inlineStr"/>
      <c r="AJ164" s="6" t="inlineStr">
        <is>
          <t>repo: v3-02 section 4</t>
        </is>
      </c>
      <c r="AK164" s="6" t="inlineStr">
        <is>
          <t>RA9</t>
        </is>
      </c>
      <c r="AL164" s="6" t="inlineStr">
        <is>
          <t>S13</t>
        </is>
      </c>
    </row>
    <row r="165" ht="40.5" customHeight="1">
      <c r="A165" s="5" t="inlineStr">
        <is>
          <t>C-S11</t>
        </is>
      </c>
      <c r="B165" s="6" t="inlineStr">
        <is>
          <t>Does a second filtering stage or a system trigger pay; is dependency-aware discovery useful?</t>
        </is>
      </c>
      <c r="C165" s="6" t="inlineStr">
        <is>
          <t>OPEN</t>
        </is>
      </c>
      <c r="D165" s="6">
        <f>IFERROR(INDEX(Lists!$B$2:$B$14,MATCH(C165,Lists!$A$2:$A$14,0)),"?")</f>
        <v/>
      </c>
      <c r="E165" s="6">
        <f>IF(COUNTIFS(Links!$B$2:$B$600,A165,Links!$E$2:$E$600,"Yes")&gt;0,"REVISE","")</f>
        <v/>
      </c>
      <c r="F165" s="6">
        <f>COUNTIFS(Links!$B$2:$B$600,A165,Links!$D$2:$D$600,"No",Links!$C$2:$C$600,"&lt;&gt;INFORMS")</f>
        <v/>
      </c>
      <c r="G165" s="17" t="inlineStr">
        <is>
          <t>TEST-PILOT</t>
        </is>
      </c>
      <c r="H165" s="6" t="inlineStr">
        <is>
          <t>K11 End-to-end comparison</t>
        </is>
      </c>
      <c r="I165" s="6" t="inlineStr">
        <is>
          <t>G4 Before claims</t>
        </is>
      </c>
      <c r="J165" s="6" t="inlineStr">
        <is>
          <t>Normal</t>
        </is>
      </c>
      <c r="K165" s="6" t="n">
        <v>202</v>
      </c>
      <c r="L165" s="6" t="inlineStr">
        <is>
          <t>W4 End-to-end</t>
        </is>
      </c>
      <c r="M165" s="6" t="inlineStr">
        <is>
          <t>S22</t>
        </is>
      </c>
      <c r="N165" s="6" t="inlineStr">
        <is>
          <t>Team</t>
        </is>
      </c>
      <c r="O165" s="6" t="inlineStr">
        <is>
          <t>Needs an AUTH and a protocol</t>
        </is>
      </c>
      <c r="P165" s="6" t="inlineStr">
        <is>
          <t>No</t>
        </is>
      </c>
      <c r="Q165" s="6" t="inlineStr">
        <is>
          <t>Scientific unknown</t>
        </is>
      </c>
      <c r="R165" s="6" t="inlineStr">
        <is>
          <t>Item</t>
        </is>
      </c>
      <c r="S165" s="6" t="inlineStr"/>
      <c r="T165" s="6" t="inlineStr">
        <is>
          <t>Does a second filtering stage or a system trigger pay; is dependency-aware discovery useful?</t>
        </is>
      </c>
      <c r="U165" s="6" t="inlineStr">
        <is>
          <t>No stored source supports a trigger; the only trigger-like result is a termination trigger.</t>
        </is>
      </c>
      <c r="V165" s="6" t="inlineStr">
        <is>
          <t>Cascade vs best single stage; trigger and no-miss overhead measured.</t>
        </is>
      </c>
      <c r="W165" s="6" t="inlineStr">
        <is>
          <t>C-D03, C-D09, C-D08</t>
        </is>
      </c>
      <c r="X165" s="6" t="inlineStr">
        <is>
          <t>C-S08, C-S12</t>
        </is>
      </c>
      <c r="Y165" s="6" t="inlineStr">
        <is>
          <t>Q-J08, Q-J11</t>
        </is>
      </c>
      <c r="Z165" s="6" t="inlineStr">
        <is>
          <t>LITERATURE-DIRECTED</t>
        </is>
      </c>
      <c r="AA165" s="6" t="inlineStr">
        <is>
          <t>K3 Policy form, K8 Search initiation &amp; recovery</t>
        </is>
      </c>
      <c r="AB165" s="6" t="inlineStr">
        <is>
          <t>DATA</t>
        </is>
      </c>
      <c r="AC165" s="6" t="inlineStr">
        <is>
          <t>OPEN</t>
        </is>
      </c>
      <c r="AD165" s="6" t="inlineStr">
        <is>
          <t>UNCHANGED</t>
        </is>
      </c>
      <c r="AE165" s="6" t="inlineStr">
        <is>
          <t>2026-10-19</t>
        </is>
      </c>
      <c r="AF165" s="6" t="inlineStr">
        <is>
          <t>v4-01 sections 4, 6</t>
        </is>
      </c>
      <c r="AG165" s="6" t="inlineStr"/>
      <c r="AH165" s="6" t="inlineStr">
        <is>
          <t>Yes</t>
        </is>
      </c>
      <c r="AI165" s="6" t="inlineStr"/>
      <c r="AJ165" s="6" t="inlineStr">
        <is>
          <t>SRC-11 canonical</t>
        </is>
      </c>
      <c r="AK165" s="6" t="inlineStr">
        <is>
          <t>SRC-06 S25, SRC-06 S26, SRC-07 21, RA5, HYP-0002, HYP-0006, HYP-0012, v3-04 objection 8</t>
        </is>
      </c>
      <c r="AL165" s="6" t="inlineStr">
        <is>
          <t>S13</t>
        </is>
      </c>
    </row>
    <row r="166" ht="28" customHeight="1">
      <c r="A166" s="5" t="inlineStr">
        <is>
          <t>C-S11/CASCADE</t>
        </is>
      </c>
      <c r="B166" s="6" t="inlineStr">
        <is>
          <t>Does a multi-stage cascade dominate the best single stage?</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K11 End-to-end comparison</t>
        </is>
      </c>
      <c r="I166" s="6" t="inlineStr">
        <is>
          <t>G4 Before claims</t>
        </is>
      </c>
      <c r="J166" s="6" t="inlineStr">
        <is>
          <t>Normal</t>
        </is>
      </c>
      <c r="K166" s="6" t="n">
        <v>203</v>
      </c>
      <c r="L166" s="6" t="inlineStr">
        <is>
          <t>W4 End-to-end</t>
        </is>
      </c>
      <c r="M166" s="6" t="inlineStr">
        <is>
          <t>S22</t>
        </is>
      </c>
      <c r="N166" s="6" t="inlineStr">
        <is>
          <t>Team</t>
        </is>
      </c>
      <c r="O166" s="6" t="inlineStr">
        <is>
          <t>Needs an AUTH and a protocol</t>
        </is>
      </c>
      <c r="P166" s="6" t="inlineStr">
        <is>
          <t>No</t>
        </is>
      </c>
      <c r="Q166" s="6" t="inlineStr">
        <is>
          <t>Scientific unknown</t>
        </is>
      </c>
      <c r="R166" s="6" t="inlineStr">
        <is>
          <t>Sub-item</t>
        </is>
      </c>
      <c r="S166" s="6" t="inlineStr">
        <is>
          <t>C-S11</t>
        </is>
      </c>
      <c r="T166" s="6" t="inlineStr">
        <is>
          <t>HYP-0002: in the regimes tested no specified cascade dominates the best single-stage policy.</t>
        </is>
      </c>
      <c r="U166" s="6" t="inlineStr">
        <is>
          <t>Proposed; the DMB two-stage router scored 0.7-4.0 below rag:32 inside the +/-8 interval.</t>
        </is>
      </c>
      <c r="V166" s="6" t="inlineStr">
        <is>
          <t>Cascade vs best single stage on one scorer.</t>
        </is>
      </c>
      <c r="W166" s="6" t="inlineStr">
        <is>
          <t>C-D03, C-D09, C-D08</t>
        </is>
      </c>
      <c r="X166" s="6" t="inlineStr"/>
      <c r="Y166" s="6" t="inlineStr">
        <is>
          <t>Q-J08</t>
        </is>
      </c>
      <c r="Z166" s="6" t="inlineStr"/>
      <c r="AA166" s="6" t="inlineStr"/>
      <c r="AB166" s="6" t="inlineStr">
        <is>
          <t>DATA</t>
        </is>
      </c>
      <c r="AC166" s="6" t="inlineStr">
        <is>
          <t>n/a (sub-item)</t>
        </is>
      </c>
      <c r="AD166" s="6" t="inlineStr">
        <is>
          <t>NEW (SRC-11 sub-row)</t>
        </is>
      </c>
      <c r="AE166" s="6" t="inlineStr">
        <is>
          <t>2026-10-19</t>
        </is>
      </c>
      <c r="AF166" s="6" t="inlineStr">
        <is>
          <t>HYP-0002</t>
        </is>
      </c>
      <c r="AG166" s="6" t="inlineStr"/>
      <c r="AH166" s="6" t="inlineStr">
        <is>
          <t>Yes</t>
        </is>
      </c>
      <c r="AI166" s="6" t="inlineStr"/>
      <c r="AJ166" s="6" t="inlineStr">
        <is>
          <t>repo: HYP-0002</t>
        </is>
      </c>
      <c r="AK166" s="6" t="inlineStr">
        <is>
          <t>HYP-0002</t>
        </is>
      </c>
      <c r="AL166" s="6" t="inlineStr">
        <is>
          <t>S13</t>
        </is>
      </c>
    </row>
    <row r="167" ht="53" customHeight="1">
      <c r="A167" s="5" t="inlineStr">
        <is>
          <t>C-S11/TRIG</t>
        </is>
      </c>
      <c r="B167" s="6" t="inlineStr">
        <is>
          <t>System trigger: can it tell that a tool is missing? No source shows it</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G4 Before claims</t>
        </is>
      </c>
      <c r="J167" s="6" t="inlineStr">
        <is>
          <t>Normal</t>
        </is>
      </c>
      <c r="K167" s="6" t="n">
        <v>204</v>
      </c>
      <c r="L167" s="6" t="inlineStr">
        <is>
          <t>W4 End-to-end</t>
        </is>
      </c>
      <c r="M167" s="6" t="inlineStr">
        <is>
          <t>S22</t>
        </is>
      </c>
      <c r="N167" s="6" t="inlineStr">
        <is>
          <t>Team</t>
        </is>
      </c>
      <c r="O167" s="6" t="inlineStr">
        <is>
          <t>Needs an AUTH and a protocol</t>
        </is>
      </c>
      <c r="P167" s="6" t="inlineStr">
        <is>
          <t>No</t>
        </is>
      </c>
      <c r="Q167" s="6" t="inlineStr">
        <is>
          <t>Scientific unknown</t>
        </is>
      </c>
      <c r="R167" s="6" t="inlineStr">
        <is>
          <t>Sub-item</t>
        </is>
      </c>
      <c r="S167" s="6" t="inlineStr">
        <is>
          <t>C-S11</t>
        </is>
      </c>
      <c r="T167" s="6" t="inlineStr">
        <is>
          <t>HYP-0006/0012 and RA5: a system trigger over runtime-observable signals (model text of inability, termination, repeated failure) is untested; the only trigger-like result is a termination trigger (PlanBench-XL).</t>
        </is>
      </c>
      <c r="U167" s="6" t="inlineStr">
        <is>
          <t>Proposed; no stored source.</t>
        </is>
      </c>
      <c r="V167" s="6" t="inlineStr">
        <is>
          <t>Trigger arms in the end-to-end pilot.</t>
        </is>
      </c>
      <c r="W167" s="6" t="inlineStr">
        <is>
          <t>C-D03, C-D09, C-D08</t>
        </is>
      </c>
      <c r="X167" s="6" t="inlineStr"/>
      <c r="Y167" s="6" t="inlineStr"/>
      <c r="Z167" s="6" t="inlineStr"/>
      <c r="AA167" s="6" t="inlineStr"/>
      <c r="AB167" s="6" t="inlineStr">
        <is>
          <t>DATA</t>
        </is>
      </c>
      <c r="AC167" s="6" t="inlineStr">
        <is>
          <t>n/a (sub-item)</t>
        </is>
      </c>
      <c r="AD167" s="6" t="inlineStr">
        <is>
          <t>NEW (SRC-11 sub-row)</t>
        </is>
      </c>
      <c r="AE167" s="6" t="inlineStr">
        <is>
          <t>2026-10-19</t>
        </is>
      </c>
      <c r="AF167" s="6" t="inlineStr">
        <is>
          <t>v4-01 section 4; HYP-0006</t>
        </is>
      </c>
      <c r="AG167" s="6" t="inlineStr"/>
      <c r="AH167" s="6" t="inlineStr">
        <is>
          <t>Yes</t>
        </is>
      </c>
      <c r="AI167" s="6" t="inlineStr"/>
      <c r="AJ167" s="6" t="inlineStr">
        <is>
          <t>repo: v4-01 section 4; HYP-0006/0012</t>
        </is>
      </c>
      <c r="AK167" s="6" t="inlineStr">
        <is>
          <t>HYP-0006, HYP-0012, RA5, CH-0041</t>
        </is>
      </c>
      <c r="AL167" s="6" t="inlineStr">
        <is>
          <t>S13</t>
        </is>
      </c>
    </row>
    <row r="168" ht="40.5" customHeight="1">
      <c r="A168" s="5" t="inlineStr">
        <is>
          <t>C-S18</t>
        </is>
      </c>
      <c r="B168" s="6" t="inlineStr">
        <is>
          <t>Interaction among needed tools and the residual success-loss term are unbounded; the cited simulation was n...</t>
        </is>
      </c>
      <c r="C168" s="6" t="inlineStr">
        <is>
          <t>PARTLY ANSWERED</t>
        </is>
      </c>
      <c r="D168" s="6">
        <f>IFERROR(INDEX(Lists!$B$2:$B$14,MATCH(C168,Lists!$A$2:$A$14,0)),"?")</f>
        <v/>
      </c>
      <c r="E168" s="6">
        <f>IF(COUNTIFS(Links!$B$2:$B$600,A168,Links!$E$2:$E$600,"Yes")&gt;0,"REVISE","")</f>
        <v/>
      </c>
      <c r="F168" s="6">
        <f>COUNTIFS(Links!$B$2:$B$600,A168,Links!$D$2:$D$600,"No",Links!$C$2:$C$600,"&lt;&gt;INFORMS")</f>
        <v/>
      </c>
      <c r="G168" s="13" t="inlineStr">
        <is>
          <t>DESK-ANALYSIS</t>
        </is>
      </c>
      <c r="H168" s="6" t="inlineStr">
        <is>
          <t>K17 Record repair &amp; procedure error</t>
        </is>
      </c>
      <c r="I168" s="6" t="inlineStr">
        <is>
          <t>G4 Before claims</t>
        </is>
      </c>
      <c r="J168" s="6" t="inlineStr">
        <is>
          <t>Normal</t>
        </is>
      </c>
      <c r="K168" s="6" t="n">
        <v>205</v>
      </c>
      <c r="L168" s="6" t="inlineStr">
        <is>
          <t>W4 End-to-end</t>
        </is>
      </c>
      <c r="M168" s="6" t="inlineStr">
        <is>
          <t>S22</t>
        </is>
      </c>
      <c r="N168" s="6" t="inlineStr">
        <is>
          <t>Lead; team</t>
        </is>
      </c>
      <c r="O168" s="6" t="inlineStr">
        <is>
          <t>Lead computes or writes it (no model runs)</t>
        </is>
      </c>
      <c r="P168" s="6" t="inlineStr">
        <is>
          <t>Partly</t>
        </is>
      </c>
      <c r="Q168" s="6" t="inlineStr">
        <is>
          <t>Scientific unknown</t>
        </is>
      </c>
      <c r="R168" s="6" t="inlineStr">
        <is>
          <t>Item</t>
        </is>
      </c>
      <c r="S168" s="6" t="inlineStr"/>
      <c r="T168" s="6" t="inlineStr">
        <is>
          <t>Interaction among needed tools and the residual success-loss term are unbounded; the cited simulation was not rerun.</t>
        </is>
      </c>
      <c r="U168" s="6" t="inlineStr">
        <is>
          <t>Errata removed the false bound and the greedy-optimality claim; v3 maths not re-derived in v4.</t>
        </is>
      </c>
      <c r="V168" s="6" t="inlineStr">
        <is>
          <t>Simulation rerun; interactions measured on paired trajectories.</t>
        </is>
      </c>
      <c r="W168" s="6" t="inlineStr"/>
      <c r="X168" s="6" t="inlineStr">
        <is>
          <t>C-D08</t>
        </is>
      </c>
      <c r="Y168" s="6" t="inlineStr"/>
      <c r="Z168" s="6" t="inlineStr">
        <is>
          <t>TEST-PILOT</t>
        </is>
      </c>
      <c r="AA168" s="6" t="inlineStr">
        <is>
          <t>K12 Selector &amp; need estimation</t>
        </is>
      </c>
      <c r="AB168" s="6" t="inlineStr">
        <is>
          <t>DATA</t>
        </is>
      </c>
      <c r="AC168" s="6" t="inlineStr">
        <is>
          <t>PARTLY ANSWERED - OPEN</t>
        </is>
      </c>
      <c r="AD168" s="6" t="inlineStr">
        <is>
          <t>UNCHANGED</t>
        </is>
      </c>
      <c r="AE168" s="6" t="inlineStr">
        <is>
          <t>2026-10-19</t>
        </is>
      </c>
      <c r="AF168" s="6" t="inlineStr">
        <is>
          <t>v3-01 sections 2-3; v4-03 section 3</t>
        </is>
      </c>
      <c r="AG168" s="6" t="inlineStr"/>
      <c r="AH168" s="6" t="inlineStr">
        <is>
          <t>Measured part: yes</t>
        </is>
      </c>
      <c r="AI168" s="6" t="inlineStr"/>
      <c r="AJ168" s="6" t="inlineStr">
        <is>
          <t>SRC-11 canonical</t>
        </is>
      </c>
      <c r="AK168" s="6" t="inlineStr">
        <is>
          <t>SRC-06 S36, SRC-06 S37</t>
        </is>
      </c>
      <c r="AL168" s="6" t="inlineStr">
        <is>
          <t>S14</t>
        </is>
      </c>
    </row>
    <row r="169" ht="40.5" customHeight="1">
      <c r="A169" s="5" t="inlineStr">
        <is>
          <t>C-S07</t>
        </is>
      </c>
      <c r="B169" s="6" t="inlineStr">
        <is>
          <t>Published contrasts confound tool count, total tokens, overlap and position; a full factorial may be imposs...</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K11 End-to-end comparison</t>
        </is>
      </c>
      <c r="I169" s="6" t="inlineStr">
        <is>
          <t>G4 Before claims</t>
        </is>
      </c>
      <c r="J169" s="6" t="inlineStr">
        <is>
          <t>Normal</t>
        </is>
      </c>
      <c r="K169" s="6" t="n">
        <v>206</v>
      </c>
      <c r="L169" s="6" t="inlineStr">
        <is>
          <t>W4 End-to-end</t>
        </is>
      </c>
      <c r="M169" s="6" t="inlineStr">
        <is>
          <t>S22</t>
        </is>
      </c>
      <c r="N169" s="6" t="inlineStr">
        <is>
          <t>Team</t>
        </is>
      </c>
      <c r="O169" s="6" t="inlineStr">
        <is>
          <t>Needs an AUTH and a protocol</t>
        </is>
      </c>
      <c r="P169" s="6" t="inlineStr">
        <is>
          <t>No</t>
        </is>
      </c>
      <c r="Q169" s="6" t="inlineStr">
        <is>
          <t>Scientific unknown</t>
        </is>
      </c>
      <c r="R169" s="6" t="inlineStr">
        <is>
          <t>Item</t>
        </is>
      </c>
      <c r="S169" s="6" t="inlineStr"/>
      <c r="T169" s="6" t="inlineStr">
        <is>
          <t>Published contrasts confound tool count, total tokens, overlap and position; a full factorial may be impossible.</t>
        </is>
      </c>
      <c r="U169" s="6" t="inlineStr">
        <is>
          <t>MCP-Universe adds a confounded observation only.</t>
        </is>
      </c>
      <c r="V169" s="6" t="inlineStr">
        <is>
          <t>Feasible token-matched contrasts run; what cannot be isolated is stated.</t>
        </is>
      </c>
      <c r="W169" s="6" t="inlineStr">
        <is>
          <t>C-D09, C-D08</t>
        </is>
      </c>
      <c r="X169" s="6" t="inlineStr"/>
      <c r="Y169" s="6" t="inlineStr"/>
      <c r="Z169" s="6" t="inlineStr">
        <is>
          <t>ACCEPT-LIMITATION</t>
        </is>
      </c>
      <c r="AA169" s="6" t="inlineStr"/>
      <c r="AB169" s="6" t="inlineStr">
        <is>
          <t>DATA+BOUND</t>
        </is>
      </c>
      <c r="AC169" s="6" t="inlineStr">
        <is>
          <t>OPEN</t>
        </is>
      </c>
      <c r="AD169" s="6" t="inlineStr">
        <is>
          <t>UNCHANGED</t>
        </is>
      </c>
      <c r="AE169" s="6" t="inlineStr">
        <is>
          <t>2026-10-19</t>
        </is>
      </c>
      <c r="AF169" s="6" t="inlineStr">
        <is>
          <t>v4-05 Round 5</t>
        </is>
      </c>
      <c r="AG169" s="6" t="inlineStr"/>
      <c r="AH169" s="6" t="inlineStr">
        <is>
          <t>Yes</t>
        </is>
      </c>
      <c r="AI169" s="6" t="inlineStr"/>
      <c r="AJ169" s="6" t="inlineStr">
        <is>
          <t>SRC-11 canonical</t>
        </is>
      </c>
      <c r="AK169" s="6" t="inlineStr">
        <is>
          <t>SRC-06 S20, SRC-07 19</t>
        </is>
      </c>
      <c r="AL169" s="6" t="inlineStr">
        <is>
          <t>S22</t>
        </is>
      </c>
    </row>
    <row r="170" ht="40.5" customHeight="1">
      <c r="A170" s="5" t="inlineStr">
        <is>
          <t>C-S14/MULT</t>
        </is>
      </c>
      <c r="B170" s="6" t="inlineStr">
        <is>
          <t>Multiplicity enumeration (CH-0040 a, b) remains open</t>
        </is>
      </c>
      <c r="C170" s="6" t="inlineStr">
        <is>
          <t>OPEN</t>
        </is>
      </c>
      <c r="D170" s="6">
        <f>IFERROR(INDEX(Lists!$B$2:$B$14,MATCH(C170,Lists!$A$2:$A$14,0)),"?")</f>
        <v/>
      </c>
      <c r="E170" s="6">
        <f>IF(COUNTIFS(Links!$B$2:$B$600,A170,Links!$E$2:$E$600,"Yes")&gt;0,"REVISE","")</f>
        <v/>
      </c>
      <c r="F170" s="6">
        <f>COUNTIFS(Links!$B$2:$B$600,A170,Links!$D$2:$D$600,"No",Links!$C$2:$C$600,"&lt;&gt;INFORMS")</f>
        <v/>
      </c>
      <c r="G170" s="13" t="inlineStr">
        <is>
          <t>DESK-ANALYSIS</t>
        </is>
      </c>
      <c r="H170" s="6" t="inlineStr">
        <is>
          <t>K5 Evaluation contract</t>
        </is>
      </c>
      <c r="I170" s="6" t="inlineStr">
        <is>
          <t>G3 Before confirmatory study</t>
        </is>
      </c>
      <c r="J170" s="6" t="inlineStr">
        <is>
          <t>Normal</t>
        </is>
      </c>
      <c r="K170" s="6" t="n">
        <v>207</v>
      </c>
      <c r="L170" s="6" t="inlineStr">
        <is>
          <t>W4 End-to-end</t>
        </is>
      </c>
      <c r="M170" s="6" t="inlineStr">
        <is>
          <t>S23</t>
        </is>
      </c>
      <c r="N170" s="6" t="inlineStr">
        <is>
          <t>Lead; team</t>
        </is>
      </c>
      <c r="O170" s="6" t="inlineStr">
        <is>
          <t>Lead computes or writes it (no model runs)</t>
        </is>
      </c>
      <c r="P170" s="6" t="inlineStr">
        <is>
          <t>No</t>
        </is>
      </c>
      <c r="Q170" s="6" t="inlineStr">
        <is>
          <t>Scientific unknown</t>
        </is>
      </c>
      <c r="R170" s="6" t="inlineStr">
        <is>
          <t>Sub-item</t>
        </is>
      </c>
      <c r="S170" s="6" t="inlineStr">
        <is>
          <t>C-S14</t>
        </is>
      </c>
      <c r="T170" s="6" t="inlineStr">
        <is>
          <t>The enumeration of contrasts and the multiplicity rule across the arm table are open.</t>
        </is>
      </c>
      <c r="U170" s="6" t="inlineStr">
        <is>
          <t>Documented as open.</t>
        </is>
      </c>
      <c r="V170" s="6" t="inlineStr">
        <is>
          <t>Contrast list fixed and correction chosen.</t>
        </is>
      </c>
      <c r="W170" s="6" t="inlineStr"/>
      <c r="X170" s="6" t="inlineStr"/>
      <c r="Y170" s="6" t="inlineStr"/>
      <c r="Z170" s="6" t="inlineStr"/>
      <c r="AA170" s="6" t="inlineStr"/>
      <c r="AB170" s="6" t="inlineStr">
        <is>
          <t>DATA</t>
        </is>
      </c>
      <c r="AC170" s="6" t="inlineStr">
        <is>
          <t>n/a (sub-item)</t>
        </is>
      </c>
      <c r="AD170" s="6" t="inlineStr">
        <is>
          <t>NEW (SRC-11 sub-row)</t>
        </is>
      </c>
      <c r="AE170" s="6" t="inlineStr">
        <is>
          <t>2026-10-19</t>
        </is>
      </c>
      <c r="AF170" s="6" t="inlineStr">
        <is>
          <t>v4-02 section 6</t>
        </is>
      </c>
      <c r="AG170" s="6" t="inlineStr"/>
      <c r="AH170" s="6" t="inlineStr">
        <is>
          <t>No for simulation; yes for cross-setting</t>
        </is>
      </c>
      <c r="AI170" s="6" t="inlineStr"/>
      <c r="AJ170" s="6" t="inlineStr">
        <is>
          <t>repo: v4-02 section 6 / v4-03 section 5</t>
        </is>
      </c>
      <c r="AK170" s="6" t="inlineStr">
        <is>
          <t>CH-0040</t>
        </is>
      </c>
      <c r="AL170" s="6" t="inlineStr">
        <is>
          <t>S14</t>
        </is>
      </c>
    </row>
    <row r="171" ht="40.5" customHeight="1">
      <c r="A171" s="5" t="inlineStr">
        <is>
          <t>C-S14/PATHDEP</t>
        </is>
      </c>
      <c r="B171" s="6" t="inlineStr">
        <is>
          <t>Stage-inclusion reading is path-dependent</t>
        </is>
      </c>
      <c r="C171" s="6" t="inlineStr">
        <is>
          <t>OPEN</t>
        </is>
      </c>
      <c r="D171" s="6">
        <f>IFERROR(INDEX(Lists!$B$2:$B$14,MATCH(C171,Lists!$A$2:$A$14,0)),"?")</f>
        <v/>
      </c>
      <c r="E171" s="6">
        <f>IF(COUNTIFS(Links!$B$2:$B$600,A171,Links!$E$2:$E$600,"Yes")&gt;0,"REVISE","")</f>
        <v/>
      </c>
      <c r="F171" s="6">
        <f>COUNTIFS(Links!$B$2:$B$600,A171,Links!$D$2:$D$600,"No",Links!$C$2:$C$600,"&lt;&gt;INFORMS")</f>
        <v/>
      </c>
      <c r="G171" s="13" t="inlineStr">
        <is>
          <t>DESK-ANALYSIS</t>
        </is>
      </c>
      <c r="H171" s="6" t="inlineStr">
        <is>
          <t>K5 Evaluation contract</t>
        </is>
      </c>
      <c r="I171" s="6" t="inlineStr">
        <is>
          <t>G3 Before confirmatory study</t>
        </is>
      </c>
      <c r="J171" s="6" t="inlineStr">
        <is>
          <t>Normal</t>
        </is>
      </c>
      <c r="K171" s="6" t="n">
        <v>208</v>
      </c>
      <c r="L171" s="6" t="inlineStr">
        <is>
          <t>W4 End-to-end</t>
        </is>
      </c>
      <c r="M171" s="6" t="inlineStr">
        <is>
          <t>S23</t>
        </is>
      </c>
      <c r="N171" s="6" t="inlineStr">
        <is>
          <t>Lead; team</t>
        </is>
      </c>
      <c r="O171" s="6" t="inlineStr">
        <is>
          <t>Lead computes or writes it (no model runs)</t>
        </is>
      </c>
      <c r="P171" s="6" t="inlineStr">
        <is>
          <t>No</t>
        </is>
      </c>
      <c r="Q171" s="6" t="inlineStr">
        <is>
          <t>Scientific unknown</t>
        </is>
      </c>
      <c r="R171" s="6" t="inlineStr">
        <is>
          <t>Sub-item</t>
        </is>
      </c>
      <c r="S171" s="6" t="inlineStr">
        <is>
          <t>C-S14</t>
        </is>
      </c>
      <c r="T171" s="6" t="inlineStr">
        <is>
          <t>A component that pays only in the presence of another is found only if that pair is in the arm table; table size drives multiplicity.</t>
        </is>
      </c>
      <c r="U171" s="6" t="inlineStr">
        <is>
          <t>Documented as open.</t>
        </is>
      </c>
      <c r="V171" s="6" t="inlineStr">
        <is>
          <t>Matched pairs listed; table size fixed.</t>
        </is>
      </c>
      <c r="W171" s="6" t="inlineStr"/>
      <c r="X171" s="6" t="inlineStr"/>
      <c r="Y171" s="6" t="inlineStr"/>
      <c r="Z171" s="6" t="inlineStr"/>
      <c r="AA171" s="6" t="inlineStr"/>
      <c r="AB171" s="6" t="inlineStr">
        <is>
          <t>DATA</t>
        </is>
      </c>
      <c r="AC171" s="6" t="inlineStr">
        <is>
          <t>n/a (sub-item)</t>
        </is>
      </c>
      <c r="AD171" s="6" t="inlineStr">
        <is>
          <t>NEW (SRC-11 sub-row)</t>
        </is>
      </c>
      <c r="AE171" s="6" t="inlineStr">
        <is>
          <t>2026-10-19</t>
        </is>
      </c>
      <c r="AF171" s="6" t="inlineStr">
        <is>
          <t>v4-02 section 6</t>
        </is>
      </c>
      <c r="AG171" s="6" t="inlineStr"/>
      <c r="AH171" s="6" t="inlineStr">
        <is>
          <t>No for simulation; yes for cross-setting</t>
        </is>
      </c>
      <c r="AI171" s="6" t="inlineStr"/>
      <c r="AJ171" s="6" t="inlineStr">
        <is>
          <t>repo: v4-02 section 6 / v4-03 section 5</t>
        </is>
      </c>
      <c r="AK171" s="6" t="inlineStr">
        <is>
          <t>CH-0049, RV-0005 R2</t>
        </is>
      </c>
      <c r="AL171" s="6" t="inlineStr">
        <is>
          <t>S14</t>
        </is>
      </c>
    </row>
    <row r="172" ht="40.5" customHeight="1">
      <c r="A172" s="5" t="inlineStr">
        <is>
          <t>C-S14/POSTSEL</t>
        </is>
      </c>
      <c r="B172" s="6" t="inlineStr">
        <is>
          <t>S is a post-selection set with unknown coverage</t>
        </is>
      </c>
      <c r="C172" s="6" t="inlineStr">
        <is>
          <t>OPEN</t>
        </is>
      </c>
      <c r="D172" s="6">
        <f>IFERROR(INDEX(Lists!$B$2:$B$14,MATCH(C172,Lists!$A$2:$A$14,0)),"?")</f>
        <v/>
      </c>
      <c r="E172" s="6">
        <f>IF(COUNTIFS(Links!$B$2:$B$600,A172,Links!$E$2:$E$600,"Yes")&gt;0,"REVISE","")</f>
        <v/>
      </c>
      <c r="F172" s="6">
        <f>COUNTIFS(Links!$B$2:$B$600,A172,Links!$D$2:$D$600,"No",Links!$C$2:$C$600,"&lt;&gt;INFORMS")</f>
        <v/>
      </c>
      <c r="G172" s="13" t="inlineStr">
        <is>
          <t>DESK-ANALYSIS</t>
        </is>
      </c>
      <c r="H172" s="6" t="inlineStr">
        <is>
          <t>K5 Evaluation contract</t>
        </is>
      </c>
      <c r="I172" s="6" t="inlineStr">
        <is>
          <t>G3 Before confirmatory study</t>
        </is>
      </c>
      <c r="J172" s="6" t="inlineStr">
        <is>
          <t>Normal</t>
        </is>
      </c>
      <c r="K172" s="6" t="n">
        <v>209</v>
      </c>
      <c r="L172" s="6" t="inlineStr">
        <is>
          <t>W4 End-to-end</t>
        </is>
      </c>
      <c r="M172" s="6" t="inlineStr">
        <is>
          <t>S23</t>
        </is>
      </c>
      <c r="N172" s="6" t="inlineStr">
        <is>
          <t>Lead; team</t>
        </is>
      </c>
      <c r="O172" s="6" t="inlineStr">
        <is>
          <t>Lead computes or writes it (no model runs)</t>
        </is>
      </c>
      <c r="P172" s="6" t="inlineStr">
        <is>
          <t>No</t>
        </is>
      </c>
      <c r="Q172" s="6" t="inlineStr">
        <is>
          <t>Scientific unknown</t>
        </is>
      </c>
      <c r="R172" s="6" t="inlineStr">
        <is>
          <t>Sub-item</t>
        </is>
      </c>
      <c r="S172" s="6" t="inlineStr">
        <is>
          <t>C-S14</t>
        </is>
      </c>
      <c r="T172" s="6" t="inlineStr">
        <is>
          <t>F and S are estimated on the same split, so S's coverage is not nominal; its error rate is unknown (E6).</t>
        </is>
      </c>
      <c r="U172" s="6" t="inlineStr">
        <is>
          <t>Documented as open.</t>
        </is>
      </c>
      <c r="V172" s="6" t="inlineStr">
        <is>
          <t>Simulation of coverage and sensitivity.</t>
        </is>
      </c>
      <c r="W172" s="6" t="inlineStr"/>
      <c r="X172" s="6" t="inlineStr"/>
      <c r="Y172" s="6" t="inlineStr"/>
      <c r="Z172" s="6" t="inlineStr"/>
      <c r="AA172" s="6" t="inlineStr"/>
      <c r="AB172" s="6" t="inlineStr">
        <is>
          <t>DATA</t>
        </is>
      </c>
      <c r="AC172" s="6" t="inlineStr">
        <is>
          <t>n/a (sub-item)</t>
        </is>
      </c>
      <c r="AD172" s="6" t="inlineStr">
        <is>
          <t>NEW (SRC-11 sub-row)</t>
        </is>
      </c>
      <c r="AE172" s="6" t="inlineStr">
        <is>
          <t>2026-10-19</t>
        </is>
      </c>
      <c r="AF172" s="6" t="inlineStr">
        <is>
          <t>v4-02 section 6</t>
        </is>
      </c>
      <c r="AG172" s="6" t="inlineStr"/>
      <c r="AH172" s="6" t="inlineStr">
        <is>
          <t>No for simulation; yes for cross-setting</t>
        </is>
      </c>
      <c r="AI172" s="6" t="inlineStr"/>
      <c r="AJ172" s="6" t="inlineStr">
        <is>
          <t>repo: v4-02 section 6 / v4-03 section 5</t>
        </is>
      </c>
      <c r="AK172" s="6" t="inlineStr">
        <is>
          <t>CH-0050</t>
        </is>
      </c>
      <c r="AL172" s="6" t="inlineStr">
        <is>
          <t>S14</t>
        </is>
      </c>
    </row>
    <row r="173" ht="53" customHeight="1">
      <c r="A173" s="5" t="inlineStr">
        <is>
          <t>C-S14</t>
        </is>
      </c>
      <c r="B173" s="6" t="inlineStr">
        <is>
          <t>Error of the arm-selection procedure (multiplicity, strata, tails, power); margins and arm table unset.</t>
        </is>
      </c>
      <c r="C173" s="6" t="inlineStr">
        <is>
          <t>PARTLY ANSWERED</t>
        </is>
      </c>
      <c r="D173" s="6">
        <f>IFERROR(INDEX(Lists!$B$2:$B$14,MATCH(C173,Lists!$A$2:$A$14,0)),"?")</f>
        <v/>
      </c>
      <c r="E173" s="6">
        <f>IF(COUNTIFS(Links!$B$2:$B$600,A173,Links!$E$2:$E$600,"Yes")&gt;0,"REVISE","")</f>
        <v/>
      </c>
      <c r="F173" s="6">
        <f>COUNTIFS(Links!$B$2:$B$600,A173,Links!$D$2:$D$600,"No",Links!$C$2:$C$600,"&lt;&gt;INFORMS")</f>
        <v/>
      </c>
      <c r="G173" s="13" t="inlineStr">
        <is>
          <t>DESK-ANALYSIS</t>
        </is>
      </c>
      <c r="H173" s="6" t="inlineStr">
        <is>
          <t>K5 Evaluation contract</t>
        </is>
      </c>
      <c r="I173" s="6" t="inlineStr">
        <is>
          <t>G3 Before confirmatory study</t>
        </is>
      </c>
      <c r="J173" s="6" t="inlineStr">
        <is>
          <t>Normal</t>
        </is>
      </c>
      <c r="K173" s="6" t="n">
        <v>210</v>
      </c>
      <c r="L173" s="6" t="inlineStr">
        <is>
          <t>W4 End-to-end</t>
        </is>
      </c>
      <c r="M173" s="6" t="inlineStr">
        <is>
          <t>S23</t>
        </is>
      </c>
      <c r="N173" s="6" t="inlineStr">
        <is>
          <t>Lead (simulation); Joaa/you (parameters)</t>
        </is>
      </c>
      <c r="O173" s="6" t="inlineStr">
        <is>
          <t>Lead computes or writes it (no model runs)</t>
        </is>
      </c>
      <c r="P173" s="6" t="inlineStr">
        <is>
          <t>Partly</t>
        </is>
      </c>
      <c r="Q173" s="6" t="inlineStr">
        <is>
          <t>Scientific unknown</t>
        </is>
      </c>
      <c r="R173" s="6" t="inlineStr">
        <is>
          <t>Item</t>
        </is>
      </c>
      <c r="S173" s="6" t="inlineStr"/>
      <c r="T173" s="6" t="inlineStr">
        <is>
          <t>Error of the arm-selection procedure (multiplicity, strata, tails, power); margins and arm table unset.</t>
        </is>
      </c>
      <c r="U173" s="6" t="inlineStr">
        <is>
          <t>Tie rule rewritten (feasible set F, directional set S, human epsilon); power table verified; selection error unmeasured; multiplicity enumeration (CH-0040) open.</t>
        </is>
      </c>
      <c r="V173" s="6" t="inlineStr">
        <is>
          <t>Simulation done; cross-setting test run on confirmatory data.</t>
        </is>
      </c>
      <c r="W173" s="6" t="inlineStr">
        <is>
          <t>C-D08, C-D06</t>
        </is>
      </c>
      <c r="X173" s="6" t="inlineStr"/>
      <c r="Y173" s="6" t="inlineStr">
        <is>
          <t>Q-J14, Q-J20</t>
        </is>
      </c>
      <c r="Z173" s="6" t="inlineStr">
        <is>
          <t>JOAA-DECISION, TEST-PILOT</t>
        </is>
      </c>
      <c r="AA173" s="6" t="inlineStr">
        <is>
          <t>K17 Record repair &amp; procedure error</t>
        </is>
      </c>
      <c r="AB173" s="6" t="inlineStr">
        <is>
          <t>DATA+DEC</t>
        </is>
      </c>
      <c r="AC173" s="6" t="inlineStr">
        <is>
          <t>PARTLY ANSWERED - OPEN</t>
        </is>
      </c>
      <c r="AD173" s="6" t="inlineStr">
        <is>
          <t>RE-CHARACTERISED</t>
        </is>
      </c>
      <c r="AE173" s="6" t="inlineStr">
        <is>
          <t>2026-10-19</t>
        </is>
      </c>
      <c r="AF173" s="6" t="inlineStr">
        <is>
          <t>v4-02 sections 6-7; v4-03 section 5</t>
        </is>
      </c>
      <c r="AG173" s="6" t="inlineStr"/>
      <c r="AH173" s="6" t="inlineStr">
        <is>
          <t>No for simulation; yes for cross-setting</t>
        </is>
      </c>
      <c r="AI173" s="6" t="inlineStr"/>
      <c r="AJ173" s="6" t="inlineStr">
        <is>
          <t>SRC-11 canonical</t>
        </is>
      </c>
      <c r="AK173" s="6" t="inlineStr">
        <is>
          <t>SRC-06 S32, SRC-06 S38, SRC-06 C01, SRC-06 C12, SRC-07 09, SRC-07 16, SRC-07 17, CH-0040, v3-04 objection 1</t>
        </is>
      </c>
      <c r="AL173" s="6" t="inlineStr">
        <is>
          <t>S14</t>
        </is>
      </c>
    </row>
    <row r="174" ht="28" customHeight="1">
      <c r="A174" s="5" t="inlineStr">
        <is>
          <t>C-X06</t>
        </is>
      </c>
      <c r="B174" s="6" t="inlineStr">
        <is>
          <t>E6: error rates of the arm-selection procedure (simulation plus cross-setting test).</t>
        </is>
      </c>
      <c r="C174" s="6" t="inlineStr">
        <is>
          <t>UNRUN</t>
        </is>
      </c>
      <c r="D174" s="6">
        <f>IFERROR(INDEX(Lists!$B$2:$B$14,MATCH(C174,Lists!$A$2:$A$14,0)),"?")</f>
        <v/>
      </c>
      <c r="E174" s="6">
        <f>IF(COUNTIFS(Links!$B$2:$B$600,A174,Links!$E$2:$E$600,"Yes")&gt;0,"REVISE","")</f>
        <v/>
      </c>
      <c r="F174" s="6">
        <f>COUNTIFS(Links!$B$2:$B$600,A174,Links!$D$2:$D$600,"No",Links!$C$2:$C$600,"&lt;&gt;INFORMS")</f>
        <v/>
      </c>
      <c r="G174" s="13" t="inlineStr">
        <is>
          <t>DESK-ANALYSIS</t>
        </is>
      </c>
      <c r="H174" s="6" t="inlineStr">
        <is>
          <t>K5 Evaluation contract</t>
        </is>
      </c>
      <c r="I174" s="6" t="inlineStr">
        <is>
          <t>G3 Before confirmatory study</t>
        </is>
      </c>
      <c r="J174" s="6" t="inlineStr">
        <is>
          <t>Normal</t>
        </is>
      </c>
      <c r="K174" s="6" t="n">
        <v>211</v>
      </c>
      <c r="L174" s="6" t="inlineStr">
        <is>
          <t>W4 End-to-end</t>
        </is>
      </c>
      <c r="M174" s="6" t="inlineStr">
        <is>
          <t>S23</t>
        </is>
      </c>
      <c r="N174" s="6" t="inlineStr">
        <is>
          <t>Lead / team</t>
        </is>
      </c>
      <c r="O174" s="6" t="inlineStr">
        <is>
          <t>Lead computes or writes it (no model runs)</t>
        </is>
      </c>
      <c r="P174" s="6" t="inlineStr">
        <is>
          <t>No</t>
        </is>
      </c>
      <c r="Q174" s="6" t="inlineStr">
        <is>
          <t>Test</t>
        </is>
      </c>
      <c r="R174" s="6" t="inlineStr">
        <is>
          <t>Check</t>
        </is>
      </c>
      <c r="S174" s="6" t="inlineStr"/>
      <c r="T174" s="6" t="inlineStr">
        <is>
          <t>E6: error rates of the arm-selection procedure (simulation plus cross-setting test).</t>
        </is>
      </c>
      <c r="U174" s="6" t="inlineStr">
        <is>
          <t>Not run.</t>
        </is>
      </c>
      <c r="V174" s="6" t="inlineStr">
        <is>
          <t>Same as C-S14.</t>
        </is>
      </c>
      <c r="W174" s="6" t="inlineStr">
        <is>
          <t>C-D08</t>
        </is>
      </c>
      <c r="X174" s="6" t="inlineStr"/>
      <c r="Y174" s="6" t="inlineStr"/>
      <c r="Z174" s="6" t="inlineStr">
        <is>
          <t>TEST-PILOT</t>
        </is>
      </c>
      <c r="AA174" s="6" t="inlineStr">
        <is>
          <t>K17 Record repair &amp; procedure error</t>
        </is>
      </c>
      <c r="AB174" s="6" t="inlineStr">
        <is>
          <t>DATA</t>
        </is>
      </c>
      <c r="AC174" s="6" t="inlineStr">
        <is>
          <t>NO RESULT - OPEN</t>
        </is>
      </c>
      <c r="AD174" s="6" t="inlineStr">
        <is>
          <t>UNCHANGED</t>
        </is>
      </c>
      <c r="AE174" s="6" t="inlineStr">
        <is>
          <t>2026-10-19</t>
        </is>
      </c>
      <c r="AF174" s="6" t="inlineStr">
        <is>
          <t>v4-02 section 6</t>
        </is>
      </c>
      <c r="AG174" s="6" t="inlineStr"/>
      <c r="AH174" s="6" t="inlineStr">
        <is>
          <t>Cross-setting part: yes</t>
        </is>
      </c>
      <c r="AI174" s="6" t="inlineStr"/>
      <c r="AJ174" s="6" t="inlineStr">
        <is>
          <t>SRC-11 canonical</t>
        </is>
      </c>
      <c r="AK174" s="6" t="inlineStr">
        <is>
          <t>E6</t>
        </is>
      </c>
      <c r="AL174" s="6" t="inlineStr">
        <is>
          <t>S14</t>
        </is>
      </c>
    </row>
    <row r="175" ht="53" customHeight="1">
      <c r="A175" s="5" t="inlineStr">
        <is>
          <t>N-12</t>
        </is>
      </c>
      <c r="B175" s="6" t="inlineStr">
        <is>
          <t>Does an early-observable quantity predict whether restriction pays?</t>
        </is>
      </c>
      <c r="C175" s="6" t="inlineStr">
        <is>
          <t>OPEN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K9 Cache &amp; billing</t>
        </is>
      </c>
      <c r="I175" s="6" t="inlineStr">
        <is>
          <t>G3 Before confirmatory study</t>
        </is>
      </c>
      <c r="J175" s="6" t="inlineStr">
        <is>
          <t>Normal</t>
        </is>
      </c>
      <c r="K175" s="6" t="n">
        <v>212</v>
      </c>
      <c r="L175" s="6" t="inlineStr">
        <is>
          <t>W4 End-to-end</t>
        </is>
      </c>
      <c r="M175" s="6" t="inlineStr">
        <is>
          <t>S23</t>
        </is>
      </c>
      <c r="N175" s="6" t="inlineStr">
        <is>
          <t>Team</t>
        </is>
      </c>
      <c r="O175" s="6" t="inlineStr">
        <is>
          <t>Needs an AUTH and a protocol</t>
        </is>
      </c>
      <c r="P175" s="6" t="inlineStr">
        <is>
          <t>No</t>
        </is>
      </c>
      <c r="Q175" s="6" t="inlineStr">
        <is>
          <t>Scientific unknown</t>
        </is>
      </c>
      <c r="R175" s="6" t="inlineStr">
        <is>
          <t>Item</t>
        </is>
      </c>
      <c r="S175" s="6" t="inlineStr"/>
      <c r="T175" s="6" t="inlineStr">
        <is>
          <t>HYP-0001: a quantity observable at or shortly after session start (early cache-read share, request repetition) predicts which exposure arm is non-dominated better than pre-session variables.</t>
        </is>
      </c>
      <c r="U175" s="6" t="inlineStr">
        <is>
          <t>Proposed; falsifier stated.</t>
        </is>
      </c>
      <c r="V175" s="6" t="inlineStr">
        <is>
          <t>Regime grid run with early-observable features; falsifier tested.</t>
        </is>
      </c>
      <c r="W175" s="6" t="inlineStr">
        <is>
          <t>C-D09, C-D08</t>
        </is>
      </c>
      <c r="X175" s="6" t="inlineStr">
        <is>
          <t>N-3</t>
        </is>
      </c>
      <c r="Y175" s="6" t="inlineStr">
        <is>
          <t>Q-J04</t>
        </is>
      </c>
      <c r="Z175" s="6" t="inlineStr"/>
      <c r="AA175" s="6" t="inlineStr"/>
      <c r="AB175" s="6" t="inlineStr">
        <is>
          <t>DATA</t>
        </is>
      </c>
      <c r="AC175" s="6" t="inlineStr">
        <is>
          <t>n/a (new)</t>
        </is>
      </c>
      <c r="AD175" s="6" t="inlineStr">
        <is>
          <t>NEW (repo sweep)</t>
        </is>
      </c>
      <c r="AE175" s="6" t="inlineStr">
        <is>
          <t>2026-10-19</t>
        </is>
      </c>
      <c r="AF175" s="6" t="inlineStr">
        <is>
          <t>HYP-0001 (proposed); untestable on the closest vehicle (no sessions, no cache fields)</t>
        </is>
      </c>
      <c r="AG175" s="6" t="inlineStr"/>
      <c r="AH175" s="6" t="inlineStr">
        <is>
          <t>Yes</t>
        </is>
      </c>
      <c r="AI175" s="6" t="inlineStr"/>
      <c r="AJ175" s="6" t="inlineStr">
        <is>
          <t>repo: hypotheses/HYP-0001.md</t>
        </is>
      </c>
      <c r="AK175" s="6" t="inlineStr">
        <is>
          <t>HYP-0001</t>
        </is>
      </c>
      <c r="AL175" s="6" t="inlineStr">
        <is>
          <t>S18</t>
        </is>
      </c>
    </row>
    <row r="176" ht="40.5" customHeight="1">
      <c r="A176" s="5" t="inlineStr">
        <is>
          <t>C-S02/INVERSION</t>
        </is>
      </c>
      <c r="B176" s="6" t="inlineStr">
        <is>
          <t>Does a regime exist where fewer exposed tokens cost more in billed terms?</t>
        </is>
      </c>
      <c r="C176" s="6" t="inlineStr">
        <is>
          <t>OPEN</t>
        </is>
      </c>
      <c r="D176" s="6">
        <f>IFERROR(INDEX(Lists!$B$2:$B$14,MATCH(C176,Lists!$A$2:$A$14,0)),"?")</f>
        <v/>
      </c>
      <c r="E176" s="6">
        <f>IF(COUNTIFS(Links!$B$2:$B$600,A176,Links!$E$2:$E$600,"Yes")&gt;0,"REVISE","")</f>
        <v/>
      </c>
      <c r="F176" s="6">
        <f>COUNTIFS(Links!$B$2:$B$600,A176,Links!$D$2:$D$600,"No",Links!$C$2:$C$600,"&lt;&gt;INFORMS")</f>
        <v/>
      </c>
      <c r="G176" s="19" t="inlineStr">
        <is>
          <t>TEST-CONFIRMATORY</t>
        </is>
      </c>
      <c r="H176" s="6" t="inlineStr">
        <is>
          <t>K11 End-to-end comparison</t>
        </is>
      </c>
      <c r="I176" s="6" t="inlineStr">
        <is>
          <t>G4 Before claims</t>
        </is>
      </c>
      <c r="J176" s="6" t="inlineStr">
        <is>
          <t>Normal</t>
        </is>
      </c>
      <c r="K176" s="6" t="n">
        <v>213</v>
      </c>
      <c r="L176" s="6" t="inlineStr">
        <is>
          <t>W4 End-to-end</t>
        </is>
      </c>
      <c r="M176" s="6" t="inlineStr">
        <is>
          <t>S23</t>
        </is>
      </c>
      <c r="N176" s="6" t="inlineStr">
        <is>
          <t>Team</t>
        </is>
      </c>
      <c r="O176" s="6" t="inlineStr">
        <is>
          <t>Only after pilots, decisions and an AUTH</t>
        </is>
      </c>
      <c r="P176" s="6" t="inlineStr">
        <is>
          <t>No</t>
        </is>
      </c>
      <c r="Q176" s="6" t="inlineStr">
        <is>
          <t>Scientific unknown</t>
        </is>
      </c>
      <c r="R176" s="6" t="inlineStr">
        <is>
          <t>Sub-item</t>
        </is>
      </c>
      <c r="S176" s="6" t="inlineStr">
        <is>
          <t>C-S02</t>
        </is>
      </c>
      <c r="T176" s="6" t="inlineStr">
        <is>
          <t>HYP-0005/0008: the exposure-cost relation is not monotone; an inversion arises only via a lower hit rate, longer decision path or higher price of the restricted arm.</t>
        </is>
      </c>
      <c r="U176" s="6" t="inlineStr">
        <is>
          <t>Proposed.</t>
        </is>
      </c>
      <c r="V176" s="6" t="inlineStr">
        <is>
          <t>Sweep over cache regimes and surface policies with intervals.</t>
        </is>
      </c>
      <c r="W176" s="6" t="inlineStr">
        <is>
          <t>C-D09, C-D08</t>
        </is>
      </c>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HYP-0005, HYP-0008</t>
        </is>
      </c>
      <c r="AG176" s="6" t="inlineStr"/>
      <c r="AH176" s="6" t="inlineStr">
        <is>
          <t>Yes</t>
        </is>
      </c>
      <c r="AI176" s="6" t="inlineStr"/>
      <c r="AJ176" s="6" t="inlineStr">
        <is>
          <t>repo: HYP records / CH-0042</t>
        </is>
      </c>
      <c r="AK176" s="6" t="inlineStr">
        <is>
          <t>HYP-0005, HYP-0008</t>
        </is>
      </c>
      <c r="AL176" s="6" t="inlineStr">
        <is>
          <t>S22</t>
        </is>
      </c>
    </row>
    <row r="177" ht="40.5" customHeight="1">
      <c r="A177" s="5" t="inlineStr">
        <is>
          <t>C-S02/PERVERSE</t>
        </is>
      </c>
      <c r="B177" s="6" t="inlineStr">
        <is>
          <t>Perverse optima of the token objective (tail dilution, expensive-task shedding, uncounted compute)</t>
        </is>
      </c>
      <c r="C177" s="6" t="inlineStr">
        <is>
          <t>OPEN</t>
        </is>
      </c>
      <c r="D177" s="6">
        <f>IFERROR(INDEX(Lists!$B$2:$B$14,MATCH(C177,Lists!$A$2:$A$14,0)),"?")</f>
        <v/>
      </c>
      <c r="E177" s="6">
        <f>IF(COUNTIFS(Links!$B$2:$B$600,A177,Links!$E$2:$E$600,"Yes")&gt;0,"REVISE","")</f>
        <v/>
      </c>
      <c r="F177" s="6">
        <f>COUNTIFS(Links!$B$2:$B$600,A177,Links!$D$2:$D$600,"No",Links!$C$2:$C$600,"&lt;&gt;INFORMS")</f>
        <v/>
      </c>
      <c r="G177" s="13" t="inlineStr">
        <is>
          <t>DESK-ANALYSIS</t>
        </is>
      </c>
      <c r="H177" s="6" t="inlineStr">
        <is>
          <t>K11 End-to-end comparison</t>
        </is>
      </c>
      <c r="I177" s="6" t="inlineStr">
        <is>
          <t>G4 Before claims</t>
        </is>
      </c>
      <c r="J177" s="6" t="inlineStr">
        <is>
          <t>Normal</t>
        </is>
      </c>
      <c r="K177" s="6" t="n">
        <v>214</v>
      </c>
      <c r="L177" s="6" t="inlineStr">
        <is>
          <t>W4 End-to-end</t>
        </is>
      </c>
      <c r="M177" s="6" t="inlineStr">
        <is>
          <t>S23</t>
        </is>
      </c>
      <c r="N177" s="6" t="inlineStr">
        <is>
          <t>Team</t>
        </is>
      </c>
      <c r="O177" s="6" t="inlineStr">
        <is>
          <t>Lead computes or writes it (no model runs)</t>
        </is>
      </c>
      <c r="P177" s="6" t="inlineStr">
        <is>
          <t>No</t>
        </is>
      </c>
      <c r="Q177" s="6" t="inlineStr">
        <is>
          <t>Scientific unknown</t>
        </is>
      </c>
      <c r="R177" s="6" t="inlineStr">
        <is>
          <t>Sub-item</t>
        </is>
      </c>
      <c r="S177" s="6" t="inlineStr">
        <is>
          <t>C-S02</t>
        </is>
      </c>
      <c r="T177" s="6" t="inlineStr">
        <is>
          <t>CH-0042: an aggregate noninferiority constraint on tokens can have perverse optima; non-token compute is uncounted.</t>
        </is>
      </c>
      <c r="U177" s="6" t="inlineStr">
        <is>
          <t>Stratum guard added; tokens split by outcome belong to E1.</t>
        </is>
      </c>
      <c r="V177" s="6" t="inlineStr">
        <is>
          <t>Success and tokens reported by stratum and outcome; non-token compute listed.</t>
        </is>
      </c>
      <c r="W177" s="6" t="inlineStr">
        <is>
          <t>C-D09, C-D08</t>
        </is>
      </c>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v3-04 section 1 (CH-0042 residual)</t>
        </is>
      </c>
      <c r="AG177" s="6" t="inlineStr"/>
      <c r="AH177" s="6" t="inlineStr">
        <is>
          <t>Yes</t>
        </is>
      </c>
      <c r="AI177" s="6" t="inlineStr"/>
      <c r="AJ177" s="6" t="inlineStr">
        <is>
          <t>repo: HYP records / CH-0042</t>
        </is>
      </c>
      <c r="AK177" s="6" t="inlineStr">
        <is>
          <t>CH-0042</t>
        </is>
      </c>
      <c r="AL177" s="6" t="inlineStr">
        <is>
          <t>S22</t>
        </is>
      </c>
    </row>
    <row r="178" ht="40.5" customHeight="1">
      <c r="A178" s="5" t="inlineStr">
        <is>
          <t>C-S02/PREV</t>
        </is>
      </c>
      <c r="B178" s="6" t="inlineStr">
        <is>
          <t>Is recovery worth its price as a function of prevalence w of tasks needing non-core tools?</t>
        </is>
      </c>
      <c r="C178" s="6" t="inlineStr">
        <is>
          <t>OPEN</t>
        </is>
      </c>
      <c r="D178" s="6">
        <f>IFERROR(INDEX(Lists!$B$2:$B$14,MATCH(C178,Lists!$A$2:$A$14,0)),"?")</f>
        <v/>
      </c>
      <c r="E178" s="6">
        <f>IF(COUNTIFS(Links!$B$2:$B$600,A178,Links!$E$2:$E$600,"Yes")&gt;0,"REVISE","")</f>
        <v/>
      </c>
      <c r="F178" s="6">
        <f>COUNTIFS(Links!$B$2:$B$600,A178,Links!$D$2:$D$600,"No",Links!$C$2:$C$600,"&lt;&gt;INFORMS")</f>
        <v/>
      </c>
      <c r="G178" s="19" t="inlineStr">
        <is>
          <t>TEST-CONFIRMATORY</t>
        </is>
      </c>
      <c r="H178" s="6" t="inlineStr">
        <is>
          <t>K11 End-to-end comparison</t>
        </is>
      </c>
      <c r="I178" s="6" t="inlineStr">
        <is>
          <t>G4 Before claims</t>
        </is>
      </c>
      <c r="J178" s="6" t="inlineStr">
        <is>
          <t>Normal</t>
        </is>
      </c>
      <c r="K178" s="6" t="n">
        <v>215</v>
      </c>
      <c r="L178" s="6" t="inlineStr">
        <is>
          <t>W4 End-to-end</t>
        </is>
      </c>
      <c r="M178" s="6" t="inlineStr">
        <is>
          <t>S23</t>
        </is>
      </c>
      <c r="N178" s="6" t="inlineStr">
        <is>
          <t>Team</t>
        </is>
      </c>
      <c r="O178" s="6" t="inlineStr">
        <is>
          <t>Only after pilots, decisions and an AUTH</t>
        </is>
      </c>
      <c r="P178" s="6" t="inlineStr">
        <is>
          <t>No</t>
        </is>
      </c>
      <c r="Q178" s="6" t="inlineStr">
        <is>
          <t>Scientific unknown</t>
        </is>
      </c>
      <c r="R178" s="6" t="inlineStr">
        <is>
          <t>Sub-item</t>
        </is>
      </c>
      <c r="S178" s="6" t="inlineStr">
        <is>
          <t>C-S02</t>
        </is>
      </c>
      <c r="T178" s="6" t="inlineStr">
        <is>
          <t>HYP-0011: value accrues only in tasks needing a tool outside the core while price accrues in all tasks.</t>
        </is>
      </c>
      <c r="U178" s="6" t="inlineStr">
        <is>
          <t>Proposed.</t>
        </is>
      </c>
      <c r="V178" s="6" t="inlineStr">
        <is>
          <t>Population net effect w x gain - (1-w) x price estimated; prevalence reported.</t>
        </is>
      </c>
      <c r="W178" s="6" t="inlineStr">
        <is>
          <t>C-D09, C-D08</t>
        </is>
      </c>
      <c r="X178" s="6" t="inlineStr"/>
      <c r="Y178" s="6" t="inlineStr"/>
      <c r="Z178" s="6" t="inlineStr"/>
      <c r="AA178" s="6" t="inlineStr"/>
      <c r="AB178" s="6" t="inlineStr">
        <is>
          <t>DATA</t>
        </is>
      </c>
      <c r="AC178" s="6" t="inlineStr">
        <is>
          <t>n/a (sub-item)</t>
        </is>
      </c>
      <c r="AD178" s="6" t="inlineStr">
        <is>
          <t>NEW (SRC-11 sub-row)</t>
        </is>
      </c>
      <c r="AE178" s="6" t="inlineStr">
        <is>
          <t>2026-10-19</t>
        </is>
      </c>
      <c r="AF178" s="6" t="inlineStr">
        <is>
          <t>HYP-0011</t>
        </is>
      </c>
      <c r="AG178" s="6" t="inlineStr"/>
      <c r="AH178" s="6" t="inlineStr">
        <is>
          <t>Yes</t>
        </is>
      </c>
      <c r="AI178" s="6" t="inlineStr"/>
      <c r="AJ178" s="6" t="inlineStr">
        <is>
          <t>repo: HYP records / CH-0042</t>
        </is>
      </c>
      <c r="AK178" s="6" t="inlineStr">
        <is>
          <t>HYP-0011</t>
        </is>
      </c>
      <c r="AL178" s="6" t="inlineStr">
        <is>
          <t>S22</t>
        </is>
      </c>
    </row>
    <row r="179" ht="228" customHeight="1">
      <c r="A179" s="5" t="inlineStr">
        <is>
          <t>C-S02</t>
        </is>
      </c>
      <c r="B179" s="6" t="inlineStr">
        <is>
          <t>Repeated complete-trajectory success and cache-aware billed cost: deferral/discovery vs cached full exposure.</t>
        </is>
      </c>
      <c r="C179" s="6" t="inlineStr">
        <is>
          <t>OPEN</t>
        </is>
      </c>
      <c r="D179" s="6">
        <f>IFERROR(INDEX(Lists!$B$2:$B$14,MATCH(C179,Lists!$A$2:$A$14,0)),"?")</f>
        <v/>
      </c>
      <c r="E179" s="6">
        <f>IF(COUNTIFS(Links!$B$2:$B$600,A179,Links!$E$2:$E$600,"Yes")&gt;0,"REVISE","")</f>
        <v/>
      </c>
      <c r="F179" s="6">
        <f>COUNTIFS(Links!$B$2:$B$600,A179,Links!$D$2:$D$600,"No",Links!$C$2:$C$600,"&lt;&gt;INFORMS")</f>
        <v/>
      </c>
      <c r="G179" s="19" t="inlineStr">
        <is>
          <t>TEST-CONFIRMATORY</t>
        </is>
      </c>
      <c r="H179" s="6" t="inlineStr">
        <is>
          <t>K11 End-to-end comparison</t>
        </is>
      </c>
      <c r="I179" s="6" t="inlineStr">
        <is>
          <t>G4 Before claims</t>
        </is>
      </c>
      <c r="J179" s="6" t="inlineStr">
        <is>
          <t>Normal</t>
        </is>
      </c>
      <c r="K179" s="6" t="n">
        <v>216</v>
      </c>
      <c r="L179" s="6" t="inlineStr">
        <is>
          <t>W4 End-to-end</t>
        </is>
      </c>
      <c r="M179" s="6" t="inlineStr">
        <is>
          <t>S23</t>
        </is>
      </c>
      <c r="N179" s="6" t="inlineStr">
        <is>
          <t>Team</t>
        </is>
      </c>
      <c r="O179" s="6" t="inlineStr">
        <is>
          <t>Only after pilots, decisions and an AUTH</t>
        </is>
      </c>
      <c r="P179" s="6" t="inlineStr">
        <is>
          <t>No</t>
        </is>
      </c>
      <c r="Q179" s="6" t="inlineStr">
        <is>
          <t>Scientific unknown</t>
        </is>
      </c>
      <c r="R179" s="6" t="inlineStr">
        <is>
          <t>Item</t>
        </is>
      </c>
      <c r="S179" s="6" t="inlineStr"/>
      <c r="T179" s="6" t="inlineStr">
        <is>
          <t>Repeated complete-trajectory success and cache-aware billed cost: deferral/discovery vs cached full exposure.</t>
        </is>
      </c>
      <c r="U179"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79" s="6" t="inlineStr">
        <is>
          <t>Feasibility pilot, then an appropriately powered paired comparison with provider usage and invoice reconciliation.</t>
        </is>
      </c>
      <c r="W179" s="6" t="inlineStr">
        <is>
          <t>C-D09, C-D08, C-D02, C-D06, C-E06, C-S01, C-S03, C-S08, C-S14</t>
        </is>
      </c>
      <c r="X179" s="6" t="inlineStr">
        <is>
          <t>C-S12, C-S13, C-S15, C-D11</t>
        </is>
      </c>
      <c r="Y179" s="6" t="inlineStr">
        <is>
          <t>Q-U03</t>
        </is>
      </c>
      <c r="Z179" s="6" t="inlineStr">
        <is>
          <t>TEST-PILOT</t>
        </is>
      </c>
      <c r="AA179" s="6" t="inlineStr">
        <is>
          <t>K9 Cache &amp; billing</t>
        </is>
      </c>
      <c r="AB179" s="6" t="inlineStr">
        <is>
          <t>DATA</t>
        </is>
      </c>
      <c r="AC179" s="6" t="inlineStr">
        <is>
          <t>OPEN</t>
        </is>
      </c>
      <c r="AD179" s="6" t="inlineStr">
        <is>
          <t>UNCHANGED</t>
        </is>
      </c>
      <c r="AE179" s="6" t="inlineStr">
        <is>
          <t>2026-10-19</t>
        </is>
      </c>
      <c r="AF179" s="6" t="inlineStr">
        <is>
          <t>v4-05 section 1A; v4-04 section 3</t>
        </is>
      </c>
      <c r="AG179" s="6" t="inlineStr"/>
      <c r="AH179" s="6" t="inlineStr">
        <is>
          <t>Yes</t>
        </is>
      </c>
      <c r="AI179" s="6" t="inlineStr"/>
      <c r="AJ179" s="6" t="inlineStr">
        <is>
          <t>SRC-11 canonical</t>
        </is>
      </c>
      <c r="AK179" s="6" t="inlineStr">
        <is>
          <t>SRC-06 S01, SRC-06 S03, SRC-07 13, SRC-07 22, v3-04 E5, v3-04 E7, HYP-0005, HYP-0008, RA11</t>
        </is>
      </c>
      <c r="AL179" s="6" t="inlineStr">
        <is>
          <t>S22</t>
        </is>
      </c>
    </row>
    <row r="180" ht="40.5" customHeight="1">
      <c r="A180" s="5" t="inlineStr">
        <is>
          <t>C-X05</t>
        </is>
      </c>
      <c r="B180" s="6" t="inlineStr">
        <is>
          <t>E5: repeated end-to-end success/cost sweep that answers C-S02.</t>
        </is>
      </c>
      <c r="C180" s="6" t="inlineStr">
        <is>
          <t>UNRUN</t>
        </is>
      </c>
      <c r="D180" s="6">
        <f>IFERROR(INDEX(Lists!$B$2:$B$14,MATCH(C180,Lists!$A$2:$A$14,0)),"?")</f>
        <v/>
      </c>
      <c r="E180" s="6">
        <f>IF(COUNTIFS(Links!$B$2:$B$600,A180,Links!$E$2:$E$600,"Yes")&gt;0,"REVISE","")</f>
        <v/>
      </c>
      <c r="F180" s="6">
        <f>COUNTIFS(Links!$B$2:$B$600,A180,Links!$D$2:$D$600,"No",Links!$C$2:$C$600,"&lt;&gt;INFORMS")</f>
        <v/>
      </c>
      <c r="G180" s="19" t="inlineStr">
        <is>
          <t>TEST-CONFIRMATORY</t>
        </is>
      </c>
      <c r="H180" s="6" t="inlineStr">
        <is>
          <t>K11 End-to-end comparison</t>
        </is>
      </c>
      <c r="I180" s="6" t="inlineStr">
        <is>
          <t>G4 Before claims</t>
        </is>
      </c>
      <c r="J180" s="6" t="inlineStr">
        <is>
          <t>Normal</t>
        </is>
      </c>
      <c r="K180" s="6" t="n">
        <v>217</v>
      </c>
      <c r="L180" s="6" t="inlineStr">
        <is>
          <t>W4 End-to-end</t>
        </is>
      </c>
      <c r="M180" s="6" t="inlineStr">
        <is>
          <t>S23</t>
        </is>
      </c>
      <c r="N180" s="6" t="inlineStr">
        <is>
          <t>Team</t>
        </is>
      </c>
      <c r="O180" s="6" t="inlineStr">
        <is>
          <t>Only after pilots, decisions and an AUTH</t>
        </is>
      </c>
      <c r="P180" s="6" t="inlineStr">
        <is>
          <t>No</t>
        </is>
      </c>
      <c r="Q180" s="6" t="inlineStr">
        <is>
          <t>Test</t>
        </is>
      </c>
      <c r="R180" s="6" t="inlineStr">
        <is>
          <t>Check</t>
        </is>
      </c>
      <c r="S180" s="6" t="inlineStr"/>
      <c r="T180" s="6" t="inlineStr">
        <is>
          <t>E5: repeated end-to-end success/cost sweep that answers C-S02.</t>
        </is>
      </c>
      <c r="U180" s="6" t="inlineStr">
        <is>
          <t>Power arithmetic only: about 495 pairs for a single five-point contrast; 800-2,300 for several contrasts or strata.</t>
        </is>
      </c>
      <c r="V180" s="6" t="inlineStr">
        <is>
          <t>Same as C-S02.</t>
        </is>
      </c>
      <c r="W180" s="6" t="inlineStr">
        <is>
          <t>C-D09, C-D08, C-D02, C-D06, C-E06, C-S01, C-S03, C-S08</t>
        </is>
      </c>
      <c r="X180" s="6" t="inlineStr">
        <is>
          <t>C-D11</t>
        </is>
      </c>
      <c r="Y180" s="6" t="inlineStr"/>
      <c r="Z180" s="6" t="inlineStr">
        <is>
          <t>TEST-PILOT</t>
        </is>
      </c>
      <c r="AA180" s="6" t="inlineStr"/>
      <c r="AB180" s="6" t="inlineStr">
        <is>
          <t>DATA</t>
        </is>
      </c>
      <c r="AC180" s="6" t="inlineStr">
        <is>
          <t>NO RESULT - OPEN</t>
        </is>
      </c>
      <c r="AD180" s="6" t="inlineStr">
        <is>
          <t>UNCHANGED</t>
        </is>
      </c>
      <c r="AE180" s="6" t="inlineStr">
        <is>
          <t>2026-10-19</t>
        </is>
      </c>
      <c r="AF180" s="6" t="inlineStr">
        <is>
          <t>v4-02 section 7</t>
        </is>
      </c>
      <c r="AG180" s="6" t="inlineStr"/>
      <c r="AH180" s="6" t="inlineStr">
        <is>
          <t>Yes</t>
        </is>
      </c>
      <c r="AI180" s="6" t="inlineStr"/>
      <c r="AJ180" s="6" t="inlineStr">
        <is>
          <t>SRC-11 canonical</t>
        </is>
      </c>
      <c r="AK180" s="6" t="inlineStr">
        <is>
          <t>E5</t>
        </is>
      </c>
      <c r="AL180" s="6" t="inlineStr">
        <is>
          <t>S22</t>
        </is>
      </c>
    </row>
    <row r="181" ht="253" customHeight="1">
      <c r="A181" s="5" t="inlineStr">
        <is>
          <t>C-E03</t>
        </is>
      </c>
      <c r="B181" s="6" t="inlineStr">
        <is>
          <t>Version drift, vendor arithmetic and evaluator error need version labels and primary checks.</t>
        </is>
      </c>
      <c r="C181" s="6" t="inlineStr">
        <is>
          <t>PARTLY ANSWERED</t>
        </is>
      </c>
      <c r="D181" s="6">
        <f>IFERROR(INDEX(Lists!$B$2:$B$14,MATCH(C181,Lists!$A$2:$A$14,0)),"?")</f>
        <v/>
      </c>
      <c r="E181" s="6">
        <f>IF(COUNTIFS(Links!$B$2:$B$600,A181,Links!$E$2:$E$600,"Yes")&gt;0,"REVISE","")</f>
        <v/>
      </c>
      <c r="F181" s="6">
        <f>COUNTIFS(Links!$B$2:$B$600,A181,Links!$D$2:$D$600,"No",Links!$C$2:$C$600,"&lt;&gt;INFORMS")</f>
        <v/>
      </c>
      <c r="G181" s="14" t="inlineStr">
        <is>
          <t>SOURCE-REREAD</t>
        </is>
      </c>
      <c r="H181" s="6" t="inlineStr">
        <is>
          <t>K14 Source &amp; vendor verification</t>
        </is>
      </c>
      <c r="I181" s="6" t="inlineStr">
        <is>
          <t>G4 Before claims</t>
        </is>
      </c>
      <c r="J181" s="6" t="inlineStr">
        <is>
          <t>Normal</t>
        </is>
      </c>
      <c r="K181" s="6" t="n">
        <v>218</v>
      </c>
      <c r="L181" s="6" t="inlineStr">
        <is>
          <t>W5 Claim-time</t>
        </is>
      </c>
      <c r="M181" s="6" t="inlineStr">
        <is>
          <t>S24</t>
        </is>
      </c>
      <c r="N181" s="6" t="inlineStr">
        <is>
          <t>Lead</t>
        </is>
      </c>
      <c r="O181" s="6" t="inlineStr">
        <is>
          <t>You approve the pointer sentence (06 row 3.29); then this row can close</t>
        </is>
      </c>
      <c r="P181" s="6" t="inlineStr">
        <is>
          <t>Yes - stored text, unread</t>
        </is>
      </c>
      <c r="Q181" s="6" t="inlineStr">
        <is>
          <t>Source check</t>
        </is>
      </c>
      <c r="R181" s="6" t="inlineStr">
        <is>
          <t>Item</t>
        </is>
      </c>
      <c r="S181" s="6" t="inlineStr"/>
      <c r="T181" s="6" t="inlineStr">
        <is>
          <t>Version drift, vendor arithmetic and evaluator error need version labels and primary checks.</t>
        </is>
      </c>
      <c r="U181" s="6" t="inlineStr">
        <is>
          <t>No version-tagging pass done. Batch 14 (2026-10-20): version maps written (FND-0033 for the brief, FND-0034 for 05, 04 and 02): neither the brief nor 05 states a version or retrieval date for any external number, and every number is recoverable from the records (arXiv stamps, sources.json, manifest); the brief mixes two kinds of DynamicMCPBench text (paper v2, 31 Aug 2026, for its lines 67-69; the repository development document, retrieved 2026-10-15 with no commit hash, for the 292k figure and the 750-task slice); no brief number comes from MCPVerse, MCP-Atlas, LiveMCPBench or MCP-Zero (their v1/v2, v1/v3 differences in EXT-0177 do not touch the brief); MCP-Zero v1 and v4 carry identical numbers; the 2026-10-11 and 2026-10-19 vendor pages were not compared line by line (the lead's text diff of 2026-10-19 found the multipliers unchanged). The pointer sentence is drafted in design/package-v4/06-corrections-proposed.md (3.29).</t>
        </is>
      </c>
      <c r="V181" s="6" t="inlineStr">
        <is>
          <t>Every quoted number carries its version and date.</t>
        </is>
      </c>
      <c r="W181" s="6" t="inlineStr"/>
      <c r="X181" s="6" t="inlineStr">
        <is>
          <t>C-D01</t>
        </is>
      </c>
      <c r="Y181" s="6" t="inlineStr"/>
      <c r="Z181" s="6" t="inlineStr">
        <is>
          <t>TIME-RECHECK</t>
        </is>
      </c>
      <c r="AA181" s="6" t="inlineStr">
        <is>
          <t>K15 Expiring provider facts</t>
        </is>
      </c>
      <c r="AB181" s="6" t="inlineStr">
        <is>
          <t>SOURCE+TIME+DATA</t>
        </is>
      </c>
      <c r="AC181" s="6" t="inlineStr">
        <is>
          <t>OPEN</t>
        </is>
      </c>
      <c r="AD181" s="6" t="inlineStr">
        <is>
          <t>UNCHANGED</t>
        </is>
      </c>
      <c r="AE181" s="6" t="inlineStr">
        <is>
          <t>2026-10-20</t>
        </is>
      </c>
      <c r="AF181" s="6" t="inlineStr">
        <is>
          <t>FND-0033 (findings/SUM-0035); FND-0034 (findings/SUM-0036); EXT-0177, EXT-0220..0223</t>
        </is>
      </c>
      <c r="AG181" s="6" t="inlineStr">
        <is>
          <t>When a claim is used in the thesis</t>
        </is>
      </c>
      <c r="AH181" s="6" t="inlineStr">
        <is>
          <t>No</t>
        </is>
      </c>
      <c r="AI181" s="6" t="inlineStr"/>
      <c r="AJ181" s="6" t="inlineStr">
        <is>
          <t>SRC-11 canonical</t>
        </is>
      </c>
      <c r="AK181" s="6" t="inlineStr">
        <is>
          <t>SRC-06 E03, SRC-06 E40, SRC-07 25-27, CAVEATS 7, CAVEATS 8, CAVEATS 9</t>
        </is>
      </c>
      <c r="AL181" s="6" t="inlineStr">
        <is>
          <t>S11</t>
        </is>
      </c>
    </row>
    <row r="182" ht="290.5" customHeight="1">
      <c r="A182" s="5" t="inlineStr">
        <is>
          <t>C-E03/E40</t>
        </is>
      </c>
      <c r="B182" s="6" t="inlineStr">
        <is>
          <t>MCPVerse, MCP-Atlas, LiveMCPBench version-sensitive numbers</t>
        </is>
      </c>
      <c r="C182" s="6" t="inlineStr">
        <is>
          <t>PARTLY ANSWERED</t>
        </is>
      </c>
      <c r="D182" s="6">
        <f>IFERROR(INDEX(Lists!$B$2:$B$14,MATCH(C182,Lists!$A$2:$A$14,0)),"?")</f>
        <v/>
      </c>
      <c r="E182" s="6">
        <f>IF(COUNTIFS(Links!$B$2:$B$600,A182,Links!$E$2:$E$600,"Yes")&gt;0,"REVISE","")</f>
        <v/>
      </c>
      <c r="F182" s="6">
        <f>COUNTIFS(Links!$B$2:$B$600,A182,Links!$D$2:$D$600,"No",Links!$C$2:$C$600,"&lt;&gt;INFORMS")</f>
        <v/>
      </c>
      <c r="G182" s="14" t="inlineStr">
        <is>
          <t>SOURCE-REREAD</t>
        </is>
      </c>
      <c r="H182" s="6" t="inlineStr">
        <is>
          <t>K14 Source &amp; vendor verification</t>
        </is>
      </c>
      <c r="I182" s="6" t="inlineStr">
        <is>
          <t>G4 Before claims</t>
        </is>
      </c>
      <c r="J182" s="6" t="inlineStr">
        <is>
          <t>Normal</t>
        </is>
      </c>
      <c r="K182" s="6" t="n">
        <v>219</v>
      </c>
      <c r="L182" s="6" t="inlineStr">
        <is>
          <t>W5 Claim-time</t>
        </is>
      </c>
      <c r="M182" s="6" t="inlineStr">
        <is>
          <t>S24</t>
        </is>
      </c>
      <c r="N182" s="6" t="inlineStr">
        <is>
          <t>Lead</t>
        </is>
      </c>
      <c r="O182" s="6" t="inlineStr">
        <is>
          <t>Apply version tags at claim time (thesis text) or approve 06 row 3.29</t>
        </is>
      </c>
      <c r="P182" s="6" t="inlineStr">
        <is>
          <t>Yes - stored text, unread</t>
        </is>
      </c>
      <c r="Q182" s="6" t="inlineStr">
        <is>
          <t>Source check</t>
        </is>
      </c>
      <c r="R182" s="6" t="inlineStr">
        <is>
          <t>Sub-item</t>
        </is>
      </c>
      <c r="S182" s="6" t="inlineStr">
        <is>
          <t>C-E03</t>
        </is>
      </c>
      <c r="T182" s="6" t="inlineStr">
        <is>
          <t>SRC-06 E40 / SRC-07 25: MCPVerse, MCP-Atlas and LiveMCPBench numbers and attribution are version-sensitive.</t>
        </is>
      </c>
      <c r="U182"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 Batch 14 (2026-10-20): the version maps show that the live documents (brief, 05, 04, 02) quote no number from MCPVerse or MCP-Atlas, so the v1/v2 and v1/v3 differences in EXT-0177 do not touch them; 05 quotes LiveMCPBench v2 and MCP-Zero v4 (identical to v1 for the numbers quoted).</t>
        </is>
      </c>
      <c r="V182" s="6" t="inlineStr">
        <is>
          <t>Every quoted number carries version and date.</t>
        </is>
      </c>
      <c r="W182" s="6" t="inlineStr"/>
      <c r="X182" s="6" t="inlineStr"/>
      <c r="Y182" s="6" t="inlineStr"/>
      <c r="Z182" s="6" t="inlineStr"/>
      <c r="AA182" s="6" t="inlineStr"/>
      <c r="AB182" s="6" t="inlineStr">
        <is>
          <t>SOURCE+TIME</t>
        </is>
      </c>
      <c r="AC182" s="6" t="inlineStr">
        <is>
          <t>n/a (sub-item)</t>
        </is>
      </c>
      <c r="AD182" s="6" t="inlineStr">
        <is>
          <t>NARROWED</t>
        </is>
      </c>
      <c r="AE182" s="6" t="inlineStr">
        <is>
          <t>2026-10-20</t>
        </is>
      </c>
      <c r="AF182" s="6" t="inlineStr">
        <is>
          <t>FND-0033, FND-0034</t>
        </is>
      </c>
      <c r="AG182" s="6" t="inlineStr"/>
      <c r="AH182" s="6" t="inlineStr">
        <is>
          <t>No</t>
        </is>
      </c>
      <c r="AI182" s="6" t="inlineStr"/>
      <c r="AJ182" s="6" t="inlineStr">
        <is>
          <t>SRC-11 section D1</t>
        </is>
      </c>
      <c r="AK182" s="6" t="inlineStr">
        <is>
          <t>SRC-06 E40, SRC-07 25, CAVEATS 7</t>
        </is>
      </c>
      <c r="AL182" s="6" t="inlineStr">
        <is>
          <t>S11</t>
        </is>
      </c>
    </row>
    <row r="183" ht="300" customHeight="1">
      <c r="A183" s="5" t="inlineStr">
        <is>
          <t>C-E03/O7-27</t>
        </is>
      </c>
      <c r="B183" s="6" t="inlineStr">
        <is>
          <t>Evaluator-human disagreement and incomplete LLM-judge answers</t>
        </is>
      </c>
      <c r="C183" s="6" t="inlineStr">
        <is>
          <t>PARTLY ANSWERED</t>
        </is>
      </c>
      <c r="D183" s="6">
        <f>IFERROR(INDEX(Lists!$B$2:$B$14,MATCH(C183,Lists!$A$2:$A$14,0)),"?")</f>
        <v/>
      </c>
      <c r="E183" s="6">
        <f>IF(COUNTIFS(Links!$B$2:$B$600,A183,Links!$E$2:$E$600,"Yes")&gt;0,"REVISE","")</f>
        <v/>
      </c>
      <c r="F183" s="6">
        <f>COUNTIFS(Links!$B$2:$B$600,A183,Links!$D$2:$D$600,"No",Links!$C$2:$C$600,"&lt;&gt;INFORMS")</f>
        <v/>
      </c>
      <c r="G183" s="14" t="inlineStr">
        <is>
          <t>SOURCE-REREAD</t>
        </is>
      </c>
      <c r="H183" s="6" t="inlineStr">
        <is>
          <t>K14 Source &amp; vendor verification</t>
        </is>
      </c>
      <c r="I183" s="6" t="inlineStr">
        <is>
          <t>G4 Before claims</t>
        </is>
      </c>
      <c r="J183" s="6" t="inlineStr">
        <is>
          <t>Normal</t>
        </is>
      </c>
      <c r="K183" s="6" t="n">
        <v>221</v>
      </c>
      <c r="L183" s="6" t="inlineStr">
        <is>
          <t>W5 Claim-time</t>
        </is>
      </c>
      <c r="M183" s="6" t="inlineStr">
        <is>
          <t>S24</t>
        </is>
      </c>
      <c r="N183" s="6" t="inlineStr">
        <is>
          <t>Team</t>
        </is>
      </c>
      <c r="O183" s="6" t="inlineStr">
        <is>
          <t>You send the drafted ask (design/ledger/notes/AUTHOR-ASKS-DRAFT-20261020.md, section 2) and record the reply; until then it waits on the authors</t>
        </is>
      </c>
      <c r="P183" s="6" t="inlineStr">
        <is>
          <t>Yes - stored text, unread</t>
        </is>
      </c>
      <c r="Q183" s="6" t="inlineStr">
        <is>
          <t>Source check</t>
        </is>
      </c>
      <c r="R183" s="6" t="inlineStr">
        <is>
          <t>Sub-item</t>
        </is>
      </c>
      <c r="S183" s="6" t="inlineStr">
        <is>
          <t>C-E03</t>
        </is>
      </c>
      <c r="T183" s="6" t="inlineStr">
        <is>
          <t>SRC-07 27: evaluator-human disagreement (18.5% in one audit) and plausible but incomplete LLM-judge answers.</t>
        </is>
      </c>
      <c r="U183"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3" s="6" t="inlineStr">
        <is>
          <t>Source figure verified; scorer chosen; a sample audited against humans.</t>
        </is>
      </c>
      <c r="W183" s="6" t="inlineStr"/>
      <c r="X183" s="6" t="inlineStr"/>
      <c r="Y183" s="6" t="inlineStr"/>
      <c r="Z183" s="6" t="inlineStr"/>
      <c r="AA183" s="6" t="inlineStr"/>
      <c r="AB183" s="6" t="inlineStr">
        <is>
          <t>DATA+SOURCE</t>
        </is>
      </c>
      <c r="AC183" s="6" t="inlineStr">
        <is>
          <t>n/a (sub-item)</t>
        </is>
      </c>
      <c r="AD183" s="6" t="inlineStr">
        <is>
          <t>NEW (SRC-11 sub-row)</t>
        </is>
      </c>
      <c r="AE183" s="6" t="inlineStr">
        <is>
          <t>2026-10-20</t>
        </is>
      </c>
      <c r="AF183" s="6" t="inlineStr">
        <is>
          <t>FND-0021 (findings/SUM-0023); EXT-0184, EXT-0186, EXT-0187, EXT-0190, EXT-0156, EXT-0159</t>
        </is>
      </c>
      <c r="AG183" s="6" t="inlineStr"/>
      <c r="AH183" s="6" t="inlineStr">
        <is>
          <t>No</t>
        </is>
      </c>
      <c r="AI183" s="6" t="inlineStr"/>
      <c r="AJ183" s="6" t="inlineStr">
        <is>
          <t>SRC-11 section D1</t>
        </is>
      </c>
      <c r="AK183" s="6" t="inlineStr">
        <is>
          <t>SRC-07 27, CAVEATS 9</t>
        </is>
      </c>
      <c r="AL183" s="6" t="inlineStr">
        <is>
          <t>S11</t>
        </is>
      </c>
    </row>
    <row r="184" ht="53" customHeight="1">
      <c r="A184" s="5" t="inlineStr">
        <is>
          <t>N-23</t>
        </is>
      </c>
      <c r="B184" s="6" t="inlineStr">
        <is>
          <t>Move the review and this ledger into tracked docs; record an AUTH row for the review</t>
        </is>
      </c>
      <c r="C184" s="6" t="inlineStr">
        <is>
          <t>PARTLY ANSWERED</t>
        </is>
      </c>
      <c r="D184" s="6">
        <f>IFERROR(INDEX(Lists!$B$2:$B$14,MATCH(C184,Lists!$A$2:$A$14,0)),"?")</f>
        <v/>
      </c>
      <c r="E184" s="6">
        <f>IF(COUNTIFS(Links!$B$2:$B$600,A184,Links!$E$2:$E$600,"Yes")&gt;0,"REVISE","")</f>
        <v/>
      </c>
      <c r="F184" s="6">
        <f>COUNTIFS(Links!$B$2:$B$600,A184,Links!$D$2:$D$600,"No",Links!$C$2:$C$600,"&lt;&gt;INFORMS")</f>
        <v/>
      </c>
      <c r="G184" s="9" t="inlineStr">
        <is>
          <t>USER-DECISION</t>
        </is>
      </c>
      <c r="H184" s="6" t="inlineStr">
        <is>
          <t>K16 Limits &amp; provenance</t>
        </is>
      </c>
      <c r="I184" s="6" t="inlineStr">
        <is>
          <t>G5 Housekeeping / no block</t>
        </is>
      </c>
      <c r="J184" s="6" t="inlineStr">
        <is>
          <t>Low</t>
        </is>
      </c>
      <c r="K184" s="6" t="n">
        <v>230</v>
      </c>
      <c r="L184" s="6" t="inlineStr">
        <is>
          <t>W5 Claim-time</t>
        </is>
      </c>
      <c r="M184" s="6" t="inlineStr">
        <is>
          <t>S25</t>
        </is>
      </c>
      <c r="N184" s="6" t="inlineStr">
        <is>
          <t>You</t>
        </is>
      </c>
      <c r="O184" s="6" t="inlineStr">
        <is>
          <t>Answer Q-U18</t>
        </is>
      </c>
      <c r="P184" s="6" t="inlineStr">
        <is>
          <t>n/a</t>
        </is>
      </c>
      <c r="Q184" s="6" t="inlineStr">
        <is>
          <t>Decision</t>
        </is>
      </c>
      <c r="R184" s="6" t="inlineStr">
        <is>
          <t>Item</t>
        </is>
      </c>
      <c r="S184" s="6" t="inlineStr"/>
      <c r="T184" s="6" t="inlineStr">
        <is>
          <t>Review section 9: no AUTH covers the review or the ledger; moving them into tracked documentation needs your approval; SRC-11/12 would need an intake route if they become inputs; the .workspace folder is untracked and not in the remote backup.</t>
        </is>
      </c>
      <c r="U184" s="6" t="inlineStr">
        <is>
          <t>Ledger workbook is tracked at design/ledger/ under AUTH-016 (CSV export alongside). The review report and SRC-11/12 remain untracked in .workspace; admitting them is undecided.</t>
        </is>
      </c>
      <c r="V184" s="6" t="inlineStr">
        <is>
          <t>Review report and SRC-11/12 either admitted (review as SUM; SRC-11/12 via the intake route with provenance) or explicitly kept outside.</t>
        </is>
      </c>
      <c r="W184" s="6" t="inlineStr"/>
      <c r="X184" s="6" t="inlineStr"/>
      <c r="Y184" s="6" t="inlineStr">
        <is>
          <t>Q-U18</t>
        </is>
      </c>
      <c r="Z184" s="6" t="inlineStr"/>
      <c r="AA184" s="6" t="inlineStr"/>
      <c r="AB184" s="6" t="inlineStr">
        <is>
          <t>DEC+RECORD</t>
        </is>
      </c>
      <c r="AC184" s="6" t="inlineStr">
        <is>
          <t>n/a (new)</t>
        </is>
      </c>
      <c r="AD184" s="6" t="inlineStr">
        <is>
          <t>NEW (repo sweep)</t>
        </is>
      </c>
      <c r="AE184" s="6" t="inlineStr">
        <is>
          <t>2026-10-19</t>
        </is>
      </c>
      <c r="AF184" s="6" t="inlineStr">
        <is>
          <t>ops/AUTHORIZATIONS.md AUTH-016; Questions Q-U18 answer</t>
        </is>
      </c>
      <c r="AG184" s="6" t="inlineStr"/>
      <c r="AH184" s="6" t="inlineStr">
        <is>
          <t>Yes (AUTH row)</t>
        </is>
      </c>
      <c r="AI184" s="6" t="inlineStr"/>
      <c r="AJ184" s="6" t="inlineStr">
        <is>
          <t>review 19 Oct section 9</t>
        </is>
      </c>
      <c r="AK184" s="6" t="inlineStr"/>
      <c r="AL184" s="6" t="inlineStr">
        <is>
          <t>S03</t>
        </is>
      </c>
    </row>
    <row r="185" ht="278" customHeight="1">
      <c r="A185" s="5" t="inlineStr">
        <is>
          <t>AS-02</t>
        </is>
      </c>
      <c r="B185" s="6" t="inlineStr">
        <is>
          <t>Supervisor assertion A2: No symbolic algorithm can beat the LLM across all cases</t>
        </is>
      </c>
      <c r="C185" s="6" t="inlineStr">
        <is>
          <t>PARTLY ANSWERED</t>
        </is>
      </c>
      <c r="D185" s="6">
        <f>IFERROR(INDEX(Lists!$B$2:$B$14,MATCH(C185,Lists!$A$2:$A$14,0)),"?")</f>
        <v/>
      </c>
      <c r="E185" s="6">
        <f>IF(COUNTIFS(Links!$B$2:$B$600,A185,Links!$E$2:$E$600,"Yes")&gt;0,"REVISE","")</f>
        <v/>
      </c>
      <c r="F185" s="6">
        <f>COUNTIFS(Links!$B$2:$B$600,A185,Links!$D$2:$D$600,"No",Links!$C$2:$C$600,"&lt;&gt;INFORMS")</f>
        <v/>
      </c>
      <c r="G185" s="12" t="inlineStr">
        <is>
          <t>ACCEPT-LIMITATION</t>
        </is>
      </c>
      <c r="H185" s="6" t="inlineStr">
        <is>
          <t>K14 Source &amp; vendor verification</t>
        </is>
      </c>
      <c r="I185" s="6" t="inlineStr">
        <is>
          <t>G5 Housekeeping / no block</t>
        </is>
      </c>
      <c r="J185" s="6" t="inlineStr">
        <is>
          <t>Low</t>
        </is>
      </c>
      <c r="K185" s="6" t="n">
        <v>231</v>
      </c>
      <c r="L185" s="6" t="inlineStr">
        <is>
          <t>W5 Claim-time</t>
        </is>
      </c>
      <c r="M185" s="6" t="inlineStr">
        <is>
          <t>S25</t>
        </is>
      </c>
      <c r="N185" s="6" t="inlineStr">
        <is>
          <t>Lead / team</t>
        </is>
      </c>
      <c r="O185" s="6" t="inlineStr">
        <is>
          <t>Q-J29; the testable version would need a pilot arm</t>
        </is>
      </c>
      <c r="P185" s="6" t="inlineStr">
        <is>
          <t>No</t>
        </is>
      </c>
      <c r="Q185" s="6" t="inlineStr">
        <is>
          <t>Claim to test</t>
        </is>
      </c>
      <c r="R185" s="6" t="inlineStr">
        <is>
          <t>Item</t>
        </is>
      </c>
      <c r="S185" s="6" t="inlineStr"/>
      <c r="T185" s="6" t="inlineStr">
        <is>
          <t>REQ-A1 A2: No symbolic algorithm can beat the LLM across all cases. Universal, partly definitional claim; hard to test as stated.</t>
        </is>
      </c>
      <c r="U185"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85" s="6" t="inlineStr">
        <is>
          <t>Universal, partly definitional claim; hard to test as stated.</t>
        </is>
      </c>
      <c r="W185" s="6" t="inlineStr"/>
      <c r="X185" s="6" t="inlineStr"/>
      <c r="Y185" s="6" t="inlineStr">
        <is>
          <t>Q-J29</t>
        </is>
      </c>
      <c r="Z185" s="6" t="inlineStr"/>
      <c r="AA185" s="6" t="inlineStr"/>
      <c r="AB185" s="6" t="inlineStr">
        <is>
          <t>SOURCE</t>
        </is>
      </c>
      <c r="AC185" s="6" t="inlineStr">
        <is>
          <t>n/a (REGISTER E)</t>
        </is>
      </c>
      <c r="AD185" s="6" t="inlineStr">
        <is>
          <t>NEW (repo sweep)</t>
        </is>
      </c>
      <c r="AE185" s="6" t="inlineStr">
        <is>
          <t>2026-10-20</t>
        </is>
      </c>
      <c r="AF185" s="6" t="inlineStr">
        <is>
          <t>FND-0031 (findings/SUM-0033); EXT-0207, EXT-0208</t>
        </is>
      </c>
      <c r="AG185" s="6" t="inlineStr"/>
      <c r="AH185" s="6" t="inlineStr">
        <is>
          <t>No</t>
        </is>
      </c>
      <c r="AI185" s="6" t="inlineStr"/>
      <c r="AJ185" s="6" t="inlineStr">
        <is>
          <t>repo: REGISTER section E / EXT-0004</t>
        </is>
      </c>
      <c r="AK185" s="6" t="inlineStr">
        <is>
          <t>REQ-A1 A2</t>
        </is>
      </c>
      <c r="AL185" s="6" t="inlineStr">
        <is>
          <t>S11</t>
        </is>
      </c>
    </row>
    <row r="186" ht="103" customHeight="1">
      <c r="A186" s="5" t="inlineStr">
        <is>
          <t>AS-08</t>
        </is>
      </c>
      <c r="B186" s="6" t="inlineStr">
        <is>
          <t>Supervisor assertion A8: Industry has tried to solve LLM interpretability for years without a solution</t>
        </is>
      </c>
      <c r="C186" s="6" t="inlineStr">
        <is>
          <t>DEFERRED</t>
        </is>
      </c>
      <c r="D186" s="6">
        <f>IFERROR(INDEX(Lists!$B$2:$B$14,MATCH(C186,Lists!$A$2:$A$14,0)),"?")</f>
        <v/>
      </c>
      <c r="E186" s="6">
        <f>IF(COUNTIFS(Links!$B$2:$B$600,A186,Links!$E$2:$E$600,"Yes")&gt;0,"REVISE","")</f>
        <v/>
      </c>
      <c r="F186" s="6">
        <f>COUNTIFS(Links!$B$2:$B$600,A186,Links!$D$2:$D$600,"No",Links!$C$2:$C$600,"&lt;&gt;INFORMS")</f>
        <v/>
      </c>
      <c r="G186" s="12" t="inlineStr">
        <is>
          <t>ACCEPT-LIMITATION</t>
        </is>
      </c>
      <c r="H186" s="6" t="inlineStr">
        <is>
          <t>K14 Source &amp; vendor verification</t>
        </is>
      </c>
      <c r="I186" s="6" t="inlineStr">
        <is>
          <t>G5 Housekeeping / no block</t>
        </is>
      </c>
      <c r="J186" s="6" t="inlineStr">
        <is>
          <t>Low</t>
        </is>
      </c>
      <c r="K186" s="6" t="n">
        <v>232</v>
      </c>
      <c r="L186" s="6" t="inlineStr">
        <is>
          <t>W5 Claim-time</t>
        </is>
      </c>
      <c r="M186" s="6" t="inlineStr">
        <is>
          <t>S25</t>
        </is>
      </c>
      <c r="N186" s="6" t="inlineStr">
        <is>
          <t>Lead / team</t>
        </is>
      </c>
      <c r="O186" s="6" t="inlineStr">
        <is>
          <t>none</t>
        </is>
      </c>
      <c r="P186" s="6" t="inlineStr">
        <is>
          <t>No</t>
        </is>
      </c>
      <c r="Q186" s="6" t="inlineStr">
        <is>
          <t>Claim to test</t>
        </is>
      </c>
      <c r="R186" s="6" t="inlineStr">
        <is>
          <t>Item</t>
        </is>
      </c>
      <c r="S186" s="6" t="inlineStr"/>
      <c r="T186" s="6" t="inlineStr">
        <is>
          <t>REQ-A1 A8: Industry has tried to solve LLM interpretability for years without a solution. Background claim; low priority.</t>
        </is>
      </c>
      <c r="U186"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86" s="6" t="inlineStr">
        <is>
          <t>Background claim; low priority.</t>
        </is>
      </c>
      <c r="W186" s="6" t="inlineStr"/>
      <c r="X186" s="6" t="inlineStr"/>
      <c r="Y186" s="6" t="inlineStr"/>
      <c r="Z186" s="6" t="inlineStr"/>
      <c r="AA186" s="6" t="inlineStr"/>
      <c r="AB186" s="6" t="inlineStr">
        <is>
          <t>SOURCE</t>
        </is>
      </c>
      <c r="AC186" s="6" t="inlineStr">
        <is>
          <t>n/a (REGISTER E)</t>
        </is>
      </c>
      <c r="AD186" s="6" t="inlineStr">
        <is>
          <t>NEW (repo sweep)</t>
        </is>
      </c>
      <c r="AE186" s="6" t="inlineStr">
        <is>
          <t>2026-10-20</t>
        </is>
      </c>
      <c r="AF186" s="6" t="inlineStr">
        <is>
          <t>this row; ledger README (status DEFERRED)</t>
        </is>
      </c>
      <c r="AG186" s="6" t="inlineStr">
        <is>
          <t>The supervisor or a reviewer asks for evidence on it, or a thesis sentence relies on it</t>
        </is>
      </c>
      <c r="AH186" s="6" t="inlineStr">
        <is>
          <t>No</t>
        </is>
      </c>
      <c r="AI186" s="6" t="inlineStr"/>
      <c r="AJ186" s="6" t="inlineStr">
        <is>
          <t>repo: REGISTER section E / EXT-0004</t>
        </is>
      </c>
      <c r="AK186" s="6" t="inlineStr">
        <is>
          <t>REQ-A1 A8</t>
        </is>
      </c>
      <c r="AL186" s="6" t="inlineStr">
        <is>
          <t>S11</t>
        </is>
      </c>
    </row>
    <row r="187" ht="240.5" customHeight="1">
      <c r="A187" s="5" t="inlineStr">
        <is>
          <t>AS-10</t>
        </is>
      </c>
      <c r="B187" s="6" t="inlineStr">
        <is>
          <t>Supervisor assertion A10: Synonyms get the same embedding; keyword search is 'a layer before' semantic search</t>
        </is>
      </c>
      <c r="C187" s="6" t="inlineStr">
        <is>
          <t>PARTLY ANSWERED</t>
        </is>
      </c>
      <c r="D187" s="6">
        <f>IFERROR(INDEX(Lists!$B$2:$B$14,MATCH(C187,Lists!$A$2:$A$14,0)),"?")</f>
        <v/>
      </c>
      <c r="E187" s="6">
        <f>IF(COUNTIFS(Links!$B$2:$B$600,A187,Links!$E$2:$E$600,"Yes")&gt;0,"REVISE","")</f>
        <v/>
      </c>
      <c r="F187" s="6">
        <f>COUNTIFS(Links!$B$2:$B$600,A187,Links!$D$2:$D$600,"No",Links!$C$2:$C$600,"&lt;&gt;INFORMS")</f>
        <v/>
      </c>
      <c r="G187" s="12" t="inlineStr">
        <is>
          <t>ACCEPT-LIMITATION</t>
        </is>
      </c>
      <c r="H187" s="6" t="inlineStr">
        <is>
          <t>K14 Source &amp; vendor verification</t>
        </is>
      </c>
      <c r="I187" s="6" t="inlineStr">
        <is>
          <t>G5 Housekeeping / no block</t>
        </is>
      </c>
      <c r="J187" s="6" t="inlineStr">
        <is>
          <t>Low</t>
        </is>
      </c>
      <c r="K187" s="6" t="n">
        <v>233</v>
      </c>
      <c r="L187" s="6" t="inlineStr">
        <is>
          <t>W5 Claim-time</t>
        </is>
      </c>
      <c r="M187" s="6" t="inlineStr">
        <is>
          <t>S25</t>
        </is>
      </c>
      <c r="N187" s="6" t="inlineStr">
        <is>
          <t>Lead / team</t>
        </is>
      </c>
      <c r="O187" s="6" t="inlineStr">
        <is>
          <t>low priority; Q-J29 covers the mixed reading</t>
        </is>
      </c>
      <c r="P187" s="6" t="inlineStr">
        <is>
          <t>No</t>
        </is>
      </c>
      <c r="Q187" s="6" t="inlineStr">
        <is>
          <t>Claim to test</t>
        </is>
      </c>
      <c r="R187" s="6" t="inlineStr">
        <is>
          <t>Item</t>
        </is>
      </c>
      <c r="S187" s="6" t="inlineStr"/>
      <c r="T187" s="6" t="inlineStr">
        <is>
          <t>REQ-A1 A10: Synonyms get the same embedding; keyword search is 'a layer before' semantic search. Simplification; low priority.</t>
        </is>
      </c>
      <c r="U187"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87" s="6" t="inlineStr">
        <is>
          <t>Simplification; low priority.</t>
        </is>
      </c>
      <c r="W187" s="6" t="inlineStr"/>
      <c r="X187" s="6" t="inlineStr"/>
      <c r="Y187" s="6" t="inlineStr"/>
      <c r="Z187" s="6" t="inlineStr"/>
      <c r="AA187" s="6" t="inlineStr"/>
      <c r="AB187" s="6" t="inlineStr">
        <is>
          <t>SOURCE</t>
        </is>
      </c>
      <c r="AC187" s="6" t="inlineStr">
        <is>
          <t>n/a (REGISTER E)</t>
        </is>
      </c>
      <c r="AD187" s="6" t="inlineStr">
        <is>
          <t>NEW (repo sweep)</t>
        </is>
      </c>
      <c r="AE187" s="6" t="inlineStr">
        <is>
          <t>2026-10-20</t>
        </is>
      </c>
      <c r="AF187" s="6" t="inlineStr">
        <is>
          <t>FND-0031 (findings/SUM-0033)</t>
        </is>
      </c>
      <c r="AG187" s="6" t="inlineStr"/>
      <c r="AH187" s="6" t="inlineStr">
        <is>
          <t>No</t>
        </is>
      </c>
      <c r="AI187" s="6" t="inlineStr"/>
      <c r="AJ187" s="6" t="inlineStr">
        <is>
          <t>repo: REGISTER section E / EXT-0004</t>
        </is>
      </c>
      <c r="AK187" s="6" t="inlineStr">
        <is>
          <t>REQ-A1 A10</t>
        </is>
      </c>
      <c r="AL187" s="6" t="inlineStr">
        <is>
          <t>S11</t>
        </is>
      </c>
    </row>
    <row r="188" ht="228" customHeight="1">
      <c r="A188" s="5" t="inlineStr">
        <is>
          <t>AS-11</t>
        </is>
      </c>
      <c r="B188" s="6" t="inlineStr">
        <is>
          <t>Supervisor assertion A11: 'Semantic is doing the same thing LLM is doing'</t>
        </is>
      </c>
      <c r="C188" s="6" t="inlineStr">
        <is>
          <t>PARTLY ANSWERED</t>
        </is>
      </c>
      <c r="D188" s="6">
        <f>IFERROR(INDEX(Lists!$B$2:$B$14,MATCH(C188,Lists!$A$2:$A$14,0)),"?")</f>
        <v/>
      </c>
      <c r="E188" s="6">
        <f>IF(COUNTIFS(Links!$B$2:$B$600,A188,Links!$E$2:$E$600,"Yes")&gt;0,"REVISE","")</f>
        <v/>
      </c>
      <c r="F188" s="6">
        <f>COUNTIFS(Links!$B$2:$B$600,A188,Links!$D$2:$D$600,"No",Links!$C$2:$C$600,"&lt;&gt;INFORMS")</f>
        <v/>
      </c>
      <c r="G188" s="12" t="inlineStr">
        <is>
          <t>ACCEPT-LIMITATION</t>
        </is>
      </c>
      <c r="H188" s="6" t="inlineStr">
        <is>
          <t>K14 Source &amp; vendor verification</t>
        </is>
      </c>
      <c r="I188" s="6" t="inlineStr">
        <is>
          <t>G5 Housekeeping / no block</t>
        </is>
      </c>
      <c r="J188" s="6" t="inlineStr">
        <is>
          <t>Low</t>
        </is>
      </c>
      <c r="K188" s="6" t="n">
        <v>234</v>
      </c>
      <c r="L188" s="6" t="inlineStr">
        <is>
          <t>W5 Claim-time</t>
        </is>
      </c>
      <c r="M188" s="6" t="inlineStr">
        <is>
          <t>S25</t>
        </is>
      </c>
      <c r="N188" s="6" t="inlineStr">
        <is>
          <t>Lead / team</t>
        </is>
      </c>
      <c r="O188" s="6" t="inlineStr">
        <is>
          <t>low priority; Q-J29 covers it</t>
        </is>
      </c>
      <c r="P188" s="6" t="inlineStr">
        <is>
          <t>No</t>
        </is>
      </c>
      <c r="Q188" s="6" t="inlineStr">
        <is>
          <t>Claim to test</t>
        </is>
      </c>
      <c r="R188" s="6" t="inlineStr">
        <is>
          <t>Item</t>
        </is>
      </c>
      <c r="S188" s="6" t="inlineStr"/>
      <c r="T188" s="6" t="inlineStr">
        <is>
          <t>REQ-A1 A11: 'Semantic is doing the same thing LLM is doing'. Analogy, not an established claim.</t>
        </is>
      </c>
      <c r="U188"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88" s="6" t="inlineStr">
        <is>
          <t>Analogy, not an established claim.</t>
        </is>
      </c>
      <c r="W188" s="6" t="inlineStr"/>
      <c r="X188" s="6" t="inlineStr"/>
      <c r="Y188" s="6" t="inlineStr">
        <is>
          <t>Q-J29</t>
        </is>
      </c>
      <c r="Z188" s="6" t="inlineStr"/>
      <c r="AA188" s="6" t="inlineStr"/>
      <c r="AB188" s="6" t="inlineStr">
        <is>
          <t>SOURCE</t>
        </is>
      </c>
      <c r="AC188" s="6" t="inlineStr">
        <is>
          <t>n/a (REGISTER E)</t>
        </is>
      </c>
      <c r="AD188" s="6" t="inlineStr">
        <is>
          <t>NEW (repo sweep)</t>
        </is>
      </c>
      <c r="AE188" s="6" t="inlineStr">
        <is>
          <t>2026-10-20</t>
        </is>
      </c>
      <c r="AF188" s="6" t="inlineStr">
        <is>
          <t>FND-0031 (findings/SUM-0033); page images complexmcp p7-p8</t>
        </is>
      </c>
      <c r="AG188" s="6" t="inlineStr"/>
      <c r="AH188" s="6" t="inlineStr">
        <is>
          <t>No</t>
        </is>
      </c>
      <c r="AI188" s="6" t="inlineStr"/>
      <c r="AJ188" s="6" t="inlineStr">
        <is>
          <t>repo: REGISTER section E / EXT-0004</t>
        </is>
      </c>
      <c r="AK188" s="6" t="inlineStr">
        <is>
          <t>REQ-A1 A11</t>
        </is>
      </c>
      <c r="AL188" s="6" t="inlineStr">
        <is>
          <t>S11</t>
        </is>
      </c>
    </row>
    <row r="189" ht="28" customHeight="1">
      <c r="A189" s="5" t="inlineStr">
        <is>
          <t>C-D12</t>
        </is>
      </c>
      <c r="B189" s="6" t="inlineStr">
        <is>
          <t>Whether to commission a further independent replication track.</t>
        </is>
      </c>
      <c r="C189" s="6" t="inlineStr">
        <is>
          <t>OPEN</t>
        </is>
      </c>
      <c r="D189" s="6">
        <f>IFERROR(INDEX(Lists!$B$2:$B$14,MATCH(C189,Lists!$A$2:$A$14,0)),"?")</f>
        <v/>
      </c>
      <c r="E189" s="6">
        <f>IF(COUNTIFS(Links!$B$2:$B$600,A189,Links!$E$2:$E$600,"Yes")&gt;0,"REVISE","")</f>
        <v/>
      </c>
      <c r="F189" s="6">
        <f>COUNTIFS(Links!$B$2:$B$600,A189,Links!$D$2:$D$600,"No",Links!$C$2:$C$600,"&lt;&gt;INFORMS")</f>
        <v/>
      </c>
      <c r="G189" s="9" t="inlineStr">
        <is>
          <t>USER-DECISION</t>
        </is>
      </c>
      <c r="H189" s="6" t="inlineStr">
        <is>
          <t>K16 Limits &amp; provenance</t>
        </is>
      </c>
      <c r="I189" s="6" t="inlineStr">
        <is>
          <t>G5 Housekeeping / no block</t>
        </is>
      </c>
      <c r="J189" s="6" t="inlineStr">
        <is>
          <t>Low</t>
        </is>
      </c>
      <c r="K189" s="6" t="n">
        <v>235</v>
      </c>
      <c r="L189" s="6" t="inlineStr">
        <is>
          <t>W5 Claim-time</t>
        </is>
      </c>
      <c r="M189" s="6" t="inlineStr">
        <is>
          <t>S25</t>
        </is>
      </c>
      <c r="N189" s="6" t="inlineStr">
        <is>
          <t>You</t>
        </is>
      </c>
      <c r="O189" s="6" t="inlineStr">
        <is>
          <t>You decide (Q-U13, Q-U15)</t>
        </is>
      </c>
      <c r="P189" s="6" t="inlineStr">
        <is>
          <t>n/a</t>
        </is>
      </c>
      <c r="Q189" s="6" t="inlineStr">
        <is>
          <t>Decision</t>
        </is>
      </c>
      <c r="R189" s="6" t="inlineStr">
        <is>
          <t>Item</t>
        </is>
      </c>
      <c r="S189" s="6" t="inlineStr"/>
      <c r="T189" s="6" t="inlineStr">
        <is>
          <t>Whether to commission a further independent replication track.</t>
        </is>
      </c>
      <c r="U189" s="6" t="inlineStr">
        <is>
          <t>Phase 1/2/2b exist outside the repo; this is a separate decision.</t>
        </is>
      </c>
      <c r="V189" s="6" t="inlineStr">
        <is>
          <t>Decide after checking existing Project A evidence.</t>
        </is>
      </c>
      <c r="W189" s="6" t="inlineStr"/>
      <c r="X189" s="6" t="inlineStr"/>
      <c r="Y189" s="6" t="inlineStr">
        <is>
          <t>Q-U13, Q-U15</t>
        </is>
      </c>
      <c r="Z189" s="6" t="inlineStr"/>
      <c r="AA189" s="6" t="inlineStr"/>
      <c r="AB189" s="6" t="inlineStr">
        <is>
          <t>DEC</t>
        </is>
      </c>
      <c r="AC189" s="6" t="inlineStr">
        <is>
          <t>OPEN</t>
        </is>
      </c>
      <c r="AD189" s="6" t="inlineStr">
        <is>
          <t>UNCHANGED</t>
        </is>
      </c>
      <c r="AE189" s="6" t="inlineStr">
        <is>
          <t>2026-10-19</t>
        </is>
      </c>
      <c r="AF189" s="6" t="inlineStr">
        <is>
          <t>STATE; AUTH-007..009</t>
        </is>
      </c>
      <c r="AG189" s="6" t="inlineStr">
        <is>
          <t>After existing Project A evidence is checked</t>
        </is>
      </c>
      <c r="AH189" s="6" t="inlineStr">
        <is>
          <t>No</t>
        </is>
      </c>
      <c r="AI189" s="6" t="inlineStr"/>
      <c r="AJ189" s="6" t="inlineStr">
        <is>
          <t>SRC-11 canonical</t>
        </is>
      </c>
      <c r="AK189" s="6" t="inlineStr">
        <is>
          <t>SRC-06 D15</t>
        </is>
      </c>
      <c r="AL189" s="6" t="inlineStr">
        <is>
          <t>S25</t>
        </is>
      </c>
    </row>
    <row r="190" ht="28" customHeight="1">
      <c r="A190" s="5" t="inlineStr">
        <is>
          <t>C-D14</t>
        </is>
      </c>
      <c r="B190" s="6" t="inlineStr">
        <is>
          <t>Optional dated near-miss-source note: add or decline.</t>
        </is>
      </c>
      <c r="C190" s="6" t="inlineStr">
        <is>
          <t>OPEN</t>
        </is>
      </c>
      <c r="D190" s="6">
        <f>IFERROR(INDEX(Lists!$B$2:$B$14,MATCH(C190,Lists!$A$2:$A$14,0)),"?")</f>
        <v/>
      </c>
      <c r="E190" s="6">
        <f>IF(COUNTIFS(Links!$B$2:$B$600,A190,Links!$E$2:$E$600,"Yes")&gt;0,"REVISE","")</f>
        <v/>
      </c>
      <c r="F190" s="6">
        <f>COUNTIFS(Links!$B$2:$B$600,A190,Links!$D$2:$D$600,"No",Links!$C$2:$C$600,"&lt;&gt;INFORMS")</f>
        <v/>
      </c>
      <c r="G190" s="9" t="inlineStr">
        <is>
          <t>USER-DECISION</t>
        </is>
      </c>
      <c r="H190" s="6" t="inlineStr">
        <is>
          <t>K16 Limits &amp; provenance</t>
        </is>
      </c>
      <c r="I190" s="6" t="inlineStr">
        <is>
          <t>G5 Housekeeping / no block</t>
        </is>
      </c>
      <c r="J190" s="6" t="inlineStr">
        <is>
          <t>Low</t>
        </is>
      </c>
      <c r="K190" s="6" t="n">
        <v>236</v>
      </c>
      <c r="L190" s="6" t="inlineStr">
        <is>
          <t>W5 Claim-time</t>
        </is>
      </c>
      <c r="M190" s="6" t="inlineStr">
        <is>
          <t>S25</t>
        </is>
      </c>
      <c r="N190" s="6" t="inlineStr">
        <is>
          <t>You</t>
        </is>
      </c>
      <c r="O190" s="6" t="inlineStr">
        <is>
          <t>You decide (Q-U16)</t>
        </is>
      </c>
      <c r="P190" s="6" t="inlineStr">
        <is>
          <t>n/a</t>
        </is>
      </c>
      <c r="Q190" s="6" t="inlineStr">
        <is>
          <t>Decision</t>
        </is>
      </c>
      <c r="R190" s="6" t="inlineStr">
        <is>
          <t>Item</t>
        </is>
      </c>
      <c r="S190" s="6" t="inlineStr"/>
      <c r="T190" s="6" t="inlineStr">
        <is>
          <t>Optional dated near-miss-source note: add or decline.</t>
        </is>
      </c>
      <c r="U190" s="6" t="inlineStr">
        <is>
          <t>No decision found.</t>
        </is>
      </c>
      <c r="V190" s="6" t="inlineStr">
        <is>
          <t>Added or explicitly declined.</t>
        </is>
      </c>
      <c r="W190" s="6" t="inlineStr"/>
      <c r="X190" s="6" t="inlineStr"/>
      <c r="Y190" s="6" t="inlineStr">
        <is>
          <t>Q-U16</t>
        </is>
      </c>
      <c r="Z190" s="6" t="inlineStr"/>
      <c r="AA190" s="6" t="inlineStr"/>
      <c r="AB190" s="6" t="inlineStr">
        <is>
          <t>DEC+RECORD</t>
        </is>
      </c>
      <c r="AC190" s="6" t="inlineStr">
        <is>
          <t>OPEN</t>
        </is>
      </c>
      <c r="AD190" s="6" t="inlineStr">
        <is>
          <t>UNCHANGED</t>
        </is>
      </c>
      <c r="AE190" s="6" t="inlineStr">
        <is>
          <t>2026-10-19</t>
        </is>
      </c>
      <c r="AF190" s="6" t="inlineStr">
        <is>
          <t>not found</t>
        </is>
      </c>
      <c r="AG190" s="6" t="inlineStr">
        <is>
          <t>Before the final literature audit</t>
        </is>
      </c>
      <c r="AH190" s="6" t="inlineStr">
        <is>
          <t>No</t>
        </is>
      </c>
      <c r="AI190" s="6" t="inlineStr"/>
      <c r="AJ190" s="6" t="inlineStr">
        <is>
          <t>SRC-11 canonical</t>
        </is>
      </c>
      <c r="AK190" s="6" t="inlineStr">
        <is>
          <t>SRC-06 D17</t>
        </is>
      </c>
      <c r="AL190" s="6" t="inlineStr">
        <is>
          <t>S25</t>
        </is>
      </c>
    </row>
    <row r="191" ht="40.5" customHeight="1">
      <c r="A191" s="5" t="inlineStr">
        <is>
          <t>C-P01</t>
        </is>
      </c>
      <c r="B191" s="6" t="inlineStr">
        <is>
          <t>Aborted launch attempts are provenance, not findings; two copied thesis workspaces remain in the parent tree.</t>
        </is>
      </c>
      <c r="C191" s="6" t="inlineStr">
        <is>
          <t>OPEN</t>
        </is>
      </c>
      <c r="D191" s="6">
        <f>IFERROR(INDEX(Lists!$B$2:$B$14,MATCH(C191,Lists!$A$2:$A$14,0)),"?")</f>
        <v/>
      </c>
      <c r="E191" s="6">
        <f>IF(COUNTIFS(Links!$B$2:$B$600,A191,Links!$E$2:$E$600,"Yes")&gt;0,"REVISE","")</f>
        <v/>
      </c>
      <c r="F191" s="6">
        <f>COUNTIFS(Links!$B$2:$B$600,A191,Links!$D$2:$D$600,"No",Links!$C$2:$C$600,"&lt;&gt;INFORMS")</f>
        <v/>
      </c>
      <c r="G191" s="9" t="inlineStr">
        <is>
          <t>USER-DECISION</t>
        </is>
      </c>
      <c r="H191" s="6" t="inlineStr">
        <is>
          <t>K16 Limits &amp; provenance</t>
        </is>
      </c>
      <c r="I191" s="6" t="inlineStr">
        <is>
          <t>G5 Housekeeping / no block</t>
        </is>
      </c>
      <c r="J191" s="6" t="inlineStr">
        <is>
          <t>Low</t>
        </is>
      </c>
      <c r="K191" s="6" t="n">
        <v>238</v>
      </c>
      <c r="L191" s="6" t="inlineStr">
        <is>
          <t>W5 Claim-time</t>
        </is>
      </c>
      <c r="M191" s="6" t="inlineStr">
        <is>
          <t>S25</t>
        </is>
      </c>
      <c r="N191" s="6" t="inlineStr">
        <is>
          <t>You</t>
        </is>
      </c>
      <c r="O191" s="6" t="inlineStr">
        <is>
          <t>You decide (Q-U17)</t>
        </is>
      </c>
      <c r="P191" s="6" t="inlineStr">
        <is>
          <t>No</t>
        </is>
      </c>
      <c r="Q191" s="6" t="inlineStr">
        <is>
          <t>Decision</t>
        </is>
      </c>
      <c r="R191" s="6" t="inlineStr">
        <is>
          <t>Item</t>
        </is>
      </c>
      <c r="S191" s="6" t="inlineStr"/>
      <c r="T191" s="6" t="inlineStr">
        <is>
          <t>Aborted launch attempts are provenance, not findings; two copied thesis workspaces remain in the parent tree.</t>
        </is>
      </c>
      <c r="U191" s="6" t="inlineStr">
        <is>
          <t>Outside the repo.</t>
        </is>
      </c>
      <c r="V191" s="6" t="inlineStr">
        <is>
          <t>Keep/move/remove decided; provenance preserved.</t>
        </is>
      </c>
      <c r="W191" s="6" t="inlineStr"/>
      <c r="X191" s="6" t="inlineStr"/>
      <c r="Y191" s="6" t="inlineStr">
        <is>
          <t>Q-U17</t>
        </is>
      </c>
      <c r="Z191" s="6" t="inlineStr">
        <is>
          <t>ACCEPT-LIMITATION</t>
        </is>
      </c>
      <c r="AA191" s="6" t="inlineStr"/>
      <c r="AB191" s="6" t="inlineStr">
        <is>
          <t>RECORD+DEC</t>
        </is>
      </c>
      <c r="AC191" s="6" t="inlineStr">
        <is>
          <t>BOUNDARY - OPEN</t>
        </is>
      </c>
      <c r="AD191" s="6" t="inlineStr">
        <is>
          <t>UNCHANGED</t>
        </is>
      </c>
      <c r="AE191" s="6" t="inlineStr">
        <is>
          <t>2026-10-19</t>
        </is>
      </c>
      <c r="AF191" s="6" t="inlineStr">
        <is>
          <t>SRC-11 C-P01</t>
        </is>
      </c>
      <c r="AG191" s="6" t="inlineStr"/>
      <c r="AH191" s="6" t="inlineStr">
        <is>
          <t>No</t>
        </is>
      </c>
      <c r="AI191" s="6" t="inlineStr"/>
      <c r="AJ191" s="6" t="inlineStr">
        <is>
          <t>SRC-11 canonical</t>
        </is>
      </c>
      <c r="AK191" s="6" t="inlineStr">
        <is>
          <t>SRC-06 P01-P02</t>
        </is>
      </c>
      <c r="AL191" s="6" t="inlineStr">
        <is>
          <t>S25</t>
        </is>
      </c>
    </row>
    <row r="192" ht="28" customHeight="1">
      <c r="A192" s="5" t="inlineStr">
        <is>
          <t>C-P01/P01</t>
        </is>
      </c>
      <c r="B192" s="6" t="inlineStr">
        <is>
          <t>Four aborted/unfinished launch attempts</t>
        </is>
      </c>
      <c r="C192" s="6" t="inlineStr">
        <is>
          <t>OPEN</t>
        </is>
      </c>
      <c r="D192" s="6">
        <f>IFERROR(INDEX(Lists!$B$2:$B$14,MATCH(C192,Lists!$A$2:$A$14,0)),"?")</f>
        <v/>
      </c>
      <c r="E192" s="6">
        <f>IF(COUNTIFS(Links!$B$2:$B$600,A192,Links!$E$2:$E$600,"Yes")&gt;0,"REVISE","")</f>
        <v/>
      </c>
      <c r="F192" s="6">
        <f>COUNTIFS(Links!$B$2:$B$600,A192,Links!$D$2:$D$600,"No",Links!$C$2:$C$600,"&lt;&gt;INFORMS")</f>
        <v/>
      </c>
      <c r="G192" s="9" t="inlineStr">
        <is>
          <t>USER-DECISION</t>
        </is>
      </c>
      <c r="H192" s="6" t="inlineStr">
        <is>
          <t>K16 Limits &amp; provenance</t>
        </is>
      </c>
      <c r="I192" s="6" t="inlineStr">
        <is>
          <t>G5 Housekeeping / no block</t>
        </is>
      </c>
      <c r="J192" s="6" t="inlineStr">
        <is>
          <t>Low</t>
        </is>
      </c>
      <c r="K192" s="6" t="n">
        <v>239</v>
      </c>
      <c r="L192" s="6" t="inlineStr">
        <is>
          <t>W5 Claim-time</t>
        </is>
      </c>
      <c r="M192" s="6" t="inlineStr">
        <is>
          <t>S25</t>
        </is>
      </c>
      <c r="N192" s="6" t="inlineStr">
        <is>
          <t>You</t>
        </is>
      </c>
      <c r="O192" s="6" t="inlineStr">
        <is>
          <t>You decide (Q-U17)</t>
        </is>
      </c>
      <c r="P192" s="6" t="inlineStr">
        <is>
          <t>No</t>
        </is>
      </c>
      <c r="Q192" s="6" t="inlineStr">
        <is>
          <t>Record fix</t>
        </is>
      </c>
      <c r="R192" s="6" t="inlineStr">
        <is>
          <t>Sub-item</t>
        </is>
      </c>
      <c r="S192" s="6" t="inlineStr">
        <is>
          <t>C-P01</t>
        </is>
      </c>
      <c r="T192" s="6" t="inlineStr">
        <is>
          <t>SRC-06 P01: four aborted or unfinished launch attempts are provenance, not independent findings.</t>
        </is>
      </c>
      <c r="U192" s="6" t="inlineStr">
        <is>
          <t>Outside the repo.</t>
        </is>
      </c>
      <c r="V192" s="6" t="inlineStr">
        <is>
          <t>Repaired or disclosed.</t>
        </is>
      </c>
      <c r="W192" s="6" t="inlineStr"/>
      <c r="X192" s="6" t="inlineStr"/>
      <c r="Y192" s="6" t="inlineStr">
        <is>
          <t>Q-U17</t>
        </is>
      </c>
      <c r="Z192" s="6" t="inlineStr"/>
      <c r="AA192" s="6" t="inlineStr"/>
      <c r="AB192" s="6" t="inlineStr">
        <is>
          <t>RECORD+DEC</t>
        </is>
      </c>
      <c r="AC192" s="6" t="inlineStr">
        <is>
          <t>n/a (sub-item)</t>
        </is>
      </c>
      <c r="AD192" s="6" t="inlineStr">
        <is>
          <t>NEW (SRC-11 sub-row)</t>
        </is>
      </c>
      <c r="AE192" s="6" t="inlineStr">
        <is>
          <t>2026-10-19</t>
        </is>
      </c>
      <c r="AF192" s="6" t="inlineStr">
        <is>
          <t>Outside repo (SRC-11 D5)</t>
        </is>
      </c>
      <c r="AG192" s="6" t="inlineStr"/>
      <c r="AH192" s="6" t="inlineStr">
        <is>
          <t>No</t>
        </is>
      </c>
      <c r="AI192" s="6" t="inlineStr"/>
      <c r="AJ192" s="6" t="inlineStr">
        <is>
          <t>SRC-11 section D5</t>
        </is>
      </c>
      <c r="AK192" s="6" t="inlineStr">
        <is>
          <t>SRC-06 P01</t>
        </is>
      </c>
      <c r="AL192" s="6" t="inlineStr">
        <is>
          <t>S25</t>
        </is>
      </c>
    </row>
    <row r="193" ht="28" customHeight="1">
      <c r="A193" s="5" t="inlineStr">
        <is>
          <t>C-P01/P02</t>
        </is>
      </c>
      <c r="B193" s="6" t="inlineStr">
        <is>
          <t>Two copied thesis workspaces remain in the parent tree</t>
        </is>
      </c>
      <c r="C193" s="6" t="inlineStr">
        <is>
          <t>OPEN</t>
        </is>
      </c>
      <c r="D193" s="6">
        <f>IFERROR(INDEX(Lists!$B$2:$B$14,MATCH(C193,Lists!$A$2:$A$14,0)),"?")</f>
        <v/>
      </c>
      <c r="E193" s="6">
        <f>IF(COUNTIFS(Links!$B$2:$B$600,A193,Links!$E$2:$E$600,"Yes")&gt;0,"REVISE","")</f>
        <v/>
      </c>
      <c r="F193" s="6">
        <f>COUNTIFS(Links!$B$2:$B$600,A193,Links!$D$2:$D$600,"No",Links!$C$2:$C$600,"&lt;&gt;INFORMS")</f>
        <v/>
      </c>
      <c r="G193" s="9" t="inlineStr">
        <is>
          <t>USER-DECISION</t>
        </is>
      </c>
      <c r="H193" s="6" t="inlineStr">
        <is>
          <t>K16 Limits &amp; provenance</t>
        </is>
      </c>
      <c r="I193" s="6" t="inlineStr">
        <is>
          <t>G5 Housekeeping / no block</t>
        </is>
      </c>
      <c r="J193" s="6" t="inlineStr">
        <is>
          <t>Low</t>
        </is>
      </c>
      <c r="K193" s="6" t="n">
        <v>240</v>
      </c>
      <c r="L193" s="6" t="inlineStr">
        <is>
          <t>W5 Claim-time</t>
        </is>
      </c>
      <c r="M193" s="6" t="inlineStr">
        <is>
          <t>S25</t>
        </is>
      </c>
      <c r="N193" s="6" t="inlineStr">
        <is>
          <t>You</t>
        </is>
      </c>
      <c r="O193" s="6" t="inlineStr">
        <is>
          <t>You decide (Q-U17)</t>
        </is>
      </c>
      <c r="P193" s="6" t="inlineStr">
        <is>
          <t>No</t>
        </is>
      </c>
      <c r="Q193" s="6" t="inlineStr">
        <is>
          <t>Record fix</t>
        </is>
      </c>
      <c r="R193" s="6" t="inlineStr">
        <is>
          <t>Sub-item</t>
        </is>
      </c>
      <c r="S193" s="6" t="inlineStr">
        <is>
          <t>C-P01</t>
        </is>
      </c>
      <c r="T193" s="6" t="inlineStr">
        <is>
          <t>SRC-06 P02: two copied thesis workspaces remain in the parent tree; moving them cannot retroactively create independence.</t>
        </is>
      </c>
      <c r="U193" s="6" t="inlineStr">
        <is>
          <t>Outside the repo.</t>
        </is>
      </c>
      <c r="V193" s="6" t="inlineStr">
        <is>
          <t>Repaired or disclosed.</t>
        </is>
      </c>
      <c r="W193" s="6" t="inlineStr"/>
      <c r="X193" s="6" t="inlineStr"/>
      <c r="Y193" s="6" t="inlineStr">
        <is>
          <t>Q-U17</t>
        </is>
      </c>
      <c r="Z193" s="6" t="inlineStr"/>
      <c r="AA193" s="6" t="inlineStr"/>
      <c r="AB193" s="6" t="inlineStr">
        <is>
          <t>RECORD+DEC</t>
        </is>
      </c>
      <c r="AC193" s="6" t="inlineStr">
        <is>
          <t>n/a (sub-item)</t>
        </is>
      </c>
      <c r="AD193" s="6" t="inlineStr">
        <is>
          <t>NEW (SRC-11 sub-row)</t>
        </is>
      </c>
      <c r="AE193" s="6" t="inlineStr">
        <is>
          <t>2026-10-19</t>
        </is>
      </c>
      <c r="AF193" s="6" t="inlineStr">
        <is>
          <t>Outside repo (SRC-11 D5)</t>
        </is>
      </c>
      <c r="AG193" s="6" t="inlineStr"/>
      <c r="AH193" s="6" t="inlineStr">
        <is>
          <t>No</t>
        </is>
      </c>
      <c r="AI193" s="6" t="inlineStr"/>
      <c r="AJ193" s="6" t="inlineStr">
        <is>
          <t>SRC-11 section D5</t>
        </is>
      </c>
      <c r="AK193" s="6" t="inlineStr">
        <is>
          <t>SRC-06 P02</t>
        </is>
      </c>
      <c r="AL193" s="6" t="inlineStr">
        <is>
          <t>S25</t>
        </is>
      </c>
    </row>
    <row r="194" ht="140.5" customHeight="1">
      <c r="A194" s="5" t="inlineStr">
        <is>
          <t>C-P02</t>
        </is>
      </c>
      <c r="B194" s="6" t="inlineStr">
        <is>
          <t>Hash gaps, wrong boilerplate, same-model/operator/source risk, asymmetric coverage in the independent track.</t>
        </is>
      </c>
      <c r="C194" s="6" t="inlineStr">
        <is>
          <t>PARTLY ANSWERED</t>
        </is>
      </c>
      <c r="D194" s="6">
        <f>IFERROR(INDEX(Lists!$B$2:$B$14,MATCH(C194,Lists!$A$2:$A$14,0)),"?")</f>
        <v/>
      </c>
      <c r="E194" s="6">
        <f>IF(COUNTIFS(Links!$B$2:$B$600,A194,Links!$E$2:$E$600,"Yes")&gt;0,"REVISE","")</f>
        <v/>
      </c>
      <c r="F194" s="6">
        <f>COUNTIFS(Links!$B$2:$B$600,A194,Links!$D$2:$D$600,"No",Links!$C$2:$C$600,"&lt;&gt;INFORMS")</f>
        <v/>
      </c>
      <c r="G194" s="8" t="inlineStr">
        <is>
          <t>RECORDS-AT-HAND</t>
        </is>
      </c>
      <c r="H194" s="6" t="inlineStr">
        <is>
          <t>K16 Limits &amp; provenance</t>
        </is>
      </c>
      <c r="I194" s="6" t="inlineStr">
        <is>
          <t>G5 Housekeeping / no block</t>
        </is>
      </c>
      <c r="J194" s="6" t="inlineStr">
        <is>
          <t>Low</t>
        </is>
      </c>
      <c r="K194" s="6" t="n">
        <v>241</v>
      </c>
      <c r="L194" s="6" t="inlineStr">
        <is>
          <t>W5 Claim-time</t>
        </is>
      </c>
      <c r="M194" s="6" t="inlineStr">
        <is>
          <t>S25</t>
        </is>
      </c>
      <c r="N194" s="6" t="inlineStr">
        <is>
          <t>You</t>
        </is>
      </c>
      <c r="O194" s="6" t="inlineStr">
        <is>
          <t>Repairs P03, P04, P06, P10 need the human (files outside the repo)</t>
        </is>
      </c>
      <c r="P194" s="6" t="inlineStr">
        <is>
          <t>No</t>
        </is>
      </c>
      <c r="Q194" s="6" t="inlineStr">
        <is>
          <t>Record fix</t>
        </is>
      </c>
      <c r="R194" s="6" t="inlineStr">
        <is>
          <t>Item</t>
        </is>
      </c>
      <c r="S194" s="6" t="inlineStr"/>
      <c r="T194" s="6" t="inlineStr">
        <is>
          <t>Hash gaps, wrong boilerplate, same-model/operator/source risk, asymmetric coverage in the independent track.</t>
        </is>
      </c>
      <c r="U194"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4" s="6" t="inlineStr">
        <is>
          <t>Repairs made where cheap; independence claims qualified.</t>
        </is>
      </c>
      <c r="W194" s="6" t="inlineStr"/>
      <c r="X194" s="6" t="inlineStr"/>
      <c r="Y194" s="6" t="inlineStr">
        <is>
          <t>Q-U20</t>
        </is>
      </c>
      <c r="Z194" s="6" t="inlineStr">
        <is>
          <t>ACCEPT-LIMITATION</t>
        </is>
      </c>
      <c r="AA194" s="6" t="inlineStr"/>
      <c r="AB194" s="6" t="inlineStr">
        <is>
          <t>RECORD+BOUND</t>
        </is>
      </c>
      <c r="AC194" s="6" t="inlineStr">
        <is>
          <t>BOUNDARY - OPEN</t>
        </is>
      </c>
      <c r="AD194" s="6" t="inlineStr">
        <is>
          <t>UNCHANGED</t>
        </is>
      </c>
      <c r="AE194" s="6" t="inlineStr">
        <is>
          <t>2026-10-20</t>
        </is>
      </c>
      <c r="AF194" s="6" t="inlineStr">
        <is>
          <t>Questions Q-U20; chat message of 2026-10-20</t>
        </is>
      </c>
      <c r="AG194" s="6" t="inlineStr"/>
      <c r="AH194" s="6" t="inlineStr">
        <is>
          <t>No</t>
        </is>
      </c>
      <c r="AI194" s="6" t="inlineStr"/>
      <c r="AJ194" s="6" t="inlineStr">
        <is>
          <t>SRC-11 canonical</t>
        </is>
      </c>
      <c r="AK194" s="6" t="inlineStr">
        <is>
          <t>SRC-06 P03-P10</t>
        </is>
      </c>
      <c r="AL194" s="6" t="inlineStr">
        <is>
          <t>S25</t>
        </is>
      </c>
    </row>
    <row r="195" ht="28" customHeight="1">
      <c r="A195" s="5" t="inlineStr">
        <is>
          <t>C-P02/P03</t>
        </is>
      </c>
      <c r="B195" s="6" t="inlineStr">
        <is>
          <t>Incomplete externally held hashes</t>
        </is>
      </c>
      <c r="C195" s="6" t="inlineStr">
        <is>
          <t>OPEN</t>
        </is>
      </c>
      <c r="D195" s="6">
        <f>IFERROR(INDEX(Lists!$B$2:$B$14,MATCH(C195,Lists!$A$2:$A$14,0)),"?")</f>
        <v/>
      </c>
      <c r="E195" s="6">
        <f>IF(COUNTIFS(Links!$B$2:$B$600,A195,Links!$E$2:$E$600,"Yes")&gt;0,"REVISE","")</f>
        <v/>
      </c>
      <c r="F195" s="6">
        <f>COUNTIFS(Links!$B$2:$B$600,A195,Links!$D$2:$D$600,"No",Links!$C$2:$C$600,"&lt;&gt;INFORMS")</f>
        <v/>
      </c>
      <c r="G195" s="8" t="inlineStr">
        <is>
          <t>RECORDS-AT-HAND</t>
        </is>
      </c>
      <c r="H195" s="6" t="inlineStr">
        <is>
          <t>K16 Limits &amp; provenance</t>
        </is>
      </c>
      <c r="I195" s="6" t="inlineStr">
        <is>
          <t>G5 Housekeeping / no block</t>
        </is>
      </c>
      <c r="J195" s="6" t="inlineStr">
        <is>
          <t>Low</t>
        </is>
      </c>
      <c r="K195" s="6" t="n">
        <v>242</v>
      </c>
      <c r="L195" s="6" t="inlineStr">
        <is>
          <t>W5 Claim-time</t>
        </is>
      </c>
      <c r="M195" s="6" t="inlineStr">
        <is>
          <t>S25</t>
        </is>
      </c>
      <c r="N195" s="6" t="inlineStr">
        <is>
          <t>You</t>
        </is>
      </c>
      <c r="O195" s="6" t="inlineStr">
        <is>
          <t>Lead drafts the fix; you approve</t>
        </is>
      </c>
      <c r="P195" s="6" t="inlineStr">
        <is>
          <t>No</t>
        </is>
      </c>
      <c r="Q195" s="6" t="inlineStr">
        <is>
          <t>Record fix</t>
        </is>
      </c>
      <c r="R195" s="6" t="inlineStr">
        <is>
          <t>Sub-item</t>
        </is>
      </c>
      <c r="S195" s="6" t="inlineStr">
        <is>
          <t>C-P02</t>
        </is>
      </c>
      <c r="T195" s="6" t="inlineStr">
        <is>
          <t>SRC-06 P03: externally held hashes are incomplete.</t>
        </is>
      </c>
      <c r="U195" s="6" t="inlineStr">
        <is>
          <t>Outside the repo.</t>
        </is>
      </c>
      <c r="V195" s="6" t="inlineStr">
        <is>
          <t>Repaired or disclosed.</t>
        </is>
      </c>
      <c r="W195" s="6" t="inlineStr"/>
      <c r="X195" s="6" t="inlineStr"/>
      <c r="Y195" s="6" t="inlineStr"/>
      <c r="Z195" s="6" t="inlineStr"/>
      <c r="AA195" s="6" t="inlineStr"/>
      <c r="AB195" s="6" t="inlineStr">
        <is>
          <t>RECORD</t>
        </is>
      </c>
      <c r="AC195" s="6" t="inlineStr">
        <is>
          <t>n/a (sub-item)</t>
        </is>
      </c>
      <c r="AD195" s="6" t="inlineStr">
        <is>
          <t>NEW (SRC-11 sub-row)</t>
        </is>
      </c>
      <c r="AE195" s="6" t="inlineStr">
        <is>
          <t>2026-10-19</t>
        </is>
      </c>
      <c r="AF195" s="6" t="inlineStr">
        <is>
          <t>Outside repo (SRC-11 D5)</t>
        </is>
      </c>
      <c r="AG195" s="6" t="inlineStr"/>
      <c r="AH195" s="6" t="inlineStr">
        <is>
          <t>No</t>
        </is>
      </c>
      <c r="AI195" s="6" t="inlineStr"/>
      <c r="AJ195" s="6" t="inlineStr">
        <is>
          <t>SRC-11 section D5</t>
        </is>
      </c>
      <c r="AK195" s="6" t="inlineStr">
        <is>
          <t>SRC-06 P03</t>
        </is>
      </c>
      <c r="AL195" s="6" t="inlineStr">
        <is>
          <t>S25</t>
        </is>
      </c>
    </row>
    <row r="196" ht="28" customHeight="1">
      <c r="A196" s="5" t="inlineStr">
        <is>
          <t>C-P02/P04</t>
        </is>
      </c>
      <c r="B196" s="6" t="inlineStr">
        <is>
          <t>Wrong freeze boilerplate; missing authorizations in inspected files</t>
        </is>
      </c>
      <c r="C196" s="6" t="inlineStr">
        <is>
          <t>OPEN</t>
        </is>
      </c>
      <c r="D196" s="6">
        <f>IFERROR(INDEX(Lists!$B$2:$B$14,MATCH(C196,Lists!$A$2:$A$14,0)),"?")</f>
        <v/>
      </c>
      <c r="E196" s="6">
        <f>IF(COUNTIFS(Links!$B$2:$B$600,A196,Links!$E$2:$E$600,"Yes")&gt;0,"REVISE","")</f>
        <v/>
      </c>
      <c r="F196" s="6">
        <f>COUNTIFS(Links!$B$2:$B$600,A196,Links!$D$2:$D$600,"No",Links!$C$2:$C$600,"&lt;&gt;INFORMS")</f>
        <v/>
      </c>
      <c r="G196" s="8" t="inlineStr">
        <is>
          <t>RECORDS-AT-HAND</t>
        </is>
      </c>
      <c r="H196" s="6" t="inlineStr">
        <is>
          <t>K16 Limits &amp; provenance</t>
        </is>
      </c>
      <c r="I196" s="6" t="inlineStr">
        <is>
          <t>G5 Housekeeping / no block</t>
        </is>
      </c>
      <c r="J196" s="6" t="inlineStr">
        <is>
          <t>Low</t>
        </is>
      </c>
      <c r="K196" s="6" t="n">
        <v>243</v>
      </c>
      <c r="L196" s="6" t="inlineStr">
        <is>
          <t>W5 Claim-time</t>
        </is>
      </c>
      <c r="M196" s="6" t="inlineStr">
        <is>
          <t>S25</t>
        </is>
      </c>
      <c r="N196" s="6" t="inlineStr">
        <is>
          <t>You</t>
        </is>
      </c>
      <c r="O196" s="6" t="inlineStr">
        <is>
          <t>Lead drafts the fix; you approve</t>
        </is>
      </c>
      <c r="P196" s="6" t="inlineStr">
        <is>
          <t>No</t>
        </is>
      </c>
      <c r="Q196" s="6" t="inlineStr">
        <is>
          <t>Record fix</t>
        </is>
      </c>
      <c r="R196" s="6" t="inlineStr">
        <is>
          <t>Sub-item</t>
        </is>
      </c>
      <c r="S196" s="6" t="inlineStr">
        <is>
          <t>C-P02</t>
        </is>
      </c>
      <c r="T196" s="6" t="inlineStr">
        <is>
          <t>SRC-06 P04: wrong freeze boilerplate and missing authorizations in inspected files.</t>
        </is>
      </c>
      <c r="U196" s="6" t="inlineStr">
        <is>
          <t>Outside the repo.</t>
        </is>
      </c>
      <c r="V196" s="6" t="inlineStr">
        <is>
          <t>Repaired or disclosed.</t>
        </is>
      </c>
      <c r="W196" s="6" t="inlineStr"/>
      <c r="X196" s="6" t="inlineStr"/>
      <c r="Y196" s="6" t="inlineStr"/>
      <c r="Z196" s="6" t="inlineStr"/>
      <c r="AA196" s="6" t="inlineStr"/>
      <c r="AB196" s="6" t="inlineStr">
        <is>
          <t>RECORD</t>
        </is>
      </c>
      <c r="AC196" s="6" t="inlineStr">
        <is>
          <t>n/a (sub-item)</t>
        </is>
      </c>
      <c r="AD196" s="6" t="inlineStr">
        <is>
          <t>NEW (SRC-11 sub-row)</t>
        </is>
      </c>
      <c r="AE196" s="6" t="inlineStr">
        <is>
          <t>2026-10-19</t>
        </is>
      </c>
      <c r="AF196" s="6" t="inlineStr">
        <is>
          <t>Outside repo (SRC-11 D5)</t>
        </is>
      </c>
      <c r="AG196" s="6" t="inlineStr"/>
      <c r="AH196" s="6" t="inlineStr">
        <is>
          <t>No</t>
        </is>
      </c>
      <c r="AI196" s="6" t="inlineStr"/>
      <c r="AJ196" s="6" t="inlineStr">
        <is>
          <t>SRC-11 section D5</t>
        </is>
      </c>
      <c r="AK196" s="6" t="inlineStr">
        <is>
          <t>SRC-06 P04</t>
        </is>
      </c>
      <c r="AL196" s="6" t="inlineStr">
        <is>
          <t>S25</t>
        </is>
      </c>
    </row>
    <row r="197" ht="28" customHeight="1">
      <c r="A197" s="5" t="inlineStr">
        <is>
          <t>C-P02/P06</t>
        </is>
      </c>
      <c r="B197" s="6" t="inlineStr">
        <is>
          <t>Two out-of-folder reads lacking a human check</t>
        </is>
      </c>
      <c r="C197" s="6" t="inlineStr">
        <is>
          <t>OPEN</t>
        </is>
      </c>
      <c r="D197" s="6">
        <f>IFERROR(INDEX(Lists!$B$2:$B$14,MATCH(C197,Lists!$A$2:$A$14,0)),"?")</f>
        <v/>
      </c>
      <c r="E197" s="6">
        <f>IF(COUNTIFS(Links!$B$2:$B$600,A197,Links!$E$2:$E$600,"Yes")&gt;0,"REVISE","")</f>
        <v/>
      </c>
      <c r="F197" s="6">
        <f>COUNTIFS(Links!$B$2:$B$600,A197,Links!$D$2:$D$600,"No",Links!$C$2:$C$600,"&lt;&gt;INFORMS")</f>
        <v/>
      </c>
      <c r="G197" s="8" t="inlineStr">
        <is>
          <t>RECORDS-AT-HAND</t>
        </is>
      </c>
      <c r="H197" s="6" t="inlineStr">
        <is>
          <t>K16 Limits &amp; provenance</t>
        </is>
      </c>
      <c r="I197" s="6" t="inlineStr">
        <is>
          <t>G5 Housekeeping / no block</t>
        </is>
      </c>
      <c r="J197" s="6" t="inlineStr">
        <is>
          <t>Low</t>
        </is>
      </c>
      <c r="K197" s="6" t="n">
        <v>245</v>
      </c>
      <c r="L197" s="6" t="inlineStr">
        <is>
          <t>W5 Claim-time</t>
        </is>
      </c>
      <c r="M197" s="6" t="inlineStr">
        <is>
          <t>S25</t>
        </is>
      </c>
      <c r="N197" s="6" t="inlineStr">
        <is>
          <t>You</t>
        </is>
      </c>
      <c r="O197" s="6" t="inlineStr">
        <is>
          <t>Lead drafts the fix; you approve</t>
        </is>
      </c>
      <c r="P197" s="6" t="inlineStr">
        <is>
          <t>No</t>
        </is>
      </c>
      <c r="Q197" s="6" t="inlineStr">
        <is>
          <t>Record fix</t>
        </is>
      </c>
      <c r="R197" s="6" t="inlineStr">
        <is>
          <t>Sub-item</t>
        </is>
      </c>
      <c r="S197" s="6" t="inlineStr">
        <is>
          <t>C-P02</t>
        </is>
      </c>
      <c r="T197" s="6" t="inlineStr">
        <is>
          <t>SRC-06 P06: two out-of-folder reads occurred without a human check.</t>
        </is>
      </c>
      <c r="U197" s="6" t="inlineStr">
        <is>
          <t>Outside the repo.</t>
        </is>
      </c>
      <c r="V197" s="6" t="inlineStr">
        <is>
          <t>Repaired or disclosed.</t>
        </is>
      </c>
      <c r="W197" s="6" t="inlineStr"/>
      <c r="X197" s="6" t="inlineStr"/>
      <c r="Y197" s="6" t="inlineStr"/>
      <c r="Z197" s="6" t="inlineStr"/>
      <c r="AA197" s="6" t="inlineStr"/>
      <c r="AB197" s="6" t="inlineStr">
        <is>
          <t>RECORD</t>
        </is>
      </c>
      <c r="AC197" s="6" t="inlineStr">
        <is>
          <t>n/a (sub-item)</t>
        </is>
      </c>
      <c r="AD197" s="6" t="inlineStr">
        <is>
          <t>NEW (SRC-11 sub-row)</t>
        </is>
      </c>
      <c r="AE197" s="6" t="inlineStr">
        <is>
          <t>2026-10-19</t>
        </is>
      </c>
      <c r="AF197" s="6" t="inlineStr">
        <is>
          <t>Outside repo (SRC-11 D5)</t>
        </is>
      </c>
      <c r="AG197" s="6" t="inlineStr"/>
      <c r="AH197" s="6" t="inlineStr">
        <is>
          <t>No</t>
        </is>
      </c>
      <c r="AI197" s="6" t="inlineStr"/>
      <c r="AJ197" s="6" t="inlineStr">
        <is>
          <t>SRC-11 section D5</t>
        </is>
      </c>
      <c r="AK197" s="6" t="inlineStr">
        <is>
          <t>SRC-06 P06</t>
        </is>
      </c>
      <c r="AL197" s="6" t="inlineStr">
        <is>
          <t>S25</t>
        </is>
      </c>
    </row>
    <row r="198" ht="28" customHeight="1">
      <c r="A198" s="5" t="inlineStr">
        <is>
          <t>C-P02/P10</t>
        </is>
      </c>
      <c r="B198" s="6" t="inlineStr">
        <is>
          <t>Small glyph/denominator/extract limits</t>
        </is>
      </c>
      <c r="C198" s="6" t="inlineStr">
        <is>
          <t>OPEN</t>
        </is>
      </c>
      <c r="D198" s="6">
        <f>IFERROR(INDEX(Lists!$B$2:$B$14,MATCH(C198,Lists!$A$2:$A$14,0)),"?")</f>
        <v/>
      </c>
      <c r="E198" s="6">
        <f>IF(COUNTIFS(Links!$B$2:$B$600,A198,Links!$E$2:$E$600,"Yes")&gt;0,"REVISE","")</f>
        <v/>
      </c>
      <c r="F198" s="6">
        <f>COUNTIFS(Links!$B$2:$B$600,A198,Links!$D$2:$D$600,"No",Links!$C$2:$C$600,"&lt;&gt;INFORMS")</f>
        <v/>
      </c>
      <c r="G198" s="8" t="inlineStr">
        <is>
          <t>RECORDS-AT-HAND</t>
        </is>
      </c>
      <c r="H198" s="6" t="inlineStr">
        <is>
          <t>K16 Limits &amp; provenance</t>
        </is>
      </c>
      <c r="I198" s="6" t="inlineStr">
        <is>
          <t>G5 Housekeeping / no block</t>
        </is>
      </c>
      <c r="J198" s="6" t="inlineStr">
        <is>
          <t>Low</t>
        </is>
      </c>
      <c r="K198" s="6" t="n">
        <v>249</v>
      </c>
      <c r="L198" s="6" t="inlineStr">
        <is>
          <t>W5 Claim-time</t>
        </is>
      </c>
      <c r="M198" s="6" t="inlineStr">
        <is>
          <t>S25</t>
        </is>
      </c>
      <c r="N198" s="6" t="inlineStr">
        <is>
          <t>You</t>
        </is>
      </c>
      <c r="O198" s="6" t="inlineStr">
        <is>
          <t>Lead drafts the fix; you approve</t>
        </is>
      </c>
      <c r="P198" s="6" t="inlineStr">
        <is>
          <t>No</t>
        </is>
      </c>
      <c r="Q198" s="6" t="inlineStr">
        <is>
          <t>Record fix</t>
        </is>
      </c>
      <c r="R198" s="6" t="inlineStr">
        <is>
          <t>Sub-item</t>
        </is>
      </c>
      <c r="S198" s="6" t="inlineStr">
        <is>
          <t>C-P02</t>
        </is>
      </c>
      <c r="T198" s="6" t="inlineStr">
        <is>
          <t>SRC-06 P10: small glyph, denominator and extract limits.</t>
        </is>
      </c>
      <c r="U198" s="6" t="inlineStr">
        <is>
          <t>Outside the repo.</t>
        </is>
      </c>
      <c r="V198" s="6" t="inlineStr">
        <is>
          <t>Repaired or disclosed.</t>
        </is>
      </c>
      <c r="W198" s="6" t="inlineStr"/>
      <c r="X198" s="6" t="inlineStr"/>
      <c r="Y198" s="6" t="inlineStr"/>
      <c r="Z198" s="6" t="inlineStr"/>
      <c r="AA198" s="6" t="inlineStr"/>
      <c r="AB198" s="6" t="inlineStr">
        <is>
          <t>RECORD</t>
        </is>
      </c>
      <c r="AC198" s="6" t="inlineStr">
        <is>
          <t>n/a (sub-item)</t>
        </is>
      </c>
      <c r="AD198" s="6" t="inlineStr">
        <is>
          <t>NEW (SRC-11 sub-row)</t>
        </is>
      </c>
      <c r="AE198" s="6" t="inlineStr">
        <is>
          <t>2026-10-19</t>
        </is>
      </c>
      <c r="AF198" s="6" t="inlineStr">
        <is>
          <t>Outside repo (SRC-11 D5)</t>
        </is>
      </c>
      <c r="AG198" s="6" t="inlineStr"/>
      <c r="AH198" s="6" t="inlineStr">
        <is>
          <t>No</t>
        </is>
      </c>
      <c r="AI198" s="6" t="inlineStr"/>
      <c r="AJ198" s="6" t="inlineStr">
        <is>
          <t>SRC-11 section D5</t>
        </is>
      </c>
      <c r="AK198" s="6" t="inlineStr">
        <is>
          <t>SRC-06 P10</t>
        </is>
      </c>
      <c r="AL198" s="6" t="inlineStr">
        <is>
          <t>S25</t>
        </is>
      </c>
    </row>
    <row r="199" ht="40.5" customHeight="1">
      <c r="A199" s="5" t="inlineStr">
        <is>
          <t>C-P03</t>
        </is>
      </c>
      <c r="B199" s="6" t="inlineStr">
        <is>
          <t>First-session reconciliation not executed; safeguards untested; evidence ledger partly spot-checked; ASR pr...</t>
        </is>
      </c>
      <c r="C199" s="6" t="inlineStr">
        <is>
          <t>OPEN</t>
        </is>
      </c>
      <c r="D199" s="6">
        <f>IFERROR(INDEX(Lists!$B$2:$B$14,MATCH(C199,Lists!$A$2:$A$14,0)),"?")</f>
        <v/>
      </c>
      <c r="E199" s="6">
        <f>IF(COUNTIFS(Links!$B$2:$B$600,A199,Links!$E$2:$E$600,"Yes")&gt;0,"REVISE","")</f>
        <v/>
      </c>
      <c r="F199" s="6">
        <f>COUNTIFS(Links!$B$2:$B$600,A199,Links!$D$2:$D$600,"No",Links!$C$2:$C$600,"&lt;&gt;INFORMS")</f>
        <v/>
      </c>
      <c r="G199" s="9" t="inlineStr">
        <is>
          <t>USER-DECISION</t>
        </is>
      </c>
      <c r="H199" s="6" t="inlineStr">
        <is>
          <t>K16 Limits &amp; provenance</t>
        </is>
      </c>
      <c r="I199" s="6" t="inlineStr">
        <is>
          <t>G5 Housekeeping / no block</t>
        </is>
      </c>
      <c r="J199" s="6" t="inlineStr">
        <is>
          <t>Low</t>
        </is>
      </c>
      <c r="K199" s="6" t="n">
        <v>250</v>
      </c>
      <c r="L199" s="6" t="inlineStr">
        <is>
          <t>W5 Claim-time</t>
        </is>
      </c>
      <c r="M199" s="6" t="inlineStr">
        <is>
          <t>S25</t>
        </is>
      </c>
      <c r="N199" s="6" t="inlineStr">
        <is>
          <t>You</t>
        </is>
      </c>
      <c r="O199" s="6" t="inlineStr">
        <is>
          <t>You decide (Q-U03)</t>
        </is>
      </c>
      <c r="P199" s="6" t="inlineStr">
        <is>
          <t>No</t>
        </is>
      </c>
      <c r="Q199" s="6" t="inlineStr">
        <is>
          <t>Decision</t>
        </is>
      </c>
      <c r="R199" s="6" t="inlineStr">
        <is>
          <t>Item</t>
        </is>
      </c>
      <c r="S199" s="6" t="inlineStr"/>
      <c r="T199" s="6" t="inlineStr">
        <is>
          <t>First-session reconciliation not executed; safeguards untested; evidence ledger partly spot-checked; ASR provenance.</t>
        </is>
      </c>
      <c r="U199" s="6" t="inlineStr">
        <is>
          <t>Reconciliation still out of scope until a separate authorization.</t>
        </is>
      </c>
      <c r="V199" s="6" t="inlineStr">
        <is>
          <t>Reconciliation run only with Project A records and an AUTH; safeguards tested or accepted.</t>
        </is>
      </c>
      <c r="W199" s="6" t="inlineStr"/>
      <c r="X199" s="6" t="inlineStr">
        <is>
          <t>C-D11</t>
        </is>
      </c>
      <c r="Y199" s="6" t="inlineStr">
        <is>
          <t>Q-U03</t>
        </is>
      </c>
      <c r="Z199" s="6" t="inlineStr">
        <is>
          <t>RECORDS-AT-HAND</t>
        </is>
      </c>
      <c r="AA199" s="6" t="inlineStr">
        <is>
          <t>K0 Earlier results</t>
        </is>
      </c>
      <c r="AB199" s="6" t="inlineStr">
        <is>
          <t>ACCESS+RECORD+DEC</t>
        </is>
      </c>
      <c r="AC199" s="6" t="inlineStr">
        <is>
          <t>BOUNDARY - OPEN</t>
        </is>
      </c>
      <c r="AD199" s="6" t="inlineStr">
        <is>
          <t>UNCHANGED</t>
        </is>
      </c>
      <c r="AE199" s="6" t="inlineStr">
        <is>
          <t>2026-10-19</t>
        </is>
      </c>
      <c r="AF199" s="6" t="inlineStr">
        <is>
          <t>CLAUDE.md; CAVEATS row 14</t>
        </is>
      </c>
      <c r="AG199" s="6" t="inlineStr"/>
      <c r="AH199" s="6" t="inlineStr">
        <is>
          <t>Yes (reconciliation)</t>
        </is>
      </c>
      <c r="AI199" s="6" t="inlineStr"/>
      <c r="AJ199" s="6" t="inlineStr">
        <is>
          <t>SRC-11 canonical</t>
        </is>
      </c>
      <c r="AK199" s="6" t="inlineStr">
        <is>
          <t>SRC-06 P11-P14</t>
        </is>
      </c>
      <c r="AL199" s="6" t="inlineStr">
        <is>
          <t>S25</t>
        </is>
      </c>
    </row>
    <row r="200" ht="28" customHeight="1">
      <c r="A200" s="5" t="inlineStr">
        <is>
          <t>C-P03/P13</t>
        </is>
      </c>
      <c r="B200" s="6" t="inlineStr">
        <is>
          <t>Evidence ledger only partly spot-checked</t>
        </is>
      </c>
      <c r="C200" s="6" t="inlineStr">
        <is>
          <t>PARTLY ANSWERED</t>
        </is>
      </c>
      <c r="D200" s="6">
        <f>IFERROR(INDEX(Lists!$B$2:$B$14,MATCH(C200,Lists!$A$2:$A$14,0)),"?")</f>
        <v/>
      </c>
      <c r="E200" s="6">
        <f>IF(COUNTIFS(Links!$B$2:$B$600,A200,Links!$E$2:$E$600,"Yes")&gt;0,"REVISE","")</f>
        <v/>
      </c>
      <c r="F200" s="6">
        <f>COUNTIFS(Links!$B$2:$B$600,A200,Links!$D$2:$D$600,"No",Links!$C$2:$C$600,"&lt;&gt;INFORMS")</f>
        <v/>
      </c>
      <c r="G200" s="8" t="inlineStr">
        <is>
          <t>RECORDS-AT-HAND</t>
        </is>
      </c>
      <c r="H200" s="6" t="inlineStr">
        <is>
          <t>K16 Limits &amp; provenance</t>
        </is>
      </c>
      <c r="I200" s="6" t="inlineStr">
        <is>
          <t>G5 Housekeeping / no block</t>
        </is>
      </c>
      <c r="J200" s="6" t="inlineStr">
        <is>
          <t>Low</t>
        </is>
      </c>
      <c r="K200" s="6" t="n">
        <v>251</v>
      </c>
      <c r="L200" s="6" t="inlineStr">
        <is>
          <t>W5 Claim-time</t>
        </is>
      </c>
      <c r="M200" s="6" t="inlineStr">
        <is>
          <t>S25</t>
        </is>
      </c>
      <c r="N200" s="6" t="inlineStr">
        <is>
          <t>You</t>
        </is>
      </c>
      <c r="O200" s="6" t="inlineStr">
        <is>
          <t>Lead drafts the fix; you approve</t>
        </is>
      </c>
      <c r="P200" s="6" t="inlineStr">
        <is>
          <t>Partly</t>
        </is>
      </c>
      <c r="Q200" s="6" t="inlineStr">
        <is>
          <t>Record fix</t>
        </is>
      </c>
      <c r="R200" s="6" t="inlineStr">
        <is>
          <t>Sub-item</t>
        </is>
      </c>
      <c r="S200" s="6" t="inlineStr">
        <is>
          <t>C-P03</t>
        </is>
      </c>
      <c r="T200" s="6" t="inlineStr">
        <is>
          <t>SRC-06 P13: the evidence ledger was partly spot-checked.</t>
        </is>
      </c>
      <c r="U200" s="6" t="inlineStr">
        <is>
          <t>Hash integrity is checked mechanically; content was not verified.</t>
        </is>
      </c>
      <c r="V200" s="6" t="inlineStr">
        <is>
          <t>Repaired or disclosed.</t>
        </is>
      </c>
      <c r="W200" s="6" t="inlineStr"/>
      <c r="X200" s="6" t="inlineStr"/>
      <c r="Y200" s="6" t="inlineStr"/>
      <c r="Z200" s="6" t="inlineStr"/>
      <c r="AA200" s="6" t="inlineStr"/>
      <c r="AB200" s="6" t="inlineStr">
        <is>
          <t>RECORD+DEC</t>
        </is>
      </c>
      <c r="AC200" s="6" t="inlineStr">
        <is>
          <t>n/a (sub-item)</t>
        </is>
      </c>
      <c r="AD200" s="6" t="inlineStr">
        <is>
          <t>NEW (SRC-11 sub-row)</t>
        </is>
      </c>
      <c r="AE200" s="6" t="inlineStr">
        <is>
          <t>2026-10-19</t>
        </is>
      </c>
      <c r="AF200" s="6" t="inlineStr">
        <is>
          <t>verify_workspace.py (hash integrity, pass 875)</t>
        </is>
      </c>
      <c r="AG200" s="6" t="inlineStr"/>
      <c r="AH200" s="6" t="inlineStr">
        <is>
          <t>Yes (reconciliation)</t>
        </is>
      </c>
      <c r="AI200" s="6" t="inlineStr"/>
      <c r="AJ200" s="6" t="inlineStr">
        <is>
          <t>SRC-11 section D5</t>
        </is>
      </c>
      <c r="AK200" s="6" t="inlineStr">
        <is>
          <t>SRC-06 P13</t>
        </is>
      </c>
      <c r="AL200" s="6" t="inlineStr">
        <is>
          <t>S25</t>
        </is>
      </c>
    </row>
    <row r="201" ht="15" customHeight="1">
      <c r="A201" s="5" t="n"/>
      <c r="B201" s="6" t="n"/>
      <c r="C201" s="6" t="n"/>
      <c r="D201" s="6" t="n"/>
      <c r="E201" s="6" t="n"/>
      <c r="F201" s="6" t="n"/>
      <c r="G201" s="8" t="n"/>
      <c r="H201" s="6" t="n"/>
      <c r="I201" s="6" t="n"/>
      <c r="J201" s="6" t="n"/>
      <c r="K201" s="6" t="n"/>
      <c r="L201" s="6" t="n"/>
      <c r="M201" s="6" t="n"/>
      <c r="N201" s="6" t="n"/>
      <c r="O201" s="6" t="n"/>
      <c r="P201" s="6" t="n"/>
      <c r="Q201" s="6" t="n"/>
      <c r="R201" s="6" t="n"/>
      <c r="S201" s="6" t="n"/>
      <c r="T201" s="6" t="n"/>
      <c r="U201" s="6" t="n"/>
      <c r="V201" s="6" t="n"/>
      <c r="W201" s="6" t="n"/>
      <c r="X201" s="6" t="n"/>
      <c r="Y201" s="6" t="n"/>
      <c r="Z201" s="6" t="n"/>
      <c r="AA201" s="6" t="n"/>
      <c r="AB201" s="6" t="n"/>
      <c r="AC201" s="6" t="n"/>
      <c r="AD201" s="6" t="n"/>
      <c r="AE201" s="6" t="n"/>
      <c r="AF201" s="6" t="n"/>
      <c r="AG201" s="6" t="n"/>
      <c r="AH201" s="6" t="n"/>
      <c r="AI201" s="6" t="n"/>
      <c r="AJ201" s="6" t="n"/>
      <c r="AK201" s="6" t="n"/>
      <c r="AL201" s="6" t="n"/>
    </row>
    <row r="202" ht="15" customHeight="1">
      <c r="A202" s="5" t="n"/>
      <c r="B202" s="6" t="n"/>
      <c r="C202" s="6" t="n"/>
      <c r="D202" s="6" t="n"/>
      <c r="E202" s="6" t="n"/>
      <c r="F202" s="6" t="n"/>
      <c r="G202" s="8" t="n"/>
      <c r="H202" s="6" t="n"/>
      <c r="I202" s="6" t="n"/>
      <c r="J202" s="6" t="n"/>
      <c r="K202" s="6" t="n"/>
      <c r="L202" s="6" t="n"/>
      <c r="M202" s="6" t="n"/>
      <c r="N202" s="6" t="n"/>
      <c r="O202" s="6" t="n"/>
      <c r="P202" s="6" t="n"/>
      <c r="Q202" s="6" t="n"/>
      <c r="R202" s="6" t="n"/>
      <c r="S202" s="6" t="n"/>
      <c r="T202" s="6" t="n"/>
      <c r="U202" s="6" t="n"/>
      <c r="V202" s="6" t="n"/>
      <c r="W202" s="6" t="n"/>
      <c r="X202" s="6" t="n"/>
      <c r="Y202" s="6" t="n"/>
      <c r="Z202" s="6" t="n"/>
      <c r="AA202" s="6" t="n"/>
      <c r="AB202" s="6" t="n"/>
      <c r="AC202" s="6" t="n"/>
      <c r="AD202" s="6" t="n"/>
      <c r="AE202" s="6" t="n"/>
      <c r="AF202" s="6" t="n"/>
      <c r="AG202" s="6" t="n"/>
      <c r="AH202" s="6" t="n"/>
      <c r="AI202" s="6" t="n"/>
      <c r="AJ202" s="6" t="n"/>
      <c r="AK202" s="6" t="n"/>
      <c r="AL202" s="6" t="n"/>
    </row>
    <row r="203" ht="15" customHeight="1">
      <c r="A203" s="5" t="n"/>
      <c r="B203" s="6" t="n"/>
      <c r="C203" s="6" t="n"/>
      <c r="D203" s="6" t="n"/>
      <c r="E203" s="6" t="n"/>
      <c r="F203" s="6" t="n"/>
      <c r="G203" s="8" t="n"/>
      <c r="H203" s="6" t="n"/>
      <c r="I203" s="6" t="n"/>
      <c r="J203" s="6" t="n"/>
      <c r="K203" s="6" t="n"/>
      <c r="L203" s="6" t="n"/>
      <c r="M203" s="6" t="n"/>
      <c r="N203" s="6" t="n"/>
      <c r="O203" s="6" t="n"/>
      <c r="P203" s="6" t="n"/>
      <c r="Q203" s="6" t="n"/>
      <c r="R203" s="6" t="n"/>
      <c r="S203" s="6" t="n"/>
      <c r="T203" s="6" t="n"/>
      <c r="U203" s="6" t="n"/>
      <c r="V203" s="6" t="n"/>
      <c r="W203" s="6" t="n"/>
      <c r="X203" s="6" t="n"/>
      <c r="Y203" s="6" t="n"/>
      <c r="Z203" s="6" t="n"/>
      <c r="AA203" s="6" t="n"/>
      <c r="AB203" s="6" t="n"/>
      <c r="AC203" s="6" t="n"/>
      <c r="AD203" s="6" t="n"/>
      <c r="AE203" s="6" t="n"/>
      <c r="AF203" s="6" t="n"/>
      <c r="AG203" s="6" t="n"/>
      <c r="AH203" s="6" t="n"/>
      <c r="AI203" s="6" t="n"/>
      <c r="AJ203" s="6" t="n"/>
      <c r="AK203" s="6" t="n"/>
      <c r="AL203" s="6" t="n"/>
    </row>
    <row r="204" ht="15" customHeight="1">
      <c r="A204" s="5" t="n"/>
      <c r="B204" s="6" t="n"/>
      <c r="C204" s="6" t="n"/>
      <c r="D204" s="6" t="n"/>
      <c r="E204" s="6" t="n"/>
      <c r="F204" s="6" t="n"/>
      <c r="G204" s="9" t="n"/>
      <c r="H204" s="6" t="n"/>
      <c r="I204" s="6" t="n"/>
      <c r="J204" s="6" t="n"/>
      <c r="K204" s="6" t="n"/>
      <c r="L204" s="6" t="n"/>
      <c r="M204" s="6" t="n"/>
      <c r="N204" s="6" t="n"/>
      <c r="O204" s="6" t="n"/>
      <c r="P204" s="6" t="n"/>
      <c r="Q204" s="6" t="n"/>
      <c r="R204" s="6" t="n"/>
      <c r="S204" s="6" t="n"/>
      <c r="T204" s="6" t="n"/>
      <c r="U204" s="6" t="n"/>
      <c r="V204" s="6" t="n"/>
      <c r="W204" s="6" t="n"/>
      <c r="X204" s="6" t="n"/>
      <c r="Y204" s="6" t="n"/>
      <c r="Z204" s="6" t="n"/>
      <c r="AA204" s="6" t="n"/>
      <c r="AB204" s="6" t="n"/>
      <c r="AC204" s="6" t="n"/>
      <c r="AD204" s="6" t="n"/>
      <c r="AE204" s="6" t="n"/>
      <c r="AF204" s="6" t="n"/>
      <c r="AG204" s="6" t="n"/>
      <c r="AH204" s="6" t="n"/>
      <c r="AI204" s="6" t="n"/>
      <c r="AJ204" s="6" t="n"/>
      <c r="AK204" s="6" t="n"/>
      <c r="AL204" s="6" t="n"/>
    </row>
    <row r="205" ht="15" customHeight="1">
      <c r="A205" s="5" t="n"/>
      <c r="B205" s="6" t="n"/>
      <c r="C205" s="6" t="n"/>
      <c r="D205" s="6" t="n"/>
      <c r="E205" s="6" t="n"/>
      <c r="F205" s="6" t="n"/>
      <c r="G205" s="8" t="n"/>
      <c r="H205" s="6" t="n"/>
      <c r="I205" s="6" t="n"/>
      <c r="J205" s="6" t="n"/>
      <c r="K205" s="6" t="n"/>
      <c r="L205" s="6" t="n"/>
      <c r="M205" s="6" t="n"/>
      <c r="N205" s="6" t="n"/>
      <c r="O205" s="6" t="n"/>
      <c r="P205" s="6" t="n"/>
      <c r="Q205" s="6" t="n"/>
      <c r="R205" s="6" t="n"/>
      <c r="S205" s="6" t="n"/>
      <c r="T205" s="6" t="n"/>
      <c r="U205" s="6" t="n"/>
      <c r="V205" s="6" t="n"/>
      <c r="W205" s="6" t="n"/>
      <c r="X205" s="6" t="n"/>
      <c r="Y205" s="6" t="n"/>
      <c r="Z205" s="6" t="n"/>
      <c r="AA205" s="6" t="n"/>
      <c r="AB205" s="6" t="n"/>
      <c r="AC205" s="6" t="n"/>
      <c r="AD205" s="6" t="n"/>
      <c r="AE205" s="6" t="n"/>
      <c r="AF205" s="6" t="n"/>
      <c r="AG205" s="6" t="n"/>
      <c r="AH205" s="6" t="n"/>
      <c r="AI205" s="6" t="n"/>
      <c r="AJ205" s="6" t="n"/>
      <c r="AK205" s="6" t="n"/>
      <c r="AL205" s="6" t="n"/>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00"/>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5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AS-01</t>
        </is>
      </c>
      <c r="B27" s="6" t="inlineStr">
        <is>
          <t>Supervisor assertion A1: Semantic search with a strong encoder always beats keyword search</t>
        </is>
      </c>
      <c r="C27" s="6" t="inlineStr">
        <is>
          <t>CLOSED - BY EVIDENCE</t>
        </is>
      </c>
      <c r="D27" s="6" t="inlineStr">
        <is>
          <t>No</t>
        </is>
      </c>
      <c r="E27" s="6" t="inlineStr"/>
      <c r="F27" s="6" t="inlineStr"/>
      <c r="G27" s="11" t="inlineStr">
        <is>
          <t>LITERATURE-DIRECTED</t>
        </is>
      </c>
      <c r="H27" s="6" t="inlineStr">
        <is>
          <t>K14 Source &amp; vendor verification</t>
        </is>
      </c>
      <c r="I27" s="6" t="inlineStr">
        <is>
          <t>G4 Before claims</t>
        </is>
      </c>
      <c r="J27" s="6" t="inlineStr">
        <is>
          <t>Normal</t>
        </is>
      </c>
      <c r="K27" s="6" t="n">
        <v>120</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A1: Semantic search with a strong encoder always beats keyword search. Lexical vs dense vs hybrid is task- and data-dependent; testable in the literature.</t>
        </is>
      </c>
      <c r="U2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 Batch 14 (2026-10-20): literature check done for the statement that semantic search with a strong encoder always beats keyword search. The stored sources report that the outcome depends on encoder class, instruction use, dataset and metric: ToolRet Table 4 (without instruction) BM25s is 15th of 26 by average N@10 (22.32) and above gtr-t5-large on C@10 (22.19 vs 22.09), with NV-Embed-v1 33.83, GritLM-7B 30.02 and gte-Qwen2-1.5B-instruct 28.96 above it; with instruction (Table 5, page image) BM25s is 36.46 against 42.71 (NV-Embed-v1), 45.96 (gte-Qwen2-1.5B-instruct) and 47.52 (bge-reranker-v2-gemma); ToolDreamer averages BM25 29.55, text-embedding-3-small 32.53, NV-Embed-v2 37.79, Qwen3-8B 38.43, and says BM25 matches MiniLM and even text-embedding-3-small in places while dense models are 'fundamentally necessary'; the StackOne vendor evaluation (270 tools) gives top-1 14 / 21 / 38% (BM25 / BM25+TF-IDF / embeddings) and top-5 87 / 90 / 85%. Read in these terms: strong instruction-following encoders and rerankers beat BM25s in both ToolRet settings and embeddings lead at top-1; plain mid-size encoders do not, and at top-5 in the vendor evaluation the hybrid is ahead of embeddings. A universal 'always' is in tension with the vendor top-5 and the ToolRet rows; the statement in the form 'a strong instruction-following encoder beats keyword retrieval on retrieval metrics' is consistent with the sources. Our setting is untested; the selector type is a decision (C-D08/RANKER) and a candidate arm.</t>
        </is>
      </c>
      <c r="V27" s="6" t="inlineStr">
        <is>
          <t>Closed 2026-10-20: criterion 'lexical vs dense vs hybrid is task- and data-dependent; testable in the literature' met.</t>
        </is>
      </c>
      <c r="W27" s="6" t="inlineStr"/>
      <c r="X27" s="6" t="inlineStr"/>
      <c r="Y27" s="6" t="inlineStr"/>
      <c r="Z27" s="6" t="inlineStr"/>
      <c r="AA27" s="6" t="inlineStr"/>
      <c r="AB27" s="6" t="inlineStr">
        <is>
          <t>SOURCE</t>
        </is>
      </c>
      <c r="AC27" s="6" t="inlineStr">
        <is>
          <t>n/a (REGISTER E)</t>
        </is>
      </c>
      <c r="AD27" s="6" t="inlineStr">
        <is>
          <t>NEW (repo sweep)</t>
        </is>
      </c>
      <c r="AE27" s="6" t="inlineStr">
        <is>
          <t>2026-10-20</t>
        </is>
      </c>
      <c r="AF27" s="6" t="inlineStr">
        <is>
          <t>FND-0027 (findings/SUM-0029); FND-0018 (findings/SUM-0020); EXT-0181, EXT-0210; evidence/literature-20261019/pages/INDEX.md (ToolRet p7)</t>
        </is>
      </c>
      <c r="AG27" s="6" t="inlineStr"/>
      <c r="AH27" s="6" t="inlineStr">
        <is>
          <t>No</t>
        </is>
      </c>
      <c r="AI27" s="6" t="inlineStr">
        <is>
          <t>Closed 2026-10-20 as a literature check done: the sources are mixed by encoder class and metric; the supervisor's statement narrows to strong instruction-following encoders; nothing tested in our setting.</t>
        </is>
      </c>
      <c r="AJ27" s="6" t="inlineStr">
        <is>
          <t>repo: REGISTER section E / EXT-0004</t>
        </is>
      </c>
      <c r="AK27" s="6" t="inlineStr">
        <is>
          <t>REQ-A1 A1</t>
        </is>
      </c>
      <c r="AL27" s="6" t="inlineStr">
        <is>
          <t>S11</t>
        </is>
      </c>
    </row>
    <row r="28" ht="300" customHeight="1">
      <c r="A28" s="5" t="inlineStr">
        <is>
          <t>AS-03</t>
        </is>
      </c>
      <c r="B28" s="6" t="inlineStr">
        <is>
          <t>Supervisor assertion A3: Keyword and symbolic search 'will never work here'</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121</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A3: Keyword and symbolic search 'will never work here'. Conflicts with A1's framing (T2).</t>
        </is>
      </c>
      <c r="U28"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Batch 14 (2026-10-20): literature check done for the statement that keyword and symbolic search will never work here. The stored sources report keyword retrieval doing moderately on retrieval metrics: ToolRet BM25s average N@10 22.32 (15th of 26 rows; best row 35.51) and 36.46 with instruction; ToolDreamer BM25 29.55 against 38.43 for the best dense row and 33.80 after description generation; StackOne BM25 top-5 87%; ToolMenuBench keyword top-5 22.1% below all tools 32.1% in a synthetic mocked setting (EXT-0207) while the symbolic CMTF with annotated contracts reaches 85.7% (EXT-0207, see A2). A reading 'never competitive with the strongest encoders' is consistent with the ToolRet and ToolDreamer rows; 'never works' in the sense of 'useless' is in tension with the same rows; 'here' (our setting, a large MCP-style catalogue where the agent must discover tools) is not measured by any of them.</t>
        </is>
      </c>
      <c r="V28" s="6" t="inlineStr">
        <is>
          <t>Closed 2026-10-20: criterion met (the conflict with A1's framing is recorded; both are task- and data-dependent in the sources).</t>
        </is>
      </c>
      <c r="W28" s="6" t="inlineStr"/>
      <c r="X28" s="6" t="inlineStr"/>
      <c r="Y28" s="6" t="inlineStr"/>
      <c r="Z28" s="6" t="inlineStr"/>
      <c r="AA28" s="6" t="inlineStr"/>
      <c r="AB28" s="6" t="inlineStr">
        <is>
          <t>SOURCE</t>
        </is>
      </c>
      <c r="AC28" s="6" t="inlineStr">
        <is>
          <t>n/a (REGISTER E)</t>
        </is>
      </c>
      <c r="AD28" s="6" t="inlineStr">
        <is>
          <t>NEW (repo sweep)</t>
        </is>
      </c>
      <c r="AE28" s="6" t="inlineStr">
        <is>
          <t>2026-10-20</t>
        </is>
      </c>
      <c r="AF28" s="6" t="inlineStr">
        <is>
          <t>FND-0027; FND-0018; FND-0031; EXT-0207, EXT-0210</t>
        </is>
      </c>
      <c r="AG28" s="6" t="inlineStr"/>
      <c r="AH28" s="6" t="inlineStr">
        <is>
          <t>No</t>
        </is>
      </c>
      <c r="AI28" s="6" t="inlineStr">
        <is>
          <t>Closed 2026-10-20 as a literature check done: keyword retrieval is neither useless nor competitive with the strongest encoders on the stored metrics; our setting untested.</t>
        </is>
      </c>
      <c r="AJ28" s="6" t="inlineStr">
        <is>
          <t>repo: REGISTER section E / EXT-0004</t>
        </is>
      </c>
      <c r="AK28" s="6" t="inlineStr">
        <is>
          <t>REQ-A1 A3</t>
        </is>
      </c>
      <c r="AL28" s="6" t="inlineStr">
        <is>
          <t>S11</t>
        </is>
      </c>
    </row>
    <row r="29" ht="300" customHeight="1">
      <c r="A29" s="5" t="inlineStr">
        <is>
          <t>AS-04</t>
        </is>
      </c>
      <c r="B29" s="6" t="inlineStr">
        <is>
          <t>Supervisor assertion A4: Tool use works because descriptions give the LLM an assumption about behaviour</t>
        </is>
      </c>
      <c r="C29" s="6" t="inlineStr">
        <is>
          <t>CLOSED - BY EVIDENCE</t>
        </is>
      </c>
      <c r="D29" s="6" t="inlineStr">
        <is>
          <t>No</t>
        </is>
      </c>
      <c r="E29" s="6" t="inlineStr"/>
      <c r="F29" s="6" t="inlineStr"/>
      <c r="G29" s="11" t="inlineStr">
        <is>
          <t>LITERATURE-DIRECTED</t>
        </is>
      </c>
      <c r="H29" s="6" t="inlineStr">
        <is>
          <t>K14 Source &amp; vendor verification</t>
        </is>
      </c>
      <c r="I29" s="6" t="inlineStr">
        <is>
          <t>G5 Housekeeping / no block</t>
        </is>
      </c>
      <c r="J29" s="6" t="inlineStr">
        <is>
          <t>Low</t>
        </is>
      </c>
      <c r="K29" s="6" t="n">
        <v>122</v>
      </c>
      <c r="L29" s="6" t="inlineStr">
        <is>
          <t>W2 Desk work (no model runs)</t>
        </is>
      </c>
      <c r="M29" s="6" t="inlineStr">
        <is>
          <t>S13</t>
        </is>
      </c>
      <c r="N29" s="6" t="inlineStr">
        <is>
          <t>Lead / team</t>
        </is>
      </c>
      <c r="O29" s="6" t="inlineStr">
        <is>
          <t>Closed; moved to Archive</t>
        </is>
      </c>
      <c r="P29" s="6" t="inlineStr">
        <is>
          <t>No</t>
        </is>
      </c>
      <c r="Q29" s="6" t="inlineStr">
        <is>
          <t>Claim to test</t>
        </is>
      </c>
      <c r="R29" s="6" t="inlineStr">
        <is>
          <t>Item</t>
        </is>
      </c>
      <c r="S29" s="6" t="inlineStr"/>
      <c r="T29" s="6" t="inlineStr">
        <is>
          <t>REQ-A1 A4: Tool use works because descriptions give the LLM an assumption about behaviour. Plausible; testable (misleading-description studies).</t>
        </is>
      </c>
      <c r="U29"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9" s="6" t="inlineStr">
        <is>
          <t>Closed 2026-10-19: the misleading-description study was found, read and quantified; its limits are recorded.</t>
        </is>
      </c>
      <c r="W29" s="6" t="inlineStr"/>
      <c r="X29" s="6" t="inlineStr"/>
      <c r="Y29" s="6" t="inlineStr"/>
      <c r="Z29" s="6" t="inlineStr"/>
      <c r="AA29" s="6" t="inlineStr"/>
      <c r="AB29" s="6" t="inlineStr">
        <is>
          <t>SOURCE</t>
        </is>
      </c>
      <c r="AC29" s="6" t="inlineStr">
        <is>
          <t>n/a (REGISTER E)</t>
        </is>
      </c>
      <c r="AD29" s="6" t="inlineStr">
        <is>
          <t>NEW (repo sweep)</t>
        </is>
      </c>
      <c r="AE29" s="6" t="inlineStr">
        <is>
          <t>2026-10-19</t>
        </is>
      </c>
      <c r="AF29" s="6" t="inlineStr">
        <is>
          <t>FND-0027 (findings/SUM-0029); EXT-0209, EXT-0210, EXT-0212, EXT-0213, EXT-0214</t>
        </is>
      </c>
      <c r="AG29" s="6" t="inlineStr"/>
      <c r="AH29" s="6" t="inlineStr">
        <is>
          <t>No</t>
        </is>
      </c>
      <c r="AI29"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9" s="6" t="inlineStr">
        <is>
          <t>repo: REGISTER section E / EXT-0004</t>
        </is>
      </c>
      <c r="AK29" s="6" t="inlineStr">
        <is>
          <t>REQ-A1 A4</t>
        </is>
      </c>
      <c r="AL29" s="6" t="inlineStr">
        <is>
          <t>S11</t>
        </is>
      </c>
    </row>
    <row r="30" ht="153" customHeight="1">
      <c r="A30" s="5" t="inlineStr">
        <is>
          <t>AS-05</t>
        </is>
      </c>
      <c r="B30" s="6" t="inlineStr">
        <is>
          <t>Supervisor assertion A5: Query expansion helps because it surfaces terms matching tool descriptions; already known, not novel</t>
        </is>
      </c>
      <c r="C30" s="6" t="inlineStr">
        <is>
          <t>CLOSED - BY EVIDENCE</t>
        </is>
      </c>
      <c r="D30" s="6" t="inlineStr">
        <is>
          <t>No</t>
        </is>
      </c>
      <c r="E30" s="6" t="inlineStr"/>
      <c r="F30" s="6" t="inlineStr"/>
      <c r="G30" s="11" t="inlineStr">
        <is>
          <t>LITERATURE-DIRECTED</t>
        </is>
      </c>
      <c r="H30" s="6" t="inlineStr">
        <is>
          <t>K14 Source &amp; vendor verification</t>
        </is>
      </c>
      <c r="I30" s="6" t="inlineStr">
        <is>
          <t>G5 Housekeeping / no block</t>
        </is>
      </c>
      <c r="J30" s="6" t="inlineStr">
        <is>
          <t>Low</t>
        </is>
      </c>
      <c r="K30" s="6" t="n">
        <v>123</v>
      </c>
      <c r="L30" s="6" t="inlineStr">
        <is>
          <t>W2 Desk work (no model runs)</t>
        </is>
      </c>
      <c r="M30" s="6" t="inlineStr">
        <is>
          <t>S13</t>
        </is>
      </c>
      <c r="N30" s="6" t="inlineStr">
        <is>
          <t>Lead / team</t>
        </is>
      </c>
      <c r="O30" s="6" t="inlineStr">
        <is>
          <t>Closed; moved to Archive</t>
        </is>
      </c>
      <c r="P30" s="6" t="inlineStr">
        <is>
          <t>No</t>
        </is>
      </c>
      <c r="Q30" s="6" t="inlineStr">
        <is>
          <t>Claim to test</t>
        </is>
      </c>
      <c r="R30" s="6" t="inlineStr">
        <is>
          <t>Item</t>
        </is>
      </c>
      <c r="S30" s="6" t="inlineStr"/>
      <c r="T30" s="6" t="inlineStr">
        <is>
          <t>REQ-A1 A5: Query expansion helps because it surfaces terms matching tool descriptions; already known, not novel. Prior-art claim to verify.</t>
        </is>
      </c>
      <c r="U30"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30" s="6" t="inlineStr">
        <is>
          <t>Closed 2026-10-19: criterion 'prior-art claim to verify' met for existence of published prior art.</t>
        </is>
      </c>
      <c r="W30" s="6" t="inlineStr"/>
      <c r="X30" s="6" t="inlineStr"/>
      <c r="Y30" s="6" t="inlineStr"/>
      <c r="Z30" s="6" t="inlineStr"/>
      <c r="AA30" s="6" t="inlineStr"/>
      <c r="AB30" s="6" t="inlineStr">
        <is>
          <t>SOURCE</t>
        </is>
      </c>
      <c r="AC30" s="6" t="inlineStr">
        <is>
          <t>n/a (REGISTER E)</t>
        </is>
      </c>
      <c r="AD30" s="6" t="inlineStr">
        <is>
          <t>NEW (repo sweep)</t>
        </is>
      </c>
      <c r="AE30" s="6" t="inlineStr">
        <is>
          <t>2026-10-19</t>
        </is>
      </c>
      <c r="AF30" s="6" t="inlineStr">
        <is>
          <t>FND-0018 (findings/SUM-0020); EXT-0181, EXT-0182; stored texts evidence/literature-20261019/lit-tooldreamer-2510.19791.txt, lit-stackone-bm25-hybrid.txt, lit-langchain-progressive-disclosure.txt, lit-embabel-unfolding-tool.txt</t>
        </is>
      </c>
      <c r="AG30" s="6" t="inlineStr">
        <is>
          <t>If the cited earlier works (Kachuee 2025 and others) are needed for a novelty statement</t>
        </is>
      </c>
      <c r="AH30" s="6" t="inlineStr">
        <is>
          <t>No</t>
        </is>
      </c>
      <c r="AI30"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30" s="6" t="inlineStr">
        <is>
          <t>repo: REGISTER section E / EXT-0004</t>
        </is>
      </c>
      <c r="AK30" s="6" t="inlineStr">
        <is>
          <t>REQ-A1 A5</t>
        </is>
      </c>
      <c r="AL30" s="6" t="inlineStr">
        <is>
          <t>S11</t>
        </is>
      </c>
    </row>
    <row r="31" ht="300" customHeight="1">
      <c r="A31" s="5" t="inlineStr">
        <is>
          <t>C-S08/VOCAB</t>
        </is>
      </c>
      <c r="B31" s="6" t="inlineStr">
        <is>
          <t>Different-vocabulary literature pass not done (agentic retrieval, tool abstention, function hallucination, MCP gateway)</t>
        </is>
      </c>
      <c r="C31" s="6" t="inlineStr">
        <is>
          <t>CLOSED - BY EVIDENCE</t>
        </is>
      </c>
      <c r="D31" s="6" t="inlineStr">
        <is>
          <t>No</t>
        </is>
      </c>
      <c r="E31" s="6" t="inlineStr"/>
      <c r="F31" s="6" t="inlineStr"/>
      <c r="G31" s="11" t="inlineStr">
        <is>
          <t>LITERATURE-DIRECTED</t>
        </is>
      </c>
      <c r="H31" s="6" t="inlineStr">
        <is>
          <t>K8 Search initiation &amp; recovery</t>
        </is>
      </c>
      <c r="I31" s="6" t="inlineStr">
        <is>
          <t>G3 Before confirmatory study</t>
        </is>
      </c>
      <c r="J31" s="6" t="inlineStr">
        <is>
          <t>Normal</t>
        </is>
      </c>
      <c r="K31" s="6" t="n">
        <v>126</v>
      </c>
      <c r="L31" s="6" t="inlineStr">
        <is>
          <t>W2 Desk work (no model runs)</t>
        </is>
      </c>
      <c r="M31" s="6" t="inlineStr">
        <is>
          <t>S13</t>
        </is>
      </c>
      <c r="N31" s="6" t="inlineStr">
        <is>
          <t>Team</t>
        </is>
      </c>
      <c r="O31" s="6" t="inlineStr">
        <is>
          <t>Closed; moved to Archive</t>
        </is>
      </c>
      <c r="P31" s="6" t="inlineStr">
        <is>
          <t>No</t>
        </is>
      </c>
      <c r="Q31" s="6" t="inlineStr">
        <is>
          <t>Scientific unknown</t>
        </is>
      </c>
      <c r="R31" s="6" t="inlineStr">
        <is>
          <t>Sub-item</t>
        </is>
      </c>
      <c r="S31" s="6" t="inlineStr">
        <is>
          <t>C-S08</t>
        </is>
      </c>
      <c r="T31" s="6" t="inlineStr">
        <is>
          <t>The search sample is search-engine driven and recent-preprint heavy; a bounded different-vocabulary pass was proposed (CH-0067, CH-0073) and is listed as not done in v4-05 section 5.</t>
        </is>
      </c>
      <c r="U31"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 Batch 14 (2026-10-20): the different-vocabulary pass was run and logged: AUTH-013 round 3 searched ToolSandbox, tool over-use, adaptive retrieval, KV-cache reuse, memory benchmarks, code mode and hallucinated tool calls and round 4 tool abstention; the AUTH-016 batch 4 added ten logged queries, including 'tool abstention agentic retrieval function hallucination MCP gateway LLM decides when to retrieve tools' (ops/threads/T-20261019-102/TASK.md); with the 27 searches of AUTH-011/013 that is 37 logged searches. None produced a source reporting a rate at which an agent starts a search for a tool it cannot see, without being told to (FND-0016, FND-0018). Saturation is NOT claimed: the sample is search-engine driven and recurrence measures what a search engine ranks (CH-0073); the stated result is 'not found in 37 logged searches and the texts read', not 'does not exist'.</t>
        </is>
      </c>
      <c r="V31" s="6" t="inlineStr">
        <is>
          <t>Closed 2026-10-20: criterion 'a bounded pass run with logged queries, saturation stated' met.</t>
        </is>
      </c>
      <c r="W31" s="6" t="inlineStr"/>
      <c r="X31" s="6" t="inlineStr"/>
      <c r="Y31" s="6" t="inlineStr">
        <is>
          <t>Q-U21</t>
        </is>
      </c>
      <c r="Z31" s="6" t="inlineStr"/>
      <c r="AA31" s="6" t="inlineStr"/>
      <c r="AB31" s="6" t="inlineStr">
        <is>
          <t>SOURCE</t>
        </is>
      </c>
      <c r="AC31" s="6" t="inlineStr">
        <is>
          <t>n/a (sub-item)</t>
        </is>
      </c>
      <c r="AD31" s="6" t="inlineStr">
        <is>
          <t>NEW (SRC-11 sub-row)</t>
        </is>
      </c>
      <c r="AE31" s="6" t="inlineStr">
        <is>
          <t>2026-10-20</t>
        </is>
      </c>
      <c r="AF31" s="6" t="inlineStr">
        <is>
          <t>ops/threads/T-20261019-102/TASK.md (query log); literature README; FND-0016, FND-0018</t>
        </is>
      </c>
      <c r="AG31" s="6" t="inlineStr"/>
      <c r="AH31" s="6" t="inlineStr">
        <is>
          <t>No (AUTH-016 covers web fetches for this item)</t>
        </is>
      </c>
      <c r="AI31" s="6" t="inlineStr">
        <is>
          <t>Closed 2026-10-20: a bounded different-vocabulary pass was run with logged queries; saturation is stated as not claimed.</t>
        </is>
      </c>
      <c r="AJ31" s="6" t="inlineStr">
        <is>
          <t>repo: v4-05 sections 1B, 3, 4; reviews RV-0006/0007</t>
        </is>
      </c>
      <c r="AK31" s="6" t="inlineStr">
        <is>
          <t>CH-0067, CH-0073</t>
        </is>
      </c>
      <c r="AL31" s="6" t="inlineStr">
        <is>
          <t>S13</t>
        </is>
      </c>
    </row>
    <row r="32" ht="240.5" customHeight="1">
      <c r="A32" s="5" t="inlineStr">
        <is>
          <t>N-6/SKILLMEM</t>
        </is>
      </c>
      <c r="B32" s="6" t="inlineStr">
        <is>
          <t>Procedural/skill-memory literature surfaced by one search, not read</t>
        </is>
      </c>
      <c r="C32" s="6" t="inlineStr">
        <is>
          <t>CLOSED - BY EVIDENCE</t>
        </is>
      </c>
      <c r="D32" s="6" t="inlineStr">
        <is>
          <t>No</t>
        </is>
      </c>
      <c r="E32" s="6" t="inlineStr"/>
      <c r="F32" s="6" t="inlineStr"/>
      <c r="G32" s="11" t="inlineStr">
        <is>
          <t>LITERATURE-DIRECTED</t>
        </is>
      </c>
      <c r="H32" s="6" t="inlineStr">
        <is>
          <t>K4 Memory &amp; sessions</t>
        </is>
      </c>
      <c r="I32" s="6" t="inlineStr">
        <is>
          <t>G3 Before confirmatory study</t>
        </is>
      </c>
      <c r="J32" s="6" t="inlineStr">
        <is>
          <t>Normal</t>
        </is>
      </c>
      <c r="K32" s="6" t="n">
        <v>127</v>
      </c>
      <c r="L32" s="6" t="inlineStr">
        <is>
          <t>W2 Desk work (no model runs)</t>
        </is>
      </c>
      <c r="M32" s="6" t="inlineStr">
        <is>
          <t>S13</t>
        </is>
      </c>
      <c r="N32" s="6" t="inlineStr">
        <is>
          <t>Lead</t>
        </is>
      </c>
      <c r="O32" s="6" t="inlineStr">
        <is>
          <t>Closed; moved to Archive</t>
        </is>
      </c>
      <c r="P32" s="6" t="inlineStr">
        <is>
          <t>No</t>
        </is>
      </c>
      <c r="Q32" s="6" t="inlineStr">
        <is>
          <t>Source check</t>
        </is>
      </c>
      <c r="R32" s="6" t="inlineStr">
        <is>
          <t>Sub-item</t>
        </is>
      </c>
      <c r="S32" s="6" t="inlineStr">
        <is>
          <t>N-6</t>
        </is>
      </c>
      <c r="T32" s="6" t="inlineStr">
        <is>
          <t>RV-0006 and v4-05: procedural or skill-memory work (surfaced by one search) may bear on cross-session tool memory and was not read [U].</t>
        </is>
      </c>
      <c r="U32"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32" s="6" t="inlineStr">
        <is>
          <t>Closed 2026-10-19: criterion 'directed search done; related work read or ruled out' met for the five texts; unread parts listed in FND-0017.</t>
        </is>
      </c>
      <c r="W32" s="6" t="inlineStr"/>
      <c r="X32" s="6" t="inlineStr"/>
      <c r="Y32" s="6" t="inlineStr"/>
      <c r="Z32" s="6" t="inlineStr"/>
      <c r="AA32" s="6" t="inlineStr"/>
      <c r="AB32" s="6" t="inlineStr">
        <is>
          <t>SOURCE</t>
        </is>
      </c>
      <c r="AC32" s="6" t="inlineStr">
        <is>
          <t>n/a (sub-item)</t>
        </is>
      </c>
      <c r="AD32" s="6" t="inlineStr">
        <is>
          <t>NEW (repo sweep)</t>
        </is>
      </c>
      <c r="AE32" s="6" t="inlineStr">
        <is>
          <t>2026-10-19</t>
        </is>
      </c>
      <c r="AF32" s="6" t="inlineStr">
        <is>
          <t>FND-0017 (findings/SUM-0019); stored texts evidence/literature-20261019/lit-skilllens-2605.08386.txt, lit-procmem-2602.01869.txt (the paper is titled Skill-Pro), lit-codemem-2512.15813.txt, lit-efficientagents-2601.14192.txt, lit-memskill-2609.16669.txt</t>
        </is>
      </c>
      <c r="AG32" s="6" t="inlineStr">
        <is>
          <t>If Graph of Skills, SkillRouter or another cited work is judged to bear on tool-existence memory</t>
        </is>
      </c>
      <c r="AH32" s="6" t="inlineStr">
        <is>
          <t>No (AUTH-016 covers web fetches for this item)</t>
        </is>
      </c>
      <c r="AI32"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32" s="6" t="inlineStr">
        <is>
          <t>repo: RV-0006; v4-05 section 1C</t>
        </is>
      </c>
      <c r="AK32" s="6" t="inlineStr"/>
      <c r="AL32" s="6" t="inlineStr">
        <is>
          <t>S13</t>
        </is>
      </c>
    </row>
    <row r="33" ht="203" customHeight="1">
      <c r="A33" s="5" t="inlineStr">
        <is>
          <t>C-R01/V4RES</t>
        </is>
      </c>
      <c r="B33" s="6" t="inlineStr">
        <is>
          <t>v4 round-2 residuals R1-R9: fixes applied but not re-verified</t>
        </is>
      </c>
      <c r="C33" s="6" t="inlineStr">
        <is>
          <t>CLOSED - BY EVIDENCE</t>
        </is>
      </c>
      <c r="D33" s="6" t="inlineStr">
        <is>
          <t>No</t>
        </is>
      </c>
      <c r="E33" s="6" t="inlineStr"/>
      <c r="F33" s="6" t="inlineStr"/>
      <c r="G33" s="8" t="inlineStr">
        <is>
          <t>RECORDS-AT-HAND</t>
        </is>
      </c>
      <c r="H33" s="6" t="inlineStr">
        <is>
          <t>K17 Record repair &amp; procedure error</t>
        </is>
      </c>
      <c r="I33" s="6" t="inlineStr">
        <is>
          <t>G4 Before claims</t>
        </is>
      </c>
      <c r="J33" s="6" t="inlineStr">
        <is>
          <t>Normal</t>
        </is>
      </c>
      <c r="K33" s="6" t="n">
        <v>141</v>
      </c>
      <c r="L33" s="6" t="inlineStr">
        <is>
          <t>W2 Desk work (no model runs)</t>
        </is>
      </c>
      <c r="M33" s="6" t="inlineStr">
        <is>
          <t>S15</t>
        </is>
      </c>
      <c r="N33" s="6" t="inlineStr">
        <is>
          <t>Lead + fresh reviewer</t>
        </is>
      </c>
      <c r="O33" s="6" t="inlineStr">
        <is>
          <t>Closed; moved to Archive</t>
        </is>
      </c>
      <c r="P33" s="6" t="inlineStr">
        <is>
          <t>Partly</t>
        </is>
      </c>
      <c r="Q33" s="6" t="inlineStr">
        <is>
          <t>Record fix</t>
        </is>
      </c>
      <c r="R33" s="6" t="inlineStr">
        <is>
          <t>Sub-item</t>
        </is>
      </c>
      <c r="S33" s="6" t="inlineStr">
        <is>
          <t>C-R01</t>
        </is>
      </c>
      <c r="T33"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3"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3" s="6" t="inlineStr">
        <is>
          <t>Closed 2026-10-19: criterion 'a fresh reviewer re-checks the last edits' met; residual defects moved to new rows.</t>
        </is>
      </c>
      <c r="W33" s="6" t="inlineStr"/>
      <c r="X33" s="6" t="inlineStr"/>
      <c r="Y33" s="6" t="inlineStr"/>
      <c r="Z33" s="6" t="inlineStr"/>
      <c r="AA33" s="6" t="inlineStr"/>
      <c r="AB33" s="6" t="inlineStr">
        <is>
          <t>RECORD+SOURCE</t>
        </is>
      </c>
      <c r="AC33" s="6" t="inlineStr">
        <is>
          <t>n/a (sub-item)</t>
        </is>
      </c>
      <c r="AD33" s="6" t="inlineStr">
        <is>
          <t>NEW (repo sweep)</t>
        </is>
      </c>
      <c r="AE33" s="6" t="inlineStr">
        <is>
          <t>2026-10-19</t>
        </is>
      </c>
      <c r="AF33" s="6" t="inlineStr">
        <is>
          <t>RV-0009 (reviews/RV-0009.md), thread T-20261019-104</t>
        </is>
      </c>
      <c r="AG33" s="6" t="inlineStr"/>
      <c r="AH33" s="6" t="inlineStr">
        <is>
          <t>No</t>
        </is>
      </c>
      <c r="AI33" s="6" t="inlineStr">
        <is>
          <t>Closed 2026-10-19: the fixes applied after RV-0005 round 2 were re-read by a fresh reviewer; verified except R1 (partly), tracked in new rows.</t>
        </is>
      </c>
      <c r="AJ33" s="6" t="inlineStr">
        <is>
          <t>repo: v4-03 section 6 / RV-0005 / RV-0007</t>
        </is>
      </c>
      <c r="AK33" s="6" t="inlineStr">
        <is>
          <t>CH-0049, CH-0055, RV-0005 R1-R9</t>
        </is>
      </c>
      <c r="AL33" s="6" t="inlineStr">
        <is>
          <t>S15</t>
        </is>
      </c>
    </row>
    <row r="34" ht="300" customHeight="1">
      <c r="A34" s="5" t="inlineStr">
        <is>
          <t>C-R03/CMTF</t>
        </is>
      </c>
      <c r="B34" s="6" t="inlineStr">
        <is>
          <t>How CMTF obtains its causal path is unverified</t>
        </is>
      </c>
      <c r="C34" s="6" t="inlineStr">
        <is>
          <t>CLOSED - BY EVIDENCE</t>
        </is>
      </c>
      <c r="D34" s="6" t="inlineStr">
        <is>
          <t>No</t>
        </is>
      </c>
      <c r="E34" s="6" t="inlineStr"/>
      <c r="F34" s="6" t="inlineStr"/>
      <c r="G34" s="14" t="inlineStr">
        <is>
          <t>SOURCE-REREAD</t>
        </is>
      </c>
      <c r="H34" s="6" t="inlineStr">
        <is>
          <t>K17 Record repair &amp; procedure error</t>
        </is>
      </c>
      <c r="I34" s="6" t="inlineStr">
        <is>
          <t>G4 Before claims</t>
        </is>
      </c>
      <c r="J34" s="6" t="inlineStr">
        <is>
          <t>Normal</t>
        </is>
      </c>
      <c r="K34" s="6" t="n">
        <v>151</v>
      </c>
      <c r="L34" s="6" t="inlineStr">
        <is>
          <t>W2 Desk work (no model runs)</t>
        </is>
      </c>
      <c r="M34" s="6" t="inlineStr">
        <is>
          <t>S15</t>
        </is>
      </c>
      <c r="N34" s="6" t="inlineStr">
        <is>
          <t>Lead + fresh reviewer</t>
        </is>
      </c>
      <c r="O34" s="6" t="inlineStr">
        <is>
          <t>Closed; moved to Archive</t>
        </is>
      </c>
      <c r="P34" s="6" t="inlineStr">
        <is>
          <t>Yes - stored text, unread</t>
        </is>
      </c>
      <c r="Q34" s="6" t="inlineStr">
        <is>
          <t>Record fix</t>
        </is>
      </c>
      <c r="R34" s="6" t="inlineStr">
        <is>
          <t>Sub-item</t>
        </is>
      </c>
      <c r="S34" s="6" t="inlineStr">
        <is>
          <t>C-R03</t>
        </is>
      </c>
      <c r="T34" s="6" t="inlineStr">
        <is>
          <t>ToolMenuBench's best method (CMTF, 85.7% at 1,125 tokens) is described as using 'the next causally necessary action'; whether it uses information a deployed policy would not have is not verified.</t>
        </is>
      </c>
      <c r="U34"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4" s="6" t="inlineStr">
        <is>
          <t>Closed 2026-10-19: the stored texts say how the causal path is obtained; the brief's 'suggests it uses information a deployed policy would not have' is consistent with them.</t>
        </is>
      </c>
      <c r="W34" s="6" t="inlineStr"/>
      <c r="X34" s="6" t="inlineStr"/>
      <c r="Y34" s="6" t="inlineStr"/>
      <c r="Z34" s="6" t="inlineStr"/>
      <c r="AA34" s="6" t="inlineStr"/>
      <c r="AB34" s="6" t="inlineStr">
        <is>
          <t>RECORD+SOURCE</t>
        </is>
      </c>
      <c r="AC34" s="6" t="inlineStr">
        <is>
          <t>n/a (sub-item)</t>
        </is>
      </c>
      <c r="AD34" s="6" t="inlineStr">
        <is>
          <t>NEW (repo sweep)</t>
        </is>
      </c>
      <c r="AE34" s="6" t="inlineStr">
        <is>
          <t>2026-10-19</t>
        </is>
      </c>
      <c r="AF34" s="6" t="inlineStr">
        <is>
          <t>FND-0025 (findings/SUM-0027); EXT-0205, EXT-0206, EXT-0207, EXT-0208</t>
        </is>
      </c>
      <c r="AG34" s="6" t="inlineStr"/>
      <c r="AH34" s="6" t="inlineStr">
        <is>
          <t>No</t>
        </is>
      </c>
      <c r="AI34" s="6" t="inlineStr">
        <is>
          <t>Closed 2026-10-19: CMTF uses an annotated goal state in ToolMenuBench (given, not inferred); GIST-CMTF infers it among candidates; no deployment evidence.</t>
        </is>
      </c>
      <c r="AJ34" s="6" t="inlineStr">
        <is>
          <t>repo: v4-03 section 6 / RV-0005 / RV-0007</t>
        </is>
      </c>
      <c r="AK34" s="6" t="inlineStr">
        <is>
          <t>RV-0005 R3</t>
        </is>
      </c>
      <c r="AL34" s="6" t="inlineStr">
        <is>
          <t>S15</t>
        </is>
      </c>
    </row>
    <row r="35" ht="215.5" customHeight="1">
      <c r="A35" s="5" t="inlineStr">
        <is>
          <t>C-R03/DIGESTS</t>
        </is>
      </c>
      <c r="B35" s="6" t="inlineStr">
        <is>
          <t>S4F/S4G digest contexts not read by the lead (R8)</t>
        </is>
      </c>
      <c r="C35" s="6" t="inlineStr">
        <is>
          <t>CLOSED - BY EVIDENCE</t>
        </is>
      </c>
      <c r="D35" s="6" t="inlineStr">
        <is>
          <t>No</t>
        </is>
      </c>
      <c r="E35" s="6" t="inlineStr"/>
      <c r="F35" s="6" t="inlineStr"/>
      <c r="G35" s="14" t="inlineStr">
        <is>
          <t>SOURCE-REREAD</t>
        </is>
      </c>
      <c r="H35" s="6" t="inlineStr">
        <is>
          <t>K17 Record repair &amp; procedure error</t>
        </is>
      </c>
      <c r="I35" s="6" t="inlineStr">
        <is>
          <t>G4 Before claims</t>
        </is>
      </c>
      <c r="J35" s="6" t="inlineStr">
        <is>
          <t>Normal</t>
        </is>
      </c>
      <c r="K35" s="6" t="n">
        <v>152</v>
      </c>
      <c r="L35" s="6" t="inlineStr">
        <is>
          <t>W2 Desk work (no model runs)</t>
        </is>
      </c>
      <c r="M35" s="6" t="inlineStr">
        <is>
          <t>S15</t>
        </is>
      </c>
      <c r="N35" s="6" t="inlineStr">
        <is>
          <t>Lead + fresh reviewer</t>
        </is>
      </c>
      <c r="O35" s="6" t="inlineStr">
        <is>
          <t>Closed; moved to Archive</t>
        </is>
      </c>
      <c r="P35" s="6" t="inlineStr">
        <is>
          <t>Yes - stored text, unread</t>
        </is>
      </c>
      <c r="Q35" s="6" t="inlineStr">
        <is>
          <t>Record fix</t>
        </is>
      </c>
      <c r="R35" s="6" t="inlineStr">
        <is>
          <t>Sub-item</t>
        </is>
      </c>
      <c r="S35" s="6" t="inlineStr">
        <is>
          <t>C-R03</t>
        </is>
      </c>
      <c r="T35" s="6" t="inlineStr">
        <is>
          <t>'not clean' is attributed to S4G line 23 and S4F line 41 says '(U)'; the lead did not read the digests beyond the quoted lines.</t>
        </is>
      </c>
      <c r="U35"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5" s="6" t="inlineStr">
        <is>
          <t>Closed 2026-10-19: criterion 'digest lines read in context' met.</t>
        </is>
      </c>
      <c r="W35" s="6" t="inlineStr"/>
      <c r="X35" s="6" t="inlineStr"/>
      <c r="Y35" s="6" t="inlineStr"/>
      <c r="Z35" s="6" t="inlineStr"/>
      <c r="AA35" s="6" t="inlineStr"/>
      <c r="AB35" s="6" t="inlineStr">
        <is>
          <t>RECORD+SOURCE</t>
        </is>
      </c>
      <c r="AC35" s="6" t="inlineStr">
        <is>
          <t>n/a (sub-item)</t>
        </is>
      </c>
      <c r="AD35" s="6" t="inlineStr">
        <is>
          <t>NEW (repo sweep)</t>
        </is>
      </c>
      <c r="AE35" s="6" t="inlineStr">
        <is>
          <t>2026-10-19</t>
        </is>
      </c>
      <c r="AF35" s="6" t="inlineStr">
        <is>
          <t>evidence/governing/stage-reports/S4G-SELECTION-READY-BRIEF-20261015.md:23; evidence/governing/stage-reports/S4F-VEHICLE-FEASIBILITY-REPORT-20261015.md:41; FND-0020 (findings/SUM-0022)</t>
        </is>
      </c>
      <c r="AG35" s="6" t="inlineStr"/>
      <c r="AH35" s="6" t="inlineStr">
        <is>
          <t>No</t>
        </is>
      </c>
      <c r="AI35" s="6" t="inlineStr">
        <is>
          <t>Closed 2026-10-19: the 'not clean' wording in S4G is an interpretation of an S4F unknown (U); the historical records are not rewritten.</t>
        </is>
      </c>
      <c r="AJ35" s="6" t="inlineStr">
        <is>
          <t>repo: v4-03 section 6 / RV-0005 / RV-0007</t>
        </is>
      </c>
      <c r="AK35" s="6" t="inlineStr">
        <is>
          <t>RV-0005 R8</t>
        </is>
      </c>
      <c r="AL35" s="6" t="inlineStr">
        <is>
          <t>S15</t>
        </is>
      </c>
    </row>
    <row r="36" ht="300" customHeight="1">
      <c r="A36" s="5" t="inlineStr">
        <is>
          <t>C-R03/ROUND45</t>
        </is>
      </c>
      <c r="B36" s="6" t="inlineStr">
        <is>
          <t>Literature rounds 4-5 and the corrected text were not challenged</t>
        </is>
      </c>
      <c r="C36" s="6" t="inlineStr">
        <is>
          <t>CLOSED - BY EVIDENCE</t>
        </is>
      </c>
      <c r="D36" s="6" t="inlineStr">
        <is>
          <t>No</t>
        </is>
      </c>
      <c r="E36" s="6" t="inlineStr"/>
      <c r="F36" s="6" t="inlineStr"/>
      <c r="G36" s="14" t="inlineStr">
        <is>
          <t>SOURCE-REREAD</t>
        </is>
      </c>
      <c r="H36" s="6" t="inlineStr">
        <is>
          <t>K17 Record repair &amp; procedure error</t>
        </is>
      </c>
      <c r="I36" s="6" t="inlineStr">
        <is>
          <t>G4 Before claims</t>
        </is>
      </c>
      <c r="J36" s="6" t="inlineStr">
        <is>
          <t>Normal</t>
        </is>
      </c>
      <c r="K36" s="6" t="n">
        <v>153</v>
      </c>
      <c r="L36" s="6" t="inlineStr">
        <is>
          <t>W2 Desk work (no model runs)</t>
        </is>
      </c>
      <c r="M36" s="6" t="inlineStr">
        <is>
          <t>S15</t>
        </is>
      </c>
      <c r="N36" s="6" t="inlineStr">
        <is>
          <t>Lead + fresh reviewer</t>
        </is>
      </c>
      <c r="O36" s="6" t="inlineStr">
        <is>
          <t>Closed; moved to Archive</t>
        </is>
      </c>
      <c r="P36" s="6" t="inlineStr">
        <is>
          <t>Partly</t>
        </is>
      </c>
      <c r="Q36" s="6" t="inlineStr">
        <is>
          <t>Record fix</t>
        </is>
      </c>
      <c r="R36" s="6" t="inlineStr">
        <is>
          <t>Sub-item</t>
        </is>
      </c>
      <c r="S36" s="6" t="inlineStr">
        <is>
          <t>C-R03</t>
        </is>
      </c>
      <c r="T36" s="6" t="inlineStr">
        <is>
          <t>v4-05 header: rounds 4 and 5 and the corrected text have not been re-checked by the challenger; BFCL statistics are the lead's own computation (reproduced in the review).</t>
        </is>
      </c>
      <c r="U36"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 Batch 14 (2026-10-20): rounds 4-5 of the literature text (05 lines 61-91) were checked against the source texts by two fresh reviewers (RV-0010: 12 figures; RV-0015: 33 rows, of which 22 confirmed, 2 incomplete or overstated, 1 wrong attribution, 2 claim not supported, 1 stale, 2 cannot determine, 3 mixed), and lines 11-40 by RV-0014 and RV-0016. The BFCL medians were recomputed from the stored CSV by regex counts (irrelevance median 80.79, relevance median 81.25 with 21 tied and exactly three models at 0.00, memory median 15.7 and maximum 73.76, Miss Func minus Base median -5.0 by hand tally with a margin of one row); r = -0.45 was not recomputed. The corrections are drafted in design/package-v4/06-corrections-proposed.md (sections 3 and 3b), including the unsupported 'the top models drop less' (the top-12 median drop is about -10.3 against -5.0) and the stale section 5. All reviewers share a model family (C-E04); no challenger round 2 was run.</t>
        </is>
      </c>
      <c r="V36" s="6" t="inlineStr">
        <is>
          <t>Closed 2026-10-20: criterion 'a fresh reviewer checks rounds 4-5' met.</t>
        </is>
      </c>
      <c r="W36" s="6" t="inlineStr"/>
      <c r="X36" s="6" t="inlineStr"/>
      <c r="Y36" s="6" t="inlineStr"/>
      <c r="Z36" s="6" t="inlineStr"/>
      <c r="AA36" s="6" t="inlineStr"/>
      <c r="AB36" s="6" t="inlineStr">
        <is>
          <t>RECORD+SOURCE</t>
        </is>
      </c>
      <c r="AC36" s="6" t="inlineStr">
        <is>
          <t>n/a (sub-item)</t>
        </is>
      </c>
      <c r="AD36" s="6" t="inlineStr">
        <is>
          <t>NEW (repo sweep)</t>
        </is>
      </c>
      <c r="AE36" s="6" t="inlineStr">
        <is>
          <t>2026-10-20</t>
        </is>
      </c>
      <c r="AF36" s="6" t="inlineStr">
        <is>
          <t>reviews/RV-0014.md, RV-0015.md, RV-0016.md (fresh reviewers, same model family, each read the source texts; RV-0014 and RV-0016 ended at their turn limit, drafts); reviews/RV-0010.md; design/package-v4/06-corrections-proposed.md</t>
        </is>
      </c>
      <c r="AG36" s="6" t="inlineStr"/>
      <c r="AH36" s="6" t="inlineStr">
        <is>
          <t>No</t>
        </is>
      </c>
      <c r="AI36" s="6" t="inlineStr">
        <is>
          <t>Closed 2026-10-20: fresh reviewers checked rounds 4-5; defects are tracked in C-R03/ROUND45-W and drafted in the successor note.</t>
        </is>
      </c>
      <c r="AJ36" s="6" t="inlineStr">
        <is>
          <t>repo: v4-03 section 6 / RV-0005 / RV-0007</t>
        </is>
      </c>
      <c r="AK36" s="6" t="inlineStr"/>
      <c r="AL36" s="6" t="inlineStr">
        <is>
          <t>S15</t>
        </is>
      </c>
    </row>
    <row r="37" ht="300" customHeight="1">
      <c r="A37" s="5" t="inlineStr">
        <is>
          <t>C-R03/RV7UNCHK</t>
        </is>
      </c>
      <c r="B37" s="6" t="inlineStr">
        <is>
          <t>RV-0007 'Not checked' list</t>
        </is>
      </c>
      <c r="C37" s="6" t="inlineStr">
        <is>
          <t>CLOSED - BY EVIDENCE</t>
        </is>
      </c>
      <c r="D37" s="6" t="inlineStr">
        <is>
          <t>No</t>
        </is>
      </c>
      <c r="E37" s="6" t="inlineStr"/>
      <c r="F37" s="6" t="inlineStr"/>
      <c r="G37" s="14" t="inlineStr">
        <is>
          <t>SOURCE-REREAD</t>
        </is>
      </c>
      <c r="H37" s="6" t="inlineStr">
        <is>
          <t>K17 Record repair &amp; procedure error</t>
        </is>
      </c>
      <c r="I37" s="6" t="inlineStr">
        <is>
          <t>G4 Before claims</t>
        </is>
      </c>
      <c r="J37" s="6" t="inlineStr">
        <is>
          <t>Normal</t>
        </is>
      </c>
      <c r="K37" s="6" t="n">
        <v>155</v>
      </c>
      <c r="L37" s="6" t="inlineStr">
        <is>
          <t>W2 Desk work (no model runs)</t>
        </is>
      </c>
      <c r="M37" s="6" t="inlineStr">
        <is>
          <t>S15</t>
        </is>
      </c>
      <c r="N37" s="6" t="inlineStr">
        <is>
          <t>Lead + fresh reviewer</t>
        </is>
      </c>
      <c r="O37" s="6" t="inlineStr">
        <is>
          <t>Closed; moved to Archive</t>
        </is>
      </c>
      <c r="P37" s="6" t="inlineStr">
        <is>
          <t>Yes - stored text, unread</t>
        </is>
      </c>
      <c r="Q37" s="6" t="inlineStr">
        <is>
          <t>Record fix</t>
        </is>
      </c>
      <c r="R37" s="6" t="inlineStr">
        <is>
          <t>Sub-item</t>
        </is>
      </c>
      <c r="S37" s="6" t="inlineStr">
        <is>
          <t>C-R03</t>
        </is>
      </c>
      <c r="T37"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37"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 Batch 14 (2026-10-20): every item on RV-0007's 'not checked' list was re-read in the stored texts (batch 5, FND-0023: When2Call, ToolBeHonest, ToolSandbox, SMART / SMARTCAL / Adapt-LLM, Memora, ReCache, the Reasoning Trap, Tool-Overuse, the adaptive-retrieval prompt) except two that are labelled unchecked: the Reasoning Trap's released data is not stored (CANNOT DETERMINE) and the Tool-Overuse irrelevance-set composition is not stated in the text (NOT FOUND IN THESE TEXTS); and the steward's per-source rows of 05 were then checked against the source texts by three reviewers (reviews/RV-0014.md, RV-0015.md, RV-0016.md (fresh reviewers, same model family, each read the source texts; RV-0014 and RV-0016 ended at their turn limit, drafts)). Corrections found are in design/package-v4/06-corrections-proposed.md sections 3 and 3b. Not checked by anyone: the correlation r = -0.45 was not recomputed; the line-80 recurrence evidence; the other eight round-3 papers for the claim that none prices false-positive calls.</t>
        </is>
      </c>
      <c r="V37" s="6" t="inlineStr">
        <is>
          <t>Closed 2026-10-20: criterion 'each re-read in the stored literature texts or labelled unchecked' met.</t>
        </is>
      </c>
      <c r="W37" s="6" t="inlineStr"/>
      <c r="X37" s="6" t="inlineStr"/>
      <c r="Y37" s="6" t="inlineStr"/>
      <c r="Z37" s="6" t="inlineStr"/>
      <c r="AA37" s="6" t="inlineStr"/>
      <c r="AB37" s="6" t="inlineStr">
        <is>
          <t>RECORD+SOURCE</t>
        </is>
      </c>
      <c r="AC37" s="6" t="inlineStr">
        <is>
          <t>n/a (sub-item)</t>
        </is>
      </c>
      <c r="AD37" s="6" t="inlineStr">
        <is>
          <t>NEW (repo sweep)</t>
        </is>
      </c>
      <c r="AE37" s="6" t="inlineStr">
        <is>
          <t>2026-10-20</t>
        </is>
      </c>
      <c r="AF37" s="6" t="inlineStr">
        <is>
          <t>FND-0023; reviews/RV-0014.md, RV-0015.md, RV-0016.md (fresh reviewers, same model family, each read the source texts; RV-0014 and RV-0016 ended at their turn limit, drafts); design/package-v4/06-corrections-proposed.md</t>
        </is>
      </c>
      <c r="AG37" s="6" t="inlineStr"/>
      <c r="AH37" s="6" t="inlineStr">
        <is>
          <t>No</t>
        </is>
      </c>
      <c r="AI37" s="6" t="inlineStr">
        <is>
          <t>Closed 2026-10-20: each item re-read in the stored literature texts or labelled unchecked.</t>
        </is>
      </c>
      <c r="AJ37" s="6" t="inlineStr">
        <is>
          <t>repo: v4-03 section 6 / RV-0005 / RV-0007</t>
        </is>
      </c>
      <c r="AK37" s="6" t="inlineStr">
        <is>
          <t>RV-0007 Not checked, CH-0074</t>
        </is>
      </c>
      <c r="AL37" s="6" t="inlineStr">
        <is>
          <t>S15</t>
        </is>
      </c>
    </row>
    <row r="38" ht="300" customHeight="1">
      <c r="A38" s="5" t="inlineStr">
        <is>
          <t>N-17/CH0040</t>
        </is>
      </c>
      <c r="B38" s="6" t="inlineStr">
        <is>
          <t>CH-0040 (a)(b) multiplicity: v3 files say fixed, v4 02 and 03 say still open</t>
        </is>
      </c>
      <c r="C38" s="6" t="inlineStr">
        <is>
          <t>CLOSED - BY EVIDENCE</t>
        </is>
      </c>
      <c r="D38" s="6" t="inlineStr">
        <is>
          <t>No</t>
        </is>
      </c>
      <c r="E38" s="6" t="inlineStr"/>
      <c r="F38" s="6" t="inlineStr"/>
      <c r="G38" s="8" t="inlineStr">
        <is>
          <t>RECORDS-AT-HAND</t>
        </is>
      </c>
      <c r="H38" s="6" t="inlineStr">
        <is>
          <t>K17 Record repair &amp; procedure error</t>
        </is>
      </c>
      <c r="I38" s="6" t="inlineStr">
        <is>
          <t>G4 Before claims</t>
        </is>
      </c>
      <c r="J38" s="6" t="inlineStr">
        <is>
          <t>Normal</t>
        </is>
      </c>
      <c r="K38" s="6" t="n">
        <v>158</v>
      </c>
      <c r="L38" s="6" t="inlineStr">
        <is>
          <t>W2 Desk work (no model runs)</t>
        </is>
      </c>
      <c r="M38" s="6" t="inlineStr">
        <is>
          <t>S15</t>
        </is>
      </c>
      <c r="N38" s="6" t="inlineStr">
        <is>
          <t>Lead drafts, you approve</t>
        </is>
      </c>
      <c r="O38" s="6" t="inlineStr">
        <is>
          <t>Closed; moved to Archive</t>
        </is>
      </c>
      <c r="P38" s="6" t="inlineStr">
        <is>
          <t>Answered (see basis)</t>
        </is>
      </c>
      <c r="Q38" s="6" t="inlineStr">
        <is>
          <t>Record fix</t>
        </is>
      </c>
      <c r="R38" s="6" t="inlineStr">
        <is>
          <t>Sub-item</t>
        </is>
      </c>
      <c r="S38" s="6" t="inlineStr">
        <is>
          <t>N-17</t>
        </is>
      </c>
      <c r="T38"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38"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38" s="6" t="inlineStr">
        <is>
          <t>Closed 2026-10-19: criterion 'the operative text states once whether (a)(b) are fixed or open' is replaced by the question it served ('which is true?'), answered from the v3 and v4 text; the wording correction is drafted under C-R01/V4-03-STALE.</t>
        </is>
      </c>
      <c r="W38" s="6" t="inlineStr"/>
      <c r="X38" s="6" t="inlineStr"/>
      <c r="Y38" s="6" t="inlineStr"/>
      <c r="Z38" s="6" t="inlineStr"/>
      <c r="AA38" s="6" t="inlineStr"/>
      <c r="AB38" s="6" t="inlineStr">
        <is>
          <t>RECORD+DEC</t>
        </is>
      </c>
      <c r="AC38" s="6" t="inlineStr">
        <is>
          <t>n/a (sub-item)</t>
        </is>
      </c>
      <c r="AD38" s="6" t="inlineStr">
        <is>
          <t>NEW (repo sweep)</t>
        </is>
      </c>
      <c r="AE38" s="6" t="inlineStr">
        <is>
          <t>2026-10-19</t>
        </is>
      </c>
      <c r="AF38" s="6" t="inlineStr">
        <is>
          <t>design/package-v3/02-supervisor-decision-graph.md:63; design/package-v3/04-objections-and-experiments.md:13; design/package-v4/02-policy-graph-and-protocol.md:3, 66-70, 92; design/package-v4/03-review-adjudication.md:40; reviews/RV-0008.md (CH-0040)</t>
        </is>
      </c>
      <c r="AG38" s="6" t="inlineStr"/>
      <c r="AH38" s="6" t="inlineStr">
        <is>
          <t>No (editing needs the human's approval)</t>
        </is>
      </c>
      <c r="AI38" s="6" t="inlineStr">
        <is>
          <t>Closed 2026-10-19 by the text: no contradiction on the rule; the table and its size are open as a human decision (CH-0040 stays open for that); the v4 sentence at 02 line 92 and the missing Figure 2 failure branch are tracked in C-R01/V4-03-STALE and C-R01/FIG2.</t>
        </is>
      </c>
      <c r="AJ38" s="6" t="inlineStr">
        <is>
          <t>RV-0008 (Reviewer 6a)</t>
        </is>
      </c>
      <c r="AK38" s="6" t="inlineStr"/>
      <c r="AL38" s="6" t="inlineStr">
        <is>
          <t>S15</t>
        </is>
      </c>
    </row>
    <row r="39" ht="90.5" customHeight="1">
      <c r="A39" s="5" t="inlineStr">
        <is>
          <t>N-18</t>
        </is>
      </c>
      <c r="B39" s="6" t="inlineStr">
        <is>
          <t>v4-05 says the BFCL paper 'was not fetched' but sources.json stores it</t>
        </is>
      </c>
      <c r="C39" s="6" t="inlineStr">
        <is>
          <t>CLOSED - BY EVIDENCE</t>
        </is>
      </c>
      <c r="D39" s="6" t="inlineStr">
        <is>
          <t>No</t>
        </is>
      </c>
      <c r="E39" s="6" t="inlineStr"/>
      <c r="F39" s="6" t="inlineStr"/>
      <c r="G39" s="8" t="inlineStr">
        <is>
          <t>RECORDS-AT-HAND</t>
        </is>
      </c>
      <c r="H39" s="6" t="inlineStr">
        <is>
          <t>K17 Record repair &amp; procedure error</t>
        </is>
      </c>
      <c r="I39" s="6" t="inlineStr">
        <is>
          <t>G5 Housekeeping / no block</t>
        </is>
      </c>
      <c r="J39" s="6" t="inlineStr">
        <is>
          <t>Low</t>
        </is>
      </c>
      <c r="K39" s="6" t="n">
        <v>161</v>
      </c>
      <c r="L39" s="6" t="inlineStr">
        <is>
          <t>W2 Desk work (no model runs)</t>
        </is>
      </c>
      <c r="M39" s="6" t="inlineStr">
        <is>
          <t>S15</t>
        </is>
      </c>
      <c r="N39" s="6" t="inlineStr">
        <is>
          <t>Lead</t>
        </is>
      </c>
      <c r="O39" s="6" t="inlineStr">
        <is>
          <t>Closed; moved to Archive</t>
        </is>
      </c>
      <c r="P39" s="6" t="inlineStr">
        <is>
          <t>Answered (see basis)</t>
        </is>
      </c>
      <c r="Q39" s="6" t="inlineStr">
        <is>
          <t>Record fix</t>
        </is>
      </c>
      <c r="R39" s="6" t="inlineStr">
        <is>
          <t>Item</t>
        </is>
      </c>
      <c r="S39" s="6" t="inlineStr"/>
      <c r="T39" s="6" t="inlineStr">
        <is>
          <t>design/package-v4/05-literature-check-summary.md section 5 says the BFCL paper itself was not fetched; evidence/sources.json lists r3-bfcl (patil25a.pdf, 22 pp, 110 KB text).</t>
        </is>
      </c>
      <c r="U39"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39" s="6" t="inlineStr">
        <is>
          <t>v4-05 wording corrected (successor note).</t>
        </is>
      </c>
      <c r="W39" s="6" t="inlineStr"/>
      <c r="X39" s="6" t="inlineStr"/>
      <c r="Y39" s="6" t="inlineStr"/>
      <c r="Z39" s="6" t="inlineStr"/>
      <c r="AA39" s="6" t="inlineStr"/>
      <c r="AB39" s="6" t="inlineStr">
        <is>
          <t>RECORD</t>
        </is>
      </c>
      <c r="AC39" s="6" t="inlineStr">
        <is>
          <t>n/a (new)</t>
        </is>
      </c>
      <c r="AD39" s="6" t="inlineStr">
        <is>
          <t>NEW (repo sweep)</t>
        </is>
      </c>
      <c r="AE39" s="6" t="inlineStr">
        <is>
          <t>2026-10-19</t>
        </is>
      </c>
      <c r="AF39" s="6" t="inlineStr">
        <is>
          <t>FND-0009 (findings/SUM-0011); evidence/sources.json r3-bfcl; v4-05 section 5</t>
        </is>
      </c>
      <c r="AG39" s="6" t="inlineStr">
        <is>
          <t>If a design record starts to cite one of the six</t>
        </is>
      </c>
      <c r="AH39" s="6" t="inlineStr">
        <is>
          <t>No</t>
        </is>
      </c>
      <c r="AI39" s="6" t="inlineStr">
        <is>
          <t>Closed 2026-10-19; correction recorded in this ledger (C-E02/E20, N-18).</t>
        </is>
      </c>
      <c r="AJ39" s="6" t="inlineStr">
        <is>
          <t>review 19 Oct + repo sweep</t>
        </is>
      </c>
      <c r="AK39" s="6" t="inlineStr"/>
      <c r="AL39" s="6" t="inlineStr">
        <is>
          <t>S15</t>
        </is>
      </c>
    </row>
    <row r="40" ht="140.5" customHeight="1">
      <c r="A40" s="5" t="inlineStr">
        <is>
          <t>C-E03/O7-26</t>
        </is>
      </c>
      <c r="B40" s="6" t="inlineStr">
        <is>
          <t>Vendor figures unreplicated/inconsistent (GitHub 27.5 vs 25.5; Anthropic 85% vs ~89%)</t>
        </is>
      </c>
      <c r="C40" s="6" t="inlineStr">
        <is>
          <t>CLOSED - BY EVIDENCE</t>
        </is>
      </c>
      <c r="D40" s="6" t="inlineStr">
        <is>
          <t>No</t>
        </is>
      </c>
      <c r="E40" s="6" t="inlineStr"/>
      <c r="F40" s="6" t="inlineStr"/>
      <c r="G40" s="14" t="inlineStr">
        <is>
          <t>SOURCE-REREAD</t>
        </is>
      </c>
      <c r="H40" s="6" t="inlineStr">
        <is>
          <t>K14 Source &amp; vendor verification</t>
        </is>
      </c>
      <c r="I40" s="6" t="inlineStr">
        <is>
          <t>G4 Before claims</t>
        </is>
      </c>
      <c r="J40" s="6" t="inlineStr">
        <is>
          <t>Normal</t>
        </is>
      </c>
      <c r="K40" s="6" t="n">
        <v>220</v>
      </c>
      <c r="L40" s="6" t="inlineStr">
        <is>
          <t>W5 Claim-time</t>
        </is>
      </c>
      <c r="M40" s="6" t="inlineStr">
        <is>
          <t>S24</t>
        </is>
      </c>
      <c r="N40" s="6" t="inlineStr">
        <is>
          <t>Lead</t>
        </is>
      </c>
      <c r="O40" s="6" t="inlineStr">
        <is>
          <t>Closed; moved to Archive</t>
        </is>
      </c>
      <c r="P40" s="6" t="inlineStr">
        <is>
          <t>Partly</t>
        </is>
      </c>
      <c r="Q40" s="6" t="inlineStr">
        <is>
          <t>Source check</t>
        </is>
      </c>
      <c r="R40" s="6" t="inlineStr">
        <is>
          <t>Sub-item</t>
        </is>
      </c>
      <c r="S40" s="6" t="inlineStr">
        <is>
          <t>C-E03</t>
        </is>
      </c>
      <c r="T40" s="6" t="inlineStr">
        <is>
          <t>SRC-07 26: vendor figures are unreplicated or inconsistent (GitHub 27.5 vs 25.5; Anthropic 85% vs ~89%).</t>
        </is>
      </c>
      <c r="U40"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40" s="6" t="inlineStr">
        <is>
          <t>Denominators recomputed; vendor report separated from independent results.</t>
        </is>
      </c>
      <c r="W40" s="6" t="inlineStr"/>
      <c r="X40" s="6" t="inlineStr"/>
      <c r="Y40" s="6" t="inlineStr"/>
      <c r="Z40" s="6" t="inlineStr"/>
      <c r="AA40" s="6" t="inlineStr"/>
      <c r="AB40" s="6" t="inlineStr">
        <is>
          <t>SOURCE+DATA</t>
        </is>
      </c>
      <c r="AC40" s="6" t="inlineStr">
        <is>
          <t>n/a (sub-item)</t>
        </is>
      </c>
      <c r="AD40" s="6" t="inlineStr">
        <is>
          <t>NEW (SRC-11 sub-row)</t>
        </is>
      </c>
      <c r="AE40" s="6" t="inlineStr">
        <is>
          <t>2026-10-19</t>
        </is>
      </c>
      <c r="AF40" s="6" t="inlineStr">
        <is>
          <t>FND-0012 (findings/SUM-0014); EXT-0161, EXT-0163</t>
        </is>
      </c>
      <c r="AG40" s="6" t="inlineStr"/>
      <c r="AH40" s="6" t="inlineStr">
        <is>
          <t>No</t>
        </is>
      </c>
      <c r="AI40" s="6" t="inlineStr">
        <is>
          <t>Closed 2026-10-19: denominators recomputed from the pages; the vendor statements are separated from the derived numbers; the discrepancies stay recorded as vendor-page inconsistencies.</t>
        </is>
      </c>
      <c r="AJ40" s="6" t="inlineStr">
        <is>
          <t>SRC-11 section D1</t>
        </is>
      </c>
      <c r="AK40" s="6" t="inlineStr">
        <is>
          <t>SRC-07 26, CAVEATS 8</t>
        </is>
      </c>
      <c r="AL40" s="6" t="inlineStr">
        <is>
          <t>S11</t>
        </is>
      </c>
    </row>
    <row r="41" ht="28" customHeight="1">
      <c r="A41" s="5" t="inlineStr">
        <is>
          <t>A-01</t>
        </is>
      </c>
      <c r="B41" s="6" t="inlineStr">
        <is>
          <t>Oct formulation centres on reducing tool count while keeping accuracy high</t>
        </is>
      </c>
      <c r="C41" s="6" t="inlineStr">
        <is>
          <t>CLOSED - CLAUSE</t>
        </is>
      </c>
      <c r="D41" s="6" t="inlineStr">
        <is>
          <t>No</t>
        </is>
      </c>
      <c r="E41" s="6" t="inlineStr"/>
      <c r="F41" s="6" t="inlineStr"/>
      <c r="G41" s="18" t="inlineStr">
        <is>
          <t>CROSS-REFERENCE</t>
        </is>
      </c>
      <c r="H41" s="6" t="inlineStr">
        <is>
          <t>K2 Objective &amp; accounting</t>
        </is>
      </c>
      <c r="I41" s="6" t="inlineStr">
        <is>
          <t>G5 Housekeeping / no block</t>
        </is>
      </c>
      <c r="J41" s="6" t="inlineStr">
        <is>
          <t>Low</t>
        </is>
      </c>
      <c r="K41" s="6" t="n">
        <v>222</v>
      </c>
      <c r="L41" s="6" t="inlineStr">
        <is>
          <t>W5 Claim-time</t>
        </is>
      </c>
      <c r="M41" s="6" t="inlineStr">
        <is>
          <t>S25</t>
        </is>
      </c>
      <c r="N41" s="6" t="inlineStr">
        <is>
          <t>n/a</t>
        </is>
      </c>
      <c r="O41" s="6" t="inlineStr">
        <is>
          <t>None; closes when its parents close</t>
        </is>
      </c>
      <c r="P41" s="6" t="inlineStr">
        <is>
          <t>Partly</t>
        </is>
      </c>
      <c r="Q41" s="6" t="inlineStr">
        <is>
          <t>Answered clause</t>
        </is>
      </c>
      <c r="R41" s="6" t="inlineStr">
        <is>
          <t>Clause</t>
        </is>
      </c>
      <c r="S41" s="6" t="inlineStr">
        <is>
          <t>C-D02</t>
        </is>
      </c>
      <c r="T41" s="6" t="inlineStr">
        <is>
          <t>Joaa's October spoken formulation centres on reducing the number of tools while keeping accuracy high.</t>
        </is>
      </c>
      <c r="U41" s="6" t="inlineStr">
        <is>
          <t>Corroborated by repo excerpt E1; it does not amend every June clause.</t>
        </is>
      </c>
      <c r="V41" s="6" t="inlineStr">
        <is>
          <t>Closed within the cited record; the parent row keeps the rest.</t>
        </is>
      </c>
      <c r="W41" s="6" t="inlineStr"/>
      <c r="X41" s="6" t="inlineStr"/>
      <c r="Y41" s="6" t="inlineStr"/>
      <c r="Z41" s="6" t="inlineStr"/>
      <c r="AA41" s="6" t="inlineStr"/>
      <c r="AB41" s="6" t="inlineStr"/>
      <c r="AC41" s="6" t="inlineStr">
        <is>
          <t>Answered clause (SRC-11)</t>
        </is>
      </c>
      <c r="AD41" s="6" t="inlineStr">
        <is>
          <t>CLOSED (baseline)</t>
        </is>
      </c>
      <c r="AE41" s="6" t="inlineStr">
        <is>
          <t>2026-10-19</t>
        </is>
      </c>
      <c r="AF41" s="6" t="inlineStr">
        <is>
          <t>SRC-05 ~00:07 (via SRC-09); repo intake E1 (00:07:04) says this</t>
        </is>
      </c>
      <c r="AG41" s="6" t="inlineStr"/>
      <c r="AH41" s="6" t="inlineStr">
        <is>
          <t>No</t>
        </is>
      </c>
      <c r="AI41" s="6" t="inlineStr">
        <is>
          <t>Closed within the cited record at baseline.</t>
        </is>
      </c>
      <c r="AJ41" s="6" t="inlineStr">
        <is>
          <t>SRC-11 'What is answered narrowly already'</t>
        </is>
      </c>
      <c r="AK41" s="6" t="inlineStr"/>
      <c r="AL41" s="6" t="inlineStr">
        <is>
          <t>S01</t>
        </is>
      </c>
    </row>
    <row r="42" ht="40.5" customHeight="1">
      <c r="A42" s="5" t="inlineStr">
        <is>
          <t>A-02</t>
        </is>
      </c>
      <c r="B42" s="6" t="inlineStr">
        <is>
          <t>Context-dependent questions and stages requested; stage count unfixed; filtered tool may return</t>
        </is>
      </c>
      <c r="C42" s="6" t="inlineStr">
        <is>
          <t>CLOSED - CLAUSE</t>
        </is>
      </c>
      <c r="D42" s="6" t="inlineStr">
        <is>
          <t>No</t>
        </is>
      </c>
      <c r="E42" s="6" t="inlineStr"/>
      <c r="F42" s="6" t="inlineStr"/>
      <c r="G42" s="18" t="inlineStr">
        <is>
          <t>CROSS-REFERENCE</t>
        </is>
      </c>
      <c r="H42" s="6" t="inlineStr">
        <is>
          <t>K3 Policy form</t>
        </is>
      </c>
      <c r="I42" s="6" t="inlineStr">
        <is>
          <t>G5 Housekeeping / no block</t>
        </is>
      </c>
      <c r="J42" s="6" t="inlineStr">
        <is>
          <t>Low</t>
        </is>
      </c>
      <c r="K42" s="6" t="n">
        <v>223</v>
      </c>
      <c r="L42" s="6" t="inlineStr">
        <is>
          <t>W5 Claim-time</t>
        </is>
      </c>
      <c r="M42" s="6" t="inlineStr">
        <is>
          <t>S25</t>
        </is>
      </c>
      <c r="N42" s="6" t="inlineStr">
        <is>
          <t>n/a</t>
        </is>
      </c>
      <c r="O42" s="6" t="inlineStr">
        <is>
          <t>None; closes when its parents close</t>
        </is>
      </c>
      <c r="P42" s="6" t="inlineStr">
        <is>
          <t>Partly</t>
        </is>
      </c>
      <c r="Q42" s="6" t="inlineStr">
        <is>
          <t>Answered clause</t>
        </is>
      </c>
      <c r="R42" s="6" t="inlineStr">
        <is>
          <t>Clause</t>
        </is>
      </c>
      <c r="S42" s="6" t="inlineStr">
        <is>
          <t>C-D03</t>
        </is>
      </c>
      <c r="T42" s="6" t="inlineStr">
        <is>
          <t>He requested context-dependent questions and successive stages, did not fix the stage count and allowed a filtered tool to return later.</t>
        </is>
      </c>
      <c r="U42" s="6" t="inlineStr">
        <is>
          <t>Corroborated by repo excerpts E5-E8; does not approve a zero-stage output.</t>
        </is>
      </c>
      <c r="V42" s="6" t="inlineStr">
        <is>
          <t>Closed within the cited record; the parent row keeps the rest.</t>
        </is>
      </c>
      <c r="W42" s="6" t="inlineStr"/>
      <c r="X42" s="6" t="inlineStr"/>
      <c r="Y42" s="6" t="inlineStr"/>
      <c r="Z42" s="6" t="inlineStr"/>
      <c r="AA42" s="6" t="inlineStr"/>
      <c r="AB42" s="6" t="inlineStr"/>
      <c r="AC42" s="6" t="inlineStr">
        <is>
          <t>Answered clause (SRC-11)</t>
        </is>
      </c>
      <c r="AD42" s="6" t="inlineStr">
        <is>
          <t>CLOSED (baseline)</t>
        </is>
      </c>
      <c r="AE42" s="6" t="inlineStr">
        <is>
          <t>2026-10-19</t>
        </is>
      </c>
      <c r="AF42" s="6" t="inlineStr">
        <is>
          <t>SRC-05 ~00:19-00:28; repo intake E5-E8</t>
        </is>
      </c>
      <c r="AG42" s="6" t="inlineStr"/>
      <c r="AH42" s="6" t="inlineStr">
        <is>
          <t>No</t>
        </is>
      </c>
      <c r="AI42" s="6" t="inlineStr">
        <is>
          <t>Closed within the cited record at baseline.</t>
        </is>
      </c>
      <c r="AJ42" s="6" t="inlineStr">
        <is>
          <t>SRC-11 'What is answered narrowly already'</t>
        </is>
      </c>
      <c r="AK42" s="6" t="inlineStr"/>
      <c r="AL42" s="6" t="inlineStr">
        <is>
          <t>S01</t>
        </is>
      </c>
    </row>
    <row r="43" ht="28" customHeight="1">
      <c r="A43" s="5" t="inlineStr">
        <is>
          <t>A-03</t>
        </is>
      </c>
      <c r="B43" s="6" t="inlineStr">
        <is>
          <t>Savings need not occur on every turn</t>
        </is>
      </c>
      <c r="C43" s="6" t="inlineStr">
        <is>
          <t>CLOSED - CLAUSE</t>
        </is>
      </c>
      <c r="D43" s="6" t="inlineStr">
        <is>
          <t>No</t>
        </is>
      </c>
      <c r="E43" s="6" t="inlineStr"/>
      <c r="F43" s="6" t="inlineStr"/>
      <c r="G43" s="18" t="inlineStr">
        <is>
          <t>CROSS-REFERENCE</t>
        </is>
      </c>
      <c r="H43" s="6" t="inlineStr">
        <is>
          <t>K3 Policy form</t>
        </is>
      </c>
      <c r="I43" s="6" t="inlineStr">
        <is>
          <t>G5 Housekeeping / no block</t>
        </is>
      </c>
      <c r="J43" s="6" t="inlineStr">
        <is>
          <t>Low</t>
        </is>
      </c>
      <c r="K43" s="6" t="n">
        <v>224</v>
      </c>
      <c r="L43" s="6" t="inlineStr">
        <is>
          <t>W5 Claim-time</t>
        </is>
      </c>
      <c r="M43" s="6" t="inlineStr">
        <is>
          <t>S25</t>
        </is>
      </c>
      <c r="N43" s="6" t="inlineStr">
        <is>
          <t>n/a</t>
        </is>
      </c>
      <c r="O43" s="6" t="inlineStr">
        <is>
          <t>None; closes when its parents close</t>
        </is>
      </c>
      <c r="P43" s="6" t="inlineStr">
        <is>
          <t>Partly</t>
        </is>
      </c>
      <c r="Q43" s="6" t="inlineStr">
        <is>
          <t>Answered clause</t>
        </is>
      </c>
      <c r="R43" s="6" t="inlineStr">
        <is>
          <t>Clause</t>
        </is>
      </c>
      <c r="S43" s="6" t="inlineStr">
        <is>
          <t>C-D04</t>
        </is>
      </c>
      <c r="T43" s="6" t="inlineStr">
        <is>
          <t>Savings need not occur on every turn; a costlier turn can be accepted over a longer trajectory.</t>
        </is>
      </c>
      <c r="U43" s="6" t="inlineStr">
        <is>
          <t>Second-hand in the repo; whether every stage must pay is separate.</t>
        </is>
      </c>
      <c r="V43" s="6" t="inlineStr">
        <is>
          <t>Closed within the cited record; the parent row keeps the rest.</t>
        </is>
      </c>
      <c r="W43" s="6" t="inlineStr"/>
      <c r="X43" s="6" t="inlineStr"/>
      <c r="Y43" s="6" t="inlineStr"/>
      <c r="Z43" s="6" t="inlineStr"/>
      <c r="AA43" s="6" t="inlineStr"/>
      <c r="AB43" s="6" t="inlineStr"/>
      <c r="AC43" s="6" t="inlineStr">
        <is>
          <t>Answered clause (SRC-11)</t>
        </is>
      </c>
      <c r="AD43" s="6" t="inlineStr">
        <is>
          <t>CLOSED (baseline)</t>
        </is>
      </c>
      <c r="AE43" s="6" t="inlineStr">
        <is>
          <t>2026-10-19</t>
        </is>
      </c>
      <c r="AF43" s="6" t="inlineStr">
        <is>
          <t>SRC-04 ~00:53-00:54; repo EXT-0002 line 27 (transcript L468-L476, second-hand)</t>
        </is>
      </c>
      <c r="AG43" s="6" t="inlineStr"/>
      <c r="AH43" s="6" t="inlineStr">
        <is>
          <t>No</t>
        </is>
      </c>
      <c r="AI43" s="6" t="inlineStr">
        <is>
          <t>Closed within the cited record at baseline.</t>
        </is>
      </c>
      <c r="AJ43" s="6" t="inlineStr">
        <is>
          <t>SRC-11 'What is answered narrowly already'</t>
        </is>
      </c>
      <c r="AK43" s="6" t="inlineStr"/>
      <c r="AL43" s="6" t="inlineStr">
        <is>
          <t>S01</t>
        </is>
      </c>
    </row>
    <row r="44" ht="28" customHeight="1">
      <c r="A44" s="5" t="inlineStr">
        <is>
          <t>A-04</t>
        </is>
      </c>
      <c r="B44" s="6" t="inlineStr">
        <is>
          <t>A sound negative result can still be a thesis</t>
        </is>
      </c>
      <c r="C44" s="6" t="inlineStr">
        <is>
          <t>CLOSED - CLAUSE</t>
        </is>
      </c>
      <c r="D44" s="6" t="inlineStr">
        <is>
          <t>No</t>
        </is>
      </c>
      <c r="E44" s="6" t="inlineStr"/>
      <c r="F44" s="6" t="inlineStr"/>
      <c r="G44" s="18" t="inlineStr">
        <is>
          <t>CROSS-REFERENCE</t>
        </is>
      </c>
      <c r="H44" s="6" t="inlineStr">
        <is>
          <t>K5 Evaluation contract</t>
        </is>
      </c>
      <c r="I44" s="6" t="inlineStr">
        <is>
          <t>G5 Housekeeping / no block</t>
        </is>
      </c>
      <c r="J44" s="6" t="inlineStr">
        <is>
          <t>Low</t>
        </is>
      </c>
      <c r="K44" s="6" t="n">
        <v>225</v>
      </c>
      <c r="L44" s="6" t="inlineStr">
        <is>
          <t>W5 Claim-time</t>
        </is>
      </c>
      <c r="M44" s="6" t="inlineStr">
        <is>
          <t>S25</t>
        </is>
      </c>
      <c r="N44" s="6" t="inlineStr">
        <is>
          <t>n/a</t>
        </is>
      </c>
      <c r="O44" s="6" t="inlineStr">
        <is>
          <t>None; closes when its parents close</t>
        </is>
      </c>
      <c r="P44" s="6" t="inlineStr">
        <is>
          <t>Partly</t>
        </is>
      </c>
      <c r="Q44" s="6" t="inlineStr">
        <is>
          <t>Answered clause</t>
        </is>
      </c>
      <c r="R44" s="6" t="inlineStr">
        <is>
          <t>Clause</t>
        </is>
      </c>
      <c r="S44" s="6" t="inlineStr">
        <is>
          <t>C-D06</t>
        </is>
      </c>
      <c r="T44" s="6" t="inlineStr">
        <is>
          <t>A sound negative result can still be a thesis; systematic evidence matters.</t>
        </is>
      </c>
      <c r="U44" s="6" t="inlineStr">
        <is>
          <t>NOT in the repo's admitted excerpts (E3 says only 'some kind of findings'); see N-20.</t>
        </is>
      </c>
      <c r="V44" s="6" t="inlineStr">
        <is>
          <t>Closed within the cited record; the parent row keeps the rest.</t>
        </is>
      </c>
      <c r="W44" s="6" t="inlineStr"/>
      <c r="X44" s="6" t="inlineStr"/>
      <c r="Y44" s="6" t="inlineStr"/>
      <c r="Z44" s="6" t="inlineStr"/>
      <c r="AA44" s="6" t="inlineStr"/>
      <c r="AB44" s="6" t="inlineStr"/>
      <c r="AC44" s="6" t="inlineStr">
        <is>
          <t>Answered clause (SRC-11)</t>
        </is>
      </c>
      <c r="AD44" s="6" t="inlineStr">
        <is>
          <t>CLOSED (baseline)</t>
        </is>
      </c>
      <c r="AE44" s="6" t="inlineStr">
        <is>
          <t>2026-10-19</t>
        </is>
      </c>
      <c r="AF44" s="6" t="inlineStr">
        <is>
          <t>SRC-05 ~00:12-00:13, ~00:25-00:26 (as reported in SRC-11)</t>
        </is>
      </c>
      <c r="AG44" s="6" t="inlineStr"/>
      <c r="AH44" s="6" t="inlineStr">
        <is>
          <t>No</t>
        </is>
      </c>
      <c r="AI44" s="6" t="inlineStr">
        <is>
          <t>Closed within the cited record at baseline.</t>
        </is>
      </c>
      <c r="AJ44" s="6" t="inlineStr">
        <is>
          <t>SRC-11 'What is answered narrowly already'</t>
        </is>
      </c>
      <c r="AK44" s="6" t="inlineStr"/>
      <c r="AL44" s="6" t="inlineStr">
        <is>
          <t>S01</t>
        </is>
      </c>
    </row>
    <row r="45" ht="40.5" customHeight="1">
      <c r="A45" s="5" t="inlineStr">
        <is>
          <t>A-05</t>
        </is>
      </c>
      <c r="B45" s="6" t="inlineStr">
        <is>
          <t>All-tools exposure and the Executor were discussed as baselines</t>
        </is>
      </c>
      <c r="C45" s="6" t="inlineStr">
        <is>
          <t>CLOSED - CLAUSE</t>
        </is>
      </c>
      <c r="D45" s="6" t="inlineStr">
        <is>
          <t>No</t>
        </is>
      </c>
      <c r="E45" s="6" t="inlineStr"/>
      <c r="F45" s="6" t="inlineStr"/>
      <c r="G45" s="18" t="inlineStr">
        <is>
          <t>CROSS-REFERENCE</t>
        </is>
      </c>
      <c r="H45" s="6" t="inlineStr">
        <is>
          <t>K5 Evaluation contract</t>
        </is>
      </c>
      <c r="I45" s="6" t="inlineStr">
        <is>
          <t>G5 Housekeeping / no block</t>
        </is>
      </c>
      <c r="J45" s="6" t="inlineStr">
        <is>
          <t>Low</t>
        </is>
      </c>
      <c r="K45" s="6" t="n">
        <v>226</v>
      </c>
      <c r="L45" s="6" t="inlineStr">
        <is>
          <t>W5 Claim-time</t>
        </is>
      </c>
      <c r="M45" s="6" t="inlineStr">
        <is>
          <t>S25</t>
        </is>
      </c>
      <c r="N45" s="6" t="inlineStr">
        <is>
          <t>n/a</t>
        </is>
      </c>
      <c r="O45" s="6" t="inlineStr">
        <is>
          <t>None; closes when its parents close</t>
        </is>
      </c>
      <c r="P45" s="6" t="inlineStr">
        <is>
          <t>Partly</t>
        </is>
      </c>
      <c r="Q45" s="6" t="inlineStr">
        <is>
          <t>Answered clause</t>
        </is>
      </c>
      <c r="R45" s="6" t="inlineStr">
        <is>
          <t>Clause</t>
        </is>
      </c>
      <c r="S45" s="6" t="inlineStr">
        <is>
          <t>C-D08</t>
        </is>
      </c>
      <c r="T45" s="6" t="inlineStr">
        <is>
          <t>All-tools exposure and the Executor were discussed as baselines.</t>
        </is>
      </c>
      <c r="U45" s="6" t="inlineStr">
        <is>
          <t>CAVEATS 6: 'Executor as supervisor-named baseline' is a researcher identification; exact arms remain open.</t>
        </is>
      </c>
      <c r="V45" s="6" t="inlineStr">
        <is>
          <t>Closed within the cited record; the parent row keeps the rest.</t>
        </is>
      </c>
      <c r="W45" s="6" t="inlineStr"/>
      <c r="X45" s="6" t="inlineStr"/>
      <c r="Y45" s="6" t="inlineStr"/>
      <c r="Z45" s="6" t="inlineStr"/>
      <c r="AA45" s="6" t="inlineStr"/>
      <c r="AB45" s="6" t="inlineStr"/>
      <c r="AC45" s="6" t="inlineStr">
        <is>
          <t>Answered clause (SRC-11)</t>
        </is>
      </c>
      <c r="AD45" s="6" t="inlineStr">
        <is>
          <t>CLOSED (baseline)</t>
        </is>
      </c>
      <c r="AE45" s="6" t="inlineStr">
        <is>
          <t>2026-10-19</t>
        </is>
      </c>
      <c r="AF45" s="6" t="inlineStr">
        <is>
          <t>SRC-04 ~00:11, ~00:43-00:44 (via SRC-09)</t>
        </is>
      </c>
      <c r="AG45" s="6" t="inlineStr"/>
      <c r="AH45" s="6" t="inlineStr">
        <is>
          <t>No</t>
        </is>
      </c>
      <c r="AI45" s="6" t="inlineStr">
        <is>
          <t>Closed within the cited record at baseline.</t>
        </is>
      </c>
      <c r="AJ45" s="6" t="inlineStr">
        <is>
          <t>SRC-11 'What is answered narrowly already'</t>
        </is>
      </c>
      <c r="AK45" s="6" t="inlineStr"/>
      <c r="AL45" s="6" t="inlineStr">
        <is>
          <t>S01</t>
        </is>
      </c>
    </row>
    <row r="46" ht="28" customHeight="1">
      <c r="A46" s="5" t="inlineStr">
        <is>
          <t>A-06</t>
        </is>
      </c>
      <c r="B46" s="6" t="inlineStr">
        <is>
          <t>A policy draft came before implementation/experiments</t>
        </is>
      </c>
      <c r="C46" s="6" t="inlineStr">
        <is>
          <t>CLOSED - CLAUSE</t>
        </is>
      </c>
      <c r="D46" s="6" t="inlineStr">
        <is>
          <t>No</t>
        </is>
      </c>
      <c r="E46" s="6" t="inlineStr"/>
      <c r="F46" s="6" t="inlineStr"/>
      <c r="G46" s="18" t="inlineStr">
        <is>
          <t>CROSS-REFERENCE</t>
        </is>
      </c>
      <c r="H46" s="6" t="inlineStr">
        <is>
          <t>K6 Deliverable &amp; authorization</t>
        </is>
      </c>
      <c r="I46" s="6" t="inlineStr">
        <is>
          <t>G5 Housekeeping / no block</t>
        </is>
      </c>
      <c r="J46" s="6" t="inlineStr">
        <is>
          <t>Low</t>
        </is>
      </c>
      <c r="K46" s="6" t="n">
        <v>227</v>
      </c>
      <c r="L46" s="6" t="inlineStr">
        <is>
          <t>W5 Claim-time</t>
        </is>
      </c>
      <c r="M46" s="6" t="inlineStr">
        <is>
          <t>S25</t>
        </is>
      </c>
      <c r="N46" s="6" t="inlineStr">
        <is>
          <t>n/a</t>
        </is>
      </c>
      <c r="O46" s="6" t="inlineStr">
        <is>
          <t>None; closes when its parents close</t>
        </is>
      </c>
      <c r="P46" s="6" t="inlineStr">
        <is>
          <t>Partly</t>
        </is>
      </c>
      <c r="Q46" s="6" t="inlineStr">
        <is>
          <t>Answered clause</t>
        </is>
      </c>
      <c r="R46" s="6" t="inlineStr">
        <is>
          <t>Clause</t>
        </is>
      </c>
      <c r="S46" s="6" t="inlineStr">
        <is>
          <t>C-D05</t>
        </is>
      </c>
      <c r="T46" s="6" t="inlineStr">
        <is>
          <t>A policy draft came before implementation or experiments in these meetings.</t>
        </is>
      </c>
      <c r="U46" s="6" t="inlineStr">
        <is>
          <t>Corroborated by E9; evaluation-script boundary open.</t>
        </is>
      </c>
      <c r="V46" s="6" t="inlineStr">
        <is>
          <t>Closed within the cited record; the parent row keeps the rest.</t>
        </is>
      </c>
      <c r="W46" s="6" t="inlineStr"/>
      <c r="X46" s="6" t="inlineStr"/>
      <c r="Y46" s="6" t="inlineStr"/>
      <c r="Z46" s="6" t="inlineStr"/>
      <c r="AA46" s="6" t="inlineStr"/>
      <c r="AB46" s="6" t="inlineStr"/>
      <c r="AC46" s="6" t="inlineStr">
        <is>
          <t>Answered clause (SRC-11)</t>
        </is>
      </c>
      <c r="AD46" s="6" t="inlineStr">
        <is>
          <t>CLOSED (baseline)</t>
        </is>
      </c>
      <c r="AE46" s="6" t="inlineStr">
        <is>
          <t>2026-10-19</t>
        </is>
      </c>
      <c r="AF46" s="6" t="inlineStr">
        <is>
          <t>SRC-04 ~00:52-00:55; SRC-05 ~00:27, ~00:30-00:31; repo intake E9</t>
        </is>
      </c>
      <c r="AG46" s="6" t="inlineStr"/>
      <c r="AH46" s="6" t="inlineStr">
        <is>
          <t>No</t>
        </is>
      </c>
      <c r="AI46" s="6" t="inlineStr">
        <is>
          <t>Closed within the cited record at baseline.</t>
        </is>
      </c>
      <c r="AJ46" s="6" t="inlineStr">
        <is>
          <t>SRC-11 'What is answered narrowly already'</t>
        </is>
      </c>
      <c r="AK46" s="6" t="inlineStr"/>
      <c r="AL46" s="6" t="inlineStr">
        <is>
          <t>S01</t>
        </is>
      </c>
    </row>
    <row r="47" ht="28" customHeight="1">
      <c r="A47" s="5" t="inlineStr">
        <is>
          <t>A-07</t>
        </is>
      </c>
      <c r="B47" s="6" t="inlineStr">
        <is>
          <t>V3 corrected five mathematical/wording errors</t>
        </is>
      </c>
      <c r="C47" s="6" t="inlineStr">
        <is>
          <t>CLOSED - CLAUSE</t>
        </is>
      </c>
      <c r="D47" s="6" t="inlineStr">
        <is>
          <t>No</t>
        </is>
      </c>
      <c r="E47" s="6" t="inlineStr"/>
      <c r="F47" s="6" t="inlineStr"/>
      <c r="G47" s="18" t="inlineStr">
        <is>
          <t>CROSS-REFERENCE</t>
        </is>
      </c>
      <c r="H47" s="6" t="inlineStr">
        <is>
          <t>K17 Record repair &amp; procedure error</t>
        </is>
      </c>
      <c r="I47" s="6" t="inlineStr">
        <is>
          <t>G5 Housekeeping / no block</t>
        </is>
      </c>
      <c r="J47" s="6" t="inlineStr">
        <is>
          <t>Low</t>
        </is>
      </c>
      <c r="K47" s="6" t="n">
        <v>228</v>
      </c>
      <c r="L47" s="6" t="inlineStr">
        <is>
          <t>W5 Claim-time</t>
        </is>
      </c>
      <c r="M47" s="6" t="inlineStr">
        <is>
          <t>S25</t>
        </is>
      </c>
      <c r="N47" s="6" t="inlineStr">
        <is>
          <t>n/a</t>
        </is>
      </c>
      <c r="O47" s="6" t="inlineStr">
        <is>
          <t>None; closes when its parents close</t>
        </is>
      </c>
      <c r="P47" s="6" t="inlineStr">
        <is>
          <t>Partly</t>
        </is>
      </c>
      <c r="Q47" s="6" t="inlineStr">
        <is>
          <t>Answered clause</t>
        </is>
      </c>
      <c r="R47" s="6" t="inlineStr">
        <is>
          <t>Clause</t>
        </is>
      </c>
      <c r="S47" s="6" t="inlineStr">
        <is>
          <t>C-R01</t>
        </is>
      </c>
      <c r="T47" s="6" t="inlineStr">
        <is>
          <t>V3 corrected five mathematical or wording errors.</t>
        </is>
      </c>
      <c r="U47" s="6" t="inlineStr">
        <is>
          <t>Textual correction, not validation.</t>
        </is>
      </c>
      <c r="V47" s="6" t="inlineStr">
        <is>
          <t>Closed within the cited record; the parent row keeps the rest.</t>
        </is>
      </c>
      <c r="W47" s="6" t="inlineStr"/>
      <c r="X47" s="6" t="inlineStr"/>
      <c r="Y47" s="6" t="inlineStr"/>
      <c r="Z47" s="6" t="inlineStr"/>
      <c r="AA47" s="6" t="inlineStr"/>
      <c r="AB47" s="6" t="inlineStr"/>
      <c r="AC47" s="6" t="inlineStr">
        <is>
          <t>Answered clause (SRC-11)</t>
        </is>
      </c>
      <c r="AD47" s="6" t="inlineStr">
        <is>
          <t>CLOSED (baseline)</t>
        </is>
      </c>
      <c r="AE47" s="6" t="inlineStr">
        <is>
          <t>2026-10-19</t>
        </is>
      </c>
      <c r="AF47" s="6" t="inlineStr">
        <is>
          <t>v3-01 sections 1-5; SRC-08 section G</t>
        </is>
      </c>
      <c r="AG47" s="6" t="inlineStr"/>
      <c r="AH47" s="6" t="inlineStr">
        <is>
          <t>No</t>
        </is>
      </c>
      <c r="AI47" s="6" t="inlineStr">
        <is>
          <t>Closed within the cited record at baseline.</t>
        </is>
      </c>
      <c r="AJ47" s="6" t="inlineStr">
        <is>
          <t>SRC-11 'What is answered narrowly already'</t>
        </is>
      </c>
      <c r="AK47" s="6" t="inlineStr"/>
      <c r="AL47" s="6" t="inlineStr">
        <is>
          <t>S01</t>
        </is>
      </c>
    </row>
    <row r="48" ht="40.5" customHeight="1">
      <c r="A48" s="5" t="inlineStr">
        <is>
          <t>A-08</t>
        </is>
      </c>
      <c r="B48" s="6" t="inlineStr">
        <is>
          <t>Independent MCPVerse reading reports three narrow findings</t>
        </is>
      </c>
      <c r="C48" s="6" t="inlineStr">
        <is>
          <t>CLOSED - CLAUSE</t>
        </is>
      </c>
      <c r="D48" s="6" t="inlineStr">
        <is>
          <t>No</t>
        </is>
      </c>
      <c r="E48" s="6" t="inlineStr"/>
      <c r="F48" s="6" t="inlineStr"/>
      <c r="G48" s="18" t="inlineStr">
        <is>
          <t>CROSS-REFERENCE</t>
        </is>
      </c>
      <c r="H48" s="6" t="inlineStr">
        <is>
          <t>K14 Source &amp; vendor verification</t>
        </is>
      </c>
      <c r="I48" s="6" t="inlineStr">
        <is>
          <t>G5 Housekeeping / no block</t>
        </is>
      </c>
      <c r="J48" s="6" t="inlineStr">
        <is>
          <t>Low</t>
        </is>
      </c>
      <c r="K48" s="6" t="n">
        <v>229</v>
      </c>
      <c r="L48" s="6" t="inlineStr">
        <is>
          <t>W5 Claim-time</t>
        </is>
      </c>
      <c r="M48" s="6" t="inlineStr">
        <is>
          <t>S25</t>
        </is>
      </c>
      <c r="N48" s="6" t="inlineStr">
        <is>
          <t>n/a</t>
        </is>
      </c>
      <c r="O48" s="6" t="inlineStr">
        <is>
          <t>None; closes when its parents close</t>
        </is>
      </c>
      <c r="P48" s="6" t="inlineStr">
        <is>
          <t>Partly</t>
        </is>
      </c>
      <c r="Q48" s="6" t="inlineStr">
        <is>
          <t>Answered clause</t>
        </is>
      </c>
      <c r="R48" s="6" t="inlineStr">
        <is>
          <t>Clause</t>
        </is>
      </c>
      <c r="S48" s="6" t="inlineStr">
        <is>
          <t>C-S19</t>
        </is>
      </c>
      <c r="T48" s="6" t="inlineStr">
        <is>
          <t>The independent MCPVerse reading source-reports three narrow findings (judge change insufficient; one Claude v2 row consistent; 140k/147k not v2-only).</t>
        </is>
      </c>
      <c r="U48" s="6" t="inlineStr">
        <is>
          <t>Original papers not freshly verified in SRC-09/10; one unverified lead reading in the repo.</t>
        </is>
      </c>
      <c r="V48" s="6" t="inlineStr">
        <is>
          <t>Closed within the cited record; the parent row keeps the rest.</t>
        </is>
      </c>
      <c r="W48" s="6" t="inlineStr"/>
      <c r="X48" s="6" t="inlineStr"/>
      <c r="Y48" s="6" t="inlineStr"/>
      <c r="Z48" s="6" t="inlineStr"/>
      <c r="AA48" s="6" t="inlineStr"/>
      <c r="AB48" s="6" t="inlineStr"/>
      <c r="AC48" s="6" t="inlineStr">
        <is>
          <t>Answered clause (SRC-11)</t>
        </is>
      </c>
      <c r="AD48" s="6" t="inlineStr">
        <is>
          <t>CLOSED (baseline)</t>
        </is>
      </c>
      <c r="AE48" s="6" t="inlineStr">
        <is>
          <t>2026-10-19</t>
        </is>
      </c>
      <c r="AF48" s="6" t="inlineStr">
        <is>
          <t>SRC-08 section G; SRC-09 C-S19; repo WD AUTH-008 partly corroborates</t>
        </is>
      </c>
      <c r="AG48" s="6" t="inlineStr"/>
      <c r="AH48" s="6" t="inlineStr">
        <is>
          <t>No</t>
        </is>
      </c>
      <c r="AI48" s="6" t="inlineStr">
        <is>
          <t>Closed within the cited record at baseline.</t>
        </is>
      </c>
      <c r="AJ48" s="6" t="inlineStr">
        <is>
          <t>SRC-11 'What is answered narrowly already'</t>
        </is>
      </c>
      <c r="AK48" s="6" t="inlineStr"/>
      <c r="AL48" s="6" t="inlineStr">
        <is>
          <t>S01</t>
        </is>
      </c>
    </row>
    <row r="49" ht="40.5" customHeight="1">
      <c r="A49" s="5" t="inlineStr">
        <is>
          <t>C-E04</t>
        </is>
      </c>
      <c r="B49" s="6" t="inlineStr">
        <is>
          <t>Blind investigator, comparator, the repo's agents and this review share a model family and some sources.</t>
        </is>
      </c>
      <c r="C49" s="6" t="inlineStr">
        <is>
          <t>ACCEPTED LIMITATION</t>
        </is>
      </c>
      <c r="D49" s="6" t="inlineStr">
        <is>
          <t>No</t>
        </is>
      </c>
      <c r="E49" s="6" t="inlineStr"/>
      <c r="F49" s="6" t="inlineStr"/>
      <c r="G49" s="12" t="inlineStr">
        <is>
          <t>ACCEPT-LIMITATION</t>
        </is>
      </c>
      <c r="H49" s="6" t="inlineStr">
        <is>
          <t>K16 Limits &amp; provenance</t>
        </is>
      </c>
      <c r="I49" s="6" t="inlineStr">
        <is>
          <t>G5 Housekeeping / no block</t>
        </is>
      </c>
      <c r="J49" s="6" t="inlineStr">
        <is>
          <t>Low</t>
        </is>
      </c>
      <c r="K49" s="6" t="n">
        <v>237</v>
      </c>
      <c r="L49" s="6" t="inlineStr">
        <is>
          <t>W5 Claim-time</t>
        </is>
      </c>
      <c r="M49" s="6" t="inlineStr">
        <is>
          <t>S25</t>
        </is>
      </c>
      <c r="N49" s="6" t="inlineStr">
        <is>
          <t>You</t>
        </is>
      </c>
      <c r="O49" s="6" t="inlineStr">
        <is>
          <t>Closed; moved to Archive</t>
        </is>
      </c>
      <c r="P49" s="6" t="inlineStr">
        <is>
          <t>n/a</t>
        </is>
      </c>
      <c r="Q49" s="6" t="inlineStr">
        <is>
          <t>Limitation</t>
        </is>
      </c>
      <c r="R49" s="6" t="inlineStr">
        <is>
          <t>Item</t>
        </is>
      </c>
      <c r="S49" s="6" t="inlineStr"/>
      <c r="T49" s="6" t="inlineStr">
        <is>
          <t>Blind investigator, comparator, the repo's agents and this review share a model family and some sources.</t>
        </is>
      </c>
      <c r="U49" s="6" t="inlineStr">
        <is>
          <t>Now also true of the repo's steward/challenger checks (all Sonnet).</t>
        </is>
      </c>
      <c r="V49" s="6" t="inlineStr">
        <is>
          <t>Accepted 2026-10-20 (the human); a limitation is closed by being stated, not by a test.</t>
        </is>
      </c>
      <c r="W49" s="6" t="inlineStr"/>
      <c r="X49" s="6" t="inlineStr"/>
      <c r="Y49" s="6" t="inlineStr">
        <is>
          <t>Q-U20</t>
        </is>
      </c>
      <c r="Z49" s="6" t="inlineStr"/>
      <c r="AA49" s="6" t="inlineStr"/>
      <c r="AB49" s="6" t="inlineStr">
        <is>
          <t>BOUND+RECORD</t>
        </is>
      </c>
      <c r="AC49" s="6" t="inlineStr">
        <is>
          <t>BOUNDARY</t>
        </is>
      </c>
      <c r="AD49" s="6" t="inlineStr">
        <is>
          <t>UNCHANGED</t>
        </is>
      </c>
      <c r="AE49" s="6" t="inlineStr">
        <is>
          <t>2026-10-20</t>
        </is>
      </c>
      <c r="AF49" s="6" t="inlineStr">
        <is>
          <t>Questions Q-U20 (answer cell, verbatim); chat message of 2026-10-20</t>
        </is>
      </c>
      <c r="AG49" s="6" t="inlineStr"/>
      <c r="AH49" s="6" t="inlineStr">
        <is>
          <t>No</t>
        </is>
      </c>
      <c r="AI49" s="6" t="inlineStr">
        <is>
          <t>Accepted by the human on 2026-10-20, in the human's words: "I accept all 7 in B"</t>
        </is>
      </c>
      <c r="AJ49" s="6" t="inlineStr">
        <is>
          <t>SRC-11 canonical</t>
        </is>
      </c>
      <c r="AK49" s="6" t="inlineStr">
        <is>
          <t>SRC-06 P05, SRC-06 P08, SRC-07 30, CAVEATS 11</t>
        </is>
      </c>
      <c r="AL49" s="6" t="inlineStr">
        <is>
          <t>S25</t>
        </is>
      </c>
    </row>
    <row r="50" ht="40.5" customHeight="1">
      <c r="A50" s="5" t="inlineStr">
        <is>
          <t>C-P02/P05</t>
        </is>
      </c>
      <c r="B50" s="6" t="inlineStr">
        <is>
          <t>Same-model/operator/source risk</t>
        </is>
      </c>
      <c r="C50" s="6" t="inlineStr">
        <is>
          <t>ACCEPTED LIMITATION</t>
        </is>
      </c>
      <c r="D50" s="6" t="inlineStr">
        <is>
          <t>No</t>
        </is>
      </c>
      <c r="E50" s="6" t="inlineStr"/>
      <c r="F50" s="6" t="inlineStr"/>
      <c r="G50" s="12" t="inlineStr">
        <is>
          <t>ACCEPT-LIMITATION</t>
        </is>
      </c>
      <c r="H50" s="6" t="inlineStr">
        <is>
          <t>K16 Limits &amp; provenance</t>
        </is>
      </c>
      <c r="I50" s="6" t="inlineStr">
        <is>
          <t>G5 Housekeeping / no block</t>
        </is>
      </c>
      <c r="J50" s="6" t="inlineStr">
        <is>
          <t>Low</t>
        </is>
      </c>
      <c r="K50" s="6" t="n">
        <v>244</v>
      </c>
      <c r="L50" s="6" t="inlineStr">
        <is>
          <t>W5 Claim-time</t>
        </is>
      </c>
      <c r="M50" s="6" t="inlineStr">
        <is>
          <t>S25</t>
        </is>
      </c>
      <c r="N50" s="6" t="inlineStr">
        <is>
          <t>You</t>
        </is>
      </c>
      <c r="O50" s="6" t="inlineStr">
        <is>
          <t>Closed; moved to Archive</t>
        </is>
      </c>
      <c r="P50" s="6" t="inlineStr">
        <is>
          <t>No</t>
        </is>
      </c>
      <c r="Q50" s="6" t="inlineStr">
        <is>
          <t>Limitation</t>
        </is>
      </c>
      <c r="R50" s="6" t="inlineStr">
        <is>
          <t>Sub-item</t>
        </is>
      </c>
      <c r="S50" s="6" t="inlineStr">
        <is>
          <t>C-P02</t>
        </is>
      </c>
      <c r="T50" s="6" t="inlineStr">
        <is>
          <t>SRC-06 P05: the independent work shares model family, operator and sources with the thesis work.</t>
        </is>
      </c>
      <c r="U50" s="6" t="inlineStr">
        <is>
          <t>Outside the repo.</t>
        </is>
      </c>
      <c r="V50" s="6" t="inlineStr">
        <is>
          <t>Accepted 2026-10-20 (the human); a limitation is closed by being stated, not by a test.</t>
        </is>
      </c>
      <c r="W50" s="6" t="inlineStr"/>
      <c r="X50" s="6" t="inlineStr"/>
      <c r="Y50" s="6" t="inlineStr">
        <is>
          <t>Q-U20</t>
        </is>
      </c>
      <c r="Z50" s="6" t="inlineStr"/>
      <c r="AA50" s="6" t="inlineStr"/>
      <c r="AB50" s="6" t="inlineStr">
        <is>
          <t>BOUND+RECORD</t>
        </is>
      </c>
      <c r="AC50" s="6" t="inlineStr">
        <is>
          <t>n/a (sub-item)</t>
        </is>
      </c>
      <c r="AD50" s="6" t="inlineStr">
        <is>
          <t>NEW (SRC-11 sub-row)</t>
        </is>
      </c>
      <c r="AE50" s="6" t="inlineStr">
        <is>
          <t>2026-10-20</t>
        </is>
      </c>
      <c r="AF50" s="6" t="inlineStr">
        <is>
          <t>Questions Q-U20 (answer cell, verbatim); chat message of 2026-10-20</t>
        </is>
      </c>
      <c r="AG50" s="6" t="inlineStr"/>
      <c r="AH50" s="6" t="inlineStr">
        <is>
          <t>No</t>
        </is>
      </c>
      <c r="AI50" s="6" t="inlineStr">
        <is>
          <t>Accepted by the human on 2026-10-20, in the human's words: "I accept all 7 in B"</t>
        </is>
      </c>
      <c r="AJ50" s="6" t="inlineStr">
        <is>
          <t>SRC-11 section D5</t>
        </is>
      </c>
      <c r="AK50" s="6" t="inlineStr">
        <is>
          <t>SRC-06 P05, CAVEATS 11</t>
        </is>
      </c>
      <c r="AL50" s="6" t="inlineStr">
        <is>
          <t>S25</t>
        </is>
      </c>
    </row>
    <row r="51" ht="40.5" customHeight="1">
      <c r="A51" s="5" t="inlineStr">
        <is>
          <t>C-P02/P07</t>
        </is>
      </c>
      <c r="B51" s="6" t="inlineStr">
        <is>
          <t>Asymmetric coverage between investigations</t>
        </is>
      </c>
      <c r="C51" s="6" t="inlineStr">
        <is>
          <t>ACCEPTED LIMITATION</t>
        </is>
      </c>
      <c r="D51" s="6" t="inlineStr">
        <is>
          <t>No</t>
        </is>
      </c>
      <c r="E51" s="6" t="inlineStr"/>
      <c r="F51" s="6" t="inlineStr"/>
      <c r="G51" s="12" t="inlineStr">
        <is>
          <t>ACCEPT-LIMITATION</t>
        </is>
      </c>
      <c r="H51" s="6" t="inlineStr">
        <is>
          <t>K16 Limits &amp; provenance</t>
        </is>
      </c>
      <c r="I51" s="6" t="inlineStr">
        <is>
          <t>G5 Housekeeping / no block</t>
        </is>
      </c>
      <c r="J51" s="6" t="inlineStr">
        <is>
          <t>Low</t>
        </is>
      </c>
      <c r="K51" s="6" t="n">
        <v>246</v>
      </c>
      <c r="L51" s="6" t="inlineStr">
        <is>
          <t>W5 Claim-time</t>
        </is>
      </c>
      <c r="M51" s="6" t="inlineStr">
        <is>
          <t>S25</t>
        </is>
      </c>
      <c r="N51" s="6" t="inlineStr">
        <is>
          <t>You</t>
        </is>
      </c>
      <c r="O51" s="6" t="inlineStr">
        <is>
          <t>Closed; moved to Archive</t>
        </is>
      </c>
      <c r="P51" s="6" t="inlineStr">
        <is>
          <t>No</t>
        </is>
      </c>
      <c r="Q51" s="6" t="inlineStr">
        <is>
          <t>Limitation</t>
        </is>
      </c>
      <c r="R51" s="6" t="inlineStr">
        <is>
          <t>Sub-item</t>
        </is>
      </c>
      <c r="S51" s="6" t="inlineStr">
        <is>
          <t>C-P02</t>
        </is>
      </c>
      <c r="T51" s="6" t="inlineStr">
        <is>
          <t>SRC-06 P07: coverage asymmetry between the independent and the thesis tracks.</t>
        </is>
      </c>
      <c r="U51" s="6" t="inlineStr">
        <is>
          <t>Outside the repo.</t>
        </is>
      </c>
      <c r="V51" s="6" t="inlineStr">
        <is>
          <t>Accepted 2026-10-20 (the human); a limitation is closed by being stated, not by a test.</t>
        </is>
      </c>
      <c r="W51" s="6" t="inlineStr"/>
      <c r="X51" s="6" t="inlineStr"/>
      <c r="Y51" s="6" t="inlineStr">
        <is>
          <t>Q-U20</t>
        </is>
      </c>
      <c r="Z51" s="6" t="inlineStr"/>
      <c r="AA51" s="6" t="inlineStr"/>
      <c r="AB51" s="6" t="inlineStr">
        <is>
          <t>BOUND</t>
        </is>
      </c>
      <c r="AC51" s="6" t="inlineStr">
        <is>
          <t>n/a (sub-item)</t>
        </is>
      </c>
      <c r="AD51" s="6" t="inlineStr">
        <is>
          <t>NEW (SRC-11 sub-row)</t>
        </is>
      </c>
      <c r="AE51" s="6" t="inlineStr">
        <is>
          <t>2026-10-20</t>
        </is>
      </c>
      <c r="AF51" s="6" t="inlineStr">
        <is>
          <t>Questions Q-U20 (answer cell, verbatim); chat message of 2026-10-20</t>
        </is>
      </c>
      <c r="AG51" s="6" t="inlineStr"/>
      <c r="AH51" s="6" t="inlineStr">
        <is>
          <t>No</t>
        </is>
      </c>
      <c r="AI51" s="6" t="inlineStr">
        <is>
          <t>Accepted by the human on 2026-10-20, in the human's words: "I accept all 7 in B"</t>
        </is>
      </c>
      <c r="AJ51" s="6" t="inlineStr">
        <is>
          <t>SRC-11 section D5</t>
        </is>
      </c>
      <c r="AK51" s="6" t="inlineStr">
        <is>
          <t>SRC-06 P07</t>
        </is>
      </c>
      <c r="AL51" s="6" t="inlineStr">
        <is>
          <t>S25</t>
        </is>
      </c>
    </row>
    <row r="52" ht="40.5" customHeight="1">
      <c r="A52" s="5" t="inlineStr">
        <is>
          <t>C-P02/P08</t>
        </is>
      </c>
      <c r="B52" s="6" t="inlineStr">
        <is>
          <t>Shared-source convergence</t>
        </is>
      </c>
      <c r="C52" s="6" t="inlineStr">
        <is>
          <t>ACCEPTED LIMITATION</t>
        </is>
      </c>
      <c r="D52" s="6" t="inlineStr">
        <is>
          <t>No</t>
        </is>
      </c>
      <c r="E52" s="6" t="inlineStr"/>
      <c r="F52" s="6" t="inlineStr"/>
      <c r="G52" s="12" t="inlineStr">
        <is>
          <t>ACCEPT-LIMITATION</t>
        </is>
      </c>
      <c r="H52" s="6" t="inlineStr">
        <is>
          <t>K16 Limits &amp; provenance</t>
        </is>
      </c>
      <c r="I52" s="6" t="inlineStr">
        <is>
          <t>G5 Housekeeping / no block</t>
        </is>
      </c>
      <c r="J52" s="6" t="inlineStr">
        <is>
          <t>Low</t>
        </is>
      </c>
      <c r="K52" s="6" t="n">
        <v>247</v>
      </c>
      <c r="L52" s="6" t="inlineStr">
        <is>
          <t>W5 Claim-time</t>
        </is>
      </c>
      <c r="M52" s="6" t="inlineStr">
        <is>
          <t>S25</t>
        </is>
      </c>
      <c r="N52" s="6" t="inlineStr">
        <is>
          <t>You</t>
        </is>
      </c>
      <c r="O52" s="6" t="inlineStr">
        <is>
          <t>Closed; moved to Archive</t>
        </is>
      </c>
      <c r="P52" s="6" t="inlineStr">
        <is>
          <t>No</t>
        </is>
      </c>
      <c r="Q52" s="6" t="inlineStr">
        <is>
          <t>Limitation</t>
        </is>
      </c>
      <c r="R52" s="6" t="inlineStr">
        <is>
          <t>Sub-item</t>
        </is>
      </c>
      <c r="S52" s="6" t="inlineStr">
        <is>
          <t>C-P02</t>
        </is>
      </c>
      <c r="T52" s="6" t="inlineStr">
        <is>
          <t>SRC-06 P08: convergence may come from shared sources.</t>
        </is>
      </c>
      <c r="U52" s="6" t="inlineStr">
        <is>
          <t>Outside the repo.</t>
        </is>
      </c>
      <c r="V52" s="6" t="inlineStr">
        <is>
          <t>Accepted 2026-10-20 (the human); a limitation is closed by being stated, not by a test.</t>
        </is>
      </c>
      <c r="W52" s="6" t="inlineStr"/>
      <c r="X52" s="6" t="inlineStr"/>
      <c r="Y52" s="6" t="inlineStr">
        <is>
          <t>Q-U20</t>
        </is>
      </c>
      <c r="Z52" s="6" t="inlineStr"/>
      <c r="AA52" s="6" t="inlineStr"/>
      <c r="AB52" s="6" t="inlineStr">
        <is>
          <t>BOUND</t>
        </is>
      </c>
      <c r="AC52" s="6" t="inlineStr">
        <is>
          <t>n/a (sub-item)</t>
        </is>
      </c>
      <c r="AD52" s="6" t="inlineStr">
        <is>
          <t>NEW (SRC-11 sub-row)</t>
        </is>
      </c>
      <c r="AE52" s="6" t="inlineStr">
        <is>
          <t>2026-10-20</t>
        </is>
      </c>
      <c r="AF52" s="6" t="inlineStr">
        <is>
          <t>Questions Q-U20 (answer cell, verbatim); chat message of 2026-10-20</t>
        </is>
      </c>
      <c r="AG52" s="6" t="inlineStr"/>
      <c r="AH52" s="6" t="inlineStr">
        <is>
          <t>No</t>
        </is>
      </c>
      <c r="AI52" s="6" t="inlineStr">
        <is>
          <t>Accepted by the human on 2026-10-20, in the human's words: "I accept all 7 in B"</t>
        </is>
      </c>
      <c r="AJ52" s="6" t="inlineStr">
        <is>
          <t>SRC-11 section D5</t>
        </is>
      </c>
      <c r="AK52" s="6" t="inlineStr">
        <is>
          <t>SRC-06 P08, CAVEATS 11</t>
        </is>
      </c>
      <c r="AL52" s="6" t="inlineStr">
        <is>
          <t>S25</t>
        </is>
      </c>
    </row>
    <row r="53" ht="40.5" customHeight="1">
      <c r="A53" s="5" t="inlineStr">
        <is>
          <t>C-P02/P09</t>
        </is>
      </c>
      <c r="B53" s="6" t="inlineStr">
        <is>
          <t>One or no adversarial reviews</t>
        </is>
      </c>
      <c r="C53" s="6" t="inlineStr">
        <is>
          <t>ACCEPTED LIMITATION</t>
        </is>
      </c>
      <c r="D53" s="6" t="inlineStr">
        <is>
          <t>No</t>
        </is>
      </c>
      <c r="E53" s="6" t="inlineStr"/>
      <c r="F53" s="6" t="inlineStr"/>
      <c r="G53" s="12" t="inlineStr">
        <is>
          <t>ACCEPT-LIMITATION</t>
        </is>
      </c>
      <c r="H53" s="6" t="inlineStr">
        <is>
          <t>K16 Limits &amp; provenance</t>
        </is>
      </c>
      <c r="I53" s="6" t="inlineStr">
        <is>
          <t>G5 Housekeeping / no block</t>
        </is>
      </c>
      <c r="J53" s="6" t="inlineStr">
        <is>
          <t>Low</t>
        </is>
      </c>
      <c r="K53" s="6" t="n">
        <v>248</v>
      </c>
      <c r="L53" s="6" t="inlineStr">
        <is>
          <t>W5 Claim-time</t>
        </is>
      </c>
      <c r="M53" s="6" t="inlineStr">
        <is>
          <t>S25</t>
        </is>
      </c>
      <c r="N53" s="6" t="inlineStr">
        <is>
          <t>You</t>
        </is>
      </c>
      <c r="O53" s="6" t="inlineStr">
        <is>
          <t>Closed; moved to Archive</t>
        </is>
      </c>
      <c r="P53" s="6" t="inlineStr">
        <is>
          <t>No</t>
        </is>
      </c>
      <c r="Q53" s="6" t="inlineStr">
        <is>
          <t>Limitation</t>
        </is>
      </c>
      <c r="R53" s="6" t="inlineStr">
        <is>
          <t>Sub-item</t>
        </is>
      </c>
      <c r="S53" s="6" t="inlineStr">
        <is>
          <t>C-P02</t>
        </is>
      </c>
      <c r="T53" s="6" t="inlineStr">
        <is>
          <t>SRC-06 P09: one or no adversarial reviews of the independent work.</t>
        </is>
      </c>
      <c r="U53" s="6" t="inlineStr">
        <is>
          <t>Outside the repo.</t>
        </is>
      </c>
      <c r="V53" s="6" t="inlineStr">
        <is>
          <t>Accepted 2026-10-20 (the human); a limitation is closed by being stated, not by a test.</t>
        </is>
      </c>
      <c r="W53" s="6" t="inlineStr"/>
      <c r="X53" s="6" t="inlineStr"/>
      <c r="Y53" s="6" t="inlineStr">
        <is>
          <t>Q-U20</t>
        </is>
      </c>
      <c r="Z53" s="6" t="inlineStr"/>
      <c r="AA53" s="6" t="inlineStr"/>
      <c r="AB53" s="6" t="inlineStr">
        <is>
          <t>BOUND</t>
        </is>
      </c>
      <c r="AC53" s="6" t="inlineStr">
        <is>
          <t>n/a (sub-item)</t>
        </is>
      </c>
      <c r="AD53" s="6" t="inlineStr">
        <is>
          <t>NEW (SRC-11 sub-row)</t>
        </is>
      </c>
      <c r="AE53" s="6" t="inlineStr">
        <is>
          <t>2026-10-20</t>
        </is>
      </c>
      <c r="AF53" s="6" t="inlineStr">
        <is>
          <t>Questions Q-U20 (answer cell, verbatim); chat message of 2026-10-20</t>
        </is>
      </c>
      <c r="AG53" s="6" t="inlineStr"/>
      <c r="AH53" s="6" t="inlineStr">
        <is>
          <t>No</t>
        </is>
      </c>
      <c r="AI53" s="6" t="inlineStr">
        <is>
          <t>Accepted by the human on 2026-10-20, in the human's words: "I accept all 7 in B"</t>
        </is>
      </c>
      <c r="AJ53" s="6" t="inlineStr">
        <is>
          <t>SRC-11 section D5</t>
        </is>
      </c>
      <c r="AK53" s="6" t="inlineStr">
        <is>
          <t>SRC-06 P09</t>
        </is>
      </c>
      <c r="AL53" s="6" t="inlineStr">
        <is>
          <t>S25</t>
        </is>
      </c>
    </row>
    <row r="54" ht="40.5" customHeight="1">
      <c r="A54" s="5" t="inlineStr">
        <is>
          <t>C-P03/P14</t>
        </is>
      </c>
      <c r="B54" s="6" t="inlineStr">
        <is>
          <t>Older workspace saw excerpts/ASR; SRC-09 read full October notes</t>
        </is>
      </c>
      <c r="C54" s="6" t="inlineStr">
        <is>
          <t>ACCEPTED LIMITATION</t>
        </is>
      </c>
      <c r="D54" s="6" t="inlineStr">
        <is>
          <t>No</t>
        </is>
      </c>
      <c r="E54" s="6" t="inlineStr"/>
      <c r="F54" s="6" t="inlineStr"/>
      <c r="G54" s="12" t="inlineStr">
        <is>
          <t>ACCEPT-LIMITATION</t>
        </is>
      </c>
      <c r="H54" s="6" t="inlineStr">
        <is>
          <t>K16 Limits &amp; provenance</t>
        </is>
      </c>
      <c r="I54" s="6" t="inlineStr">
        <is>
          <t>G5 Housekeeping / no block</t>
        </is>
      </c>
      <c r="J54" s="6" t="inlineStr">
        <is>
          <t>Low</t>
        </is>
      </c>
      <c r="K54" s="6" t="n">
        <v>252</v>
      </c>
      <c r="L54" s="6" t="inlineStr">
        <is>
          <t>W5 Claim-time</t>
        </is>
      </c>
      <c r="M54" s="6" t="inlineStr">
        <is>
          <t>S25</t>
        </is>
      </c>
      <c r="N54" s="6" t="inlineStr">
        <is>
          <t>You</t>
        </is>
      </c>
      <c r="O54" s="6" t="inlineStr">
        <is>
          <t>Closed; moved to Archive</t>
        </is>
      </c>
      <c r="P54" s="6" t="inlineStr">
        <is>
          <t>Partly</t>
        </is>
      </c>
      <c r="Q54" s="6" t="inlineStr">
        <is>
          <t>Limitation</t>
        </is>
      </c>
      <c r="R54" s="6" t="inlineStr">
        <is>
          <t>Sub-item</t>
        </is>
      </c>
      <c r="S54" s="6" t="inlineStr">
        <is>
          <t>C-P03</t>
        </is>
      </c>
      <c r="T54" s="6" t="inlineStr">
        <is>
          <t>SRC-06 P14: the older workspace saw excerpts and automatic transcription only, while SRC-09 read the full October notes.</t>
        </is>
      </c>
      <c r="U54" s="6" t="inlineStr">
        <is>
          <t>This repo has only the nine excerpts of 14 Oct.</t>
        </is>
      </c>
      <c r="V54" s="6" t="inlineStr">
        <is>
          <t>Accepted 2026-10-20 (the human); a limitation is closed by being stated, not by a test.</t>
        </is>
      </c>
      <c r="W54" s="6" t="inlineStr"/>
      <c r="X54" s="6" t="inlineStr"/>
      <c r="Y54" s="6" t="inlineStr">
        <is>
          <t>Q-U20</t>
        </is>
      </c>
      <c r="Z54" s="6" t="inlineStr"/>
      <c r="AA54" s="6" t="inlineStr"/>
      <c r="AB54" s="6" t="inlineStr">
        <is>
          <t>RECORD+DEC</t>
        </is>
      </c>
      <c r="AC54" s="6" t="inlineStr">
        <is>
          <t>n/a (sub-item)</t>
        </is>
      </c>
      <c r="AD54" s="6" t="inlineStr">
        <is>
          <t>NEW (SRC-11 sub-row)</t>
        </is>
      </c>
      <c r="AE54" s="6" t="inlineStr">
        <is>
          <t>2026-10-20</t>
        </is>
      </c>
      <c r="AF54" s="6" t="inlineStr">
        <is>
          <t>Questions Q-U20 (answer cell, verbatim); chat message of 2026-10-20</t>
        </is>
      </c>
      <c r="AG54" s="6" t="inlineStr"/>
      <c r="AH54" s="6" t="inlineStr">
        <is>
          <t>Yes (reconciliation)</t>
        </is>
      </c>
      <c r="AI54" s="6" t="inlineStr">
        <is>
          <t>Accepted by the human on 2026-10-20, in the human's words: "I accept all 7 in B"</t>
        </is>
      </c>
      <c r="AJ54" s="6" t="inlineStr">
        <is>
          <t>SRC-11 section D5</t>
        </is>
      </c>
      <c r="AK54" s="6" t="inlineStr">
        <is>
          <t>SRC-06 P14</t>
        </is>
      </c>
      <c r="AL54" s="6" t="inlineStr">
        <is>
          <t>S25</t>
        </is>
      </c>
    </row>
    <row r="56">
      <c r="A56" s="22" t="inlineStr">
        <is>
          <t>Closed rows live here. Move a row from Ledger to here only when its status is CLOSED and the Change log records it; the ID stays unique across Ledger and Archive (see Overview checks).</t>
        </is>
      </c>
    </row>
  </sheetData>
  <autoFilter ref="A1:AL54"/>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352"/>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0" ht="15.5" customHeight="1">
      <c r="A310" s="6" t="inlineStr">
        <is>
          <t>2026-10-20</t>
        </is>
      </c>
      <c r="B310" s="6" t="inlineStr">
        <is>
          <t>C-E02/E21</t>
        </is>
      </c>
      <c r="C310" s="6" t="inlineStr">
        <is>
          <t>Current status</t>
        </is>
      </c>
      <c r="D310" s="6" t="inlineStr">
        <is>
          <t>PARTLY ANSWERED</t>
        </is>
      </c>
      <c r="E310" s="6" t="inlineStr">
        <is>
          <t>DEFERRED</t>
        </is>
      </c>
      <c r="F310" s="6" t="inlineStr">
        <is>
          <t>non-pivotal: no live document depends on it</t>
        </is>
      </c>
      <c r="G310" s="6" t="inlineStr">
        <is>
          <t>batch 13a (lead, deferrals)</t>
        </is>
      </c>
      <c r="H310" s="6" t="inlineStr">
        <is>
          <t>Claude</t>
        </is>
      </c>
    </row>
    <row r="311" ht="15.5" customHeight="1">
      <c r="A311" s="6" t="inlineStr">
        <is>
          <t>2026-10-20</t>
        </is>
      </c>
      <c r="B311" s="6" t="inlineStr">
        <is>
          <t>C-E02/E22</t>
        </is>
      </c>
      <c r="C311" s="6" t="inlineStr">
        <is>
          <t>Current status</t>
        </is>
      </c>
      <c r="D311" s="6" t="inlineStr">
        <is>
          <t>PARTLY ANSWERED</t>
        </is>
      </c>
      <c r="E311" s="6" t="inlineStr">
        <is>
          <t>DEFERRED</t>
        </is>
      </c>
      <c r="F311" s="6" t="inlineStr">
        <is>
          <t>non-pivotal: no live document depends on it</t>
        </is>
      </c>
      <c r="G311" s="6" t="inlineStr">
        <is>
          <t>batch 13a (lead, deferrals)</t>
        </is>
      </c>
      <c r="H311" s="6" t="inlineStr">
        <is>
          <t>Claude</t>
        </is>
      </c>
    </row>
    <row r="312" ht="15.5" customHeight="1">
      <c r="A312" s="6" t="inlineStr">
        <is>
          <t>2026-10-20</t>
        </is>
      </c>
      <c r="B312" s="6" t="inlineStr">
        <is>
          <t>C-E02/E23</t>
        </is>
      </c>
      <c r="C312" s="6" t="inlineStr">
        <is>
          <t>Current status</t>
        </is>
      </c>
      <c r="D312" s="6" t="inlineStr">
        <is>
          <t>PARTLY ANSWERED</t>
        </is>
      </c>
      <c r="E312" s="6" t="inlineStr">
        <is>
          <t>DEFERRED</t>
        </is>
      </c>
      <c r="F312" s="6" t="inlineStr">
        <is>
          <t>non-pivotal: no live document depends on it</t>
        </is>
      </c>
      <c r="G312" s="6" t="inlineStr">
        <is>
          <t>batch 13a (lead, deferrals)</t>
        </is>
      </c>
      <c r="H312" s="6" t="inlineStr">
        <is>
          <t>Claude</t>
        </is>
      </c>
    </row>
    <row r="313" ht="15.5" customHeight="1">
      <c r="A313" s="6" t="inlineStr">
        <is>
          <t>2026-10-20</t>
        </is>
      </c>
      <c r="B313" s="6" t="inlineStr">
        <is>
          <t>C-E02/E24</t>
        </is>
      </c>
      <c r="C313" s="6" t="inlineStr">
        <is>
          <t>Current status</t>
        </is>
      </c>
      <c r="D313" s="6" t="inlineStr">
        <is>
          <t>PARTLY ANSWERED</t>
        </is>
      </c>
      <c r="E313" s="6" t="inlineStr">
        <is>
          <t>DEFERRED</t>
        </is>
      </c>
      <c r="F313" s="6" t="inlineStr">
        <is>
          <t>non-pivotal: no live document depends on it</t>
        </is>
      </c>
      <c r="G313" s="6" t="inlineStr">
        <is>
          <t>batch 13a (lead, deferrals)</t>
        </is>
      </c>
      <c r="H313" s="6" t="inlineStr">
        <is>
          <t>Claude</t>
        </is>
      </c>
    </row>
    <row r="314" ht="15.5" customHeight="1">
      <c r="A314" s="6" t="inlineStr">
        <is>
          <t>2026-10-20</t>
        </is>
      </c>
      <c r="B314" s="6" t="inlineStr">
        <is>
          <t>C-E02/E26</t>
        </is>
      </c>
      <c r="C314" s="6" t="inlineStr">
        <is>
          <t>Current status</t>
        </is>
      </c>
      <c r="D314" s="6" t="inlineStr">
        <is>
          <t>PARTLY ANSWERED</t>
        </is>
      </c>
      <c r="E314" s="6" t="inlineStr">
        <is>
          <t>DEFERRED</t>
        </is>
      </c>
      <c r="F314" s="6" t="inlineStr">
        <is>
          <t>non-pivotal: no live document depends on it</t>
        </is>
      </c>
      <c r="G314" s="6" t="inlineStr">
        <is>
          <t>batch 13a (lead, deferrals)</t>
        </is>
      </c>
      <c r="H314" s="6" t="inlineStr">
        <is>
          <t>Claude</t>
        </is>
      </c>
    </row>
    <row r="315" ht="15.5" customHeight="1">
      <c r="A315" s="6" t="inlineStr">
        <is>
          <t>2026-10-20</t>
        </is>
      </c>
      <c r="B315" s="6" t="inlineStr">
        <is>
          <t>C-E02/E31</t>
        </is>
      </c>
      <c r="C315" s="6" t="inlineStr">
        <is>
          <t>Current status</t>
        </is>
      </c>
      <c r="D315" s="6" t="inlineStr">
        <is>
          <t>PARTLY ANSWERED</t>
        </is>
      </c>
      <c r="E315" s="6" t="inlineStr">
        <is>
          <t>DEFERRED</t>
        </is>
      </c>
      <c r="F315" s="6" t="inlineStr">
        <is>
          <t>non-pivotal: no live document depends on it</t>
        </is>
      </c>
      <c r="G315" s="6" t="inlineStr">
        <is>
          <t>batch 13a (lead, deferrals)</t>
        </is>
      </c>
      <c r="H315" s="6" t="inlineStr">
        <is>
          <t>Claude</t>
        </is>
      </c>
    </row>
    <row r="316" ht="15.5" customHeight="1">
      <c r="A316" s="6" t="inlineStr">
        <is>
          <t>2026-10-20</t>
        </is>
      </c>
      <c r="B316" s="6" t="inlineStr">
        <is>
          <t>C-E02/E32</t>
        </is>
      </c>
      <c r="C316" s="6" t="inlineStr">
        <is>
          <t>Current status</t>
        </is>
      </c>
      <c r="D316" s="6" t="inlineStr">
        <is>
          <t>OPEN</t>
        </is>
      </c>
      <c r="E316" s="6" t="inlineStr">
        <is>
          <t>DEFERRED</t>
        </is>
      </c>
      <c r="F316" s="6" t="inlineStr">
        <is>
          <t>non-pivotal: no live document depends on it</t>
        </is>
      </c>
      <c r="G316" s="6" t="inlineStr">
        <is>
          <t>batch 13a (lead, deferrals)</t>
        </is>
      </c>
      <c r="H316" s="6" t="inlineStr">
        <is>
          <t>Claude</t>
        </is>
      </c>
    </row>
    <row r="317" ht="15.5" customHeight="1">
      <c r="A317" s="6" t="inlineStr">
        <is>
          <t>2026-10-20</t>
        </is>
      </c>
      <c r="B317" s="6" t="inlineStr">
        <is>
          <t>C-E02/E33</t>
        </is>
      </c>
      <c r="C317" s="6" t="inlineStr">
        <is>
          <t>Current status</t>
        </is>
      </c>
      <c r="D317" s="6" t="inlineStr">
        <is>
          <t>OPEN</t>
        </is>
      </c>
      <c r="E317" s="6" t="inlineStr">
        <is>
          <t>DEFERRED</t>
        </is>
      </c>
      <c r="F317" s="6" t="inlineStr">
        <is>
          <t>non-pivotal: no live document depends on it</t>
        </is>
      </c>
      <c r="G317" s="6" t="inlineStr">
        <is>
          <t>batch 13a (lead, deferrals)</t>
        </is>
      </c>
      <c r="H317" s="6" t="inlineStr">
        <is>
          <t>Claude</t>
        </is>
      </c>
    </row>
    <row r="318" ht="28" customHeight="1">
      <c r="A318" s="6" t="inlineStr">
        <is>
          <t>2026-10-20</t>
        </is>
      </c>
      <c r="B318" s="6" t="inlineStr">
        <is>
          <t>C-E02/STEWARDUNREAD</t>
        </is>
      </c>
      <c r="C318" s="6" t="inlineStr">
        <is>
          <t>Current status</t>
        </is>
      </c>
      <c r="D318" s="6" t="inlineStr">
        <is>
          <t>PARTLY ANSWERED</t>
        </is>
      </c>
      <c r="E318" s="6" t="inlineStr">
        <is>
          <t>DEFERRED</t>
        </is>
      </c>
      <c r="F318" s="6" t="inlineStr">
        <is>
          <t>non-pivotal: no live document depends on it</t>
        </is>
      </c>
      <c r="G318" s="6" t="inlineStr">
        <is>
          <t>batch 13a (lead, deferrals)</t>
        </is>
      </c>
      <c r="H318" s="6" t="inlineStr">
        <is>
          <t>Claude</t>
        </is>
      </c>
    </row>
    <row r="319" ht="65.5" customHeight="1">
      <c r="A319" s="6" t="inlineStr">
        <is>
          <t>2026-10-20</t>
        </is>
      </c>
      <c r="B319" s="6" t="inlineStr">
        <is>
          <t>C-E02</t>
        </is>
      </c>
      <c r="C319" s="6" t="inlineStr">
        <is>
          <t>Known / basis</t>
        </is>
      </c>
      <c r="D319" s="6" t="inlineStr">
        <is>
          <t>(previous text)</t>
        </is>
      </c>
      <c r="E319" s="6" t="inlineStr">
        <is>
          <t>E20, E22, E31 partly addressed (provider pages, BFCL data, MCP-Zero/ScaleMCP/MemTool bodies); others not touched. Batches 8-9 (2026-10-19): pivotal ta</t>
        </is>
      </c>
      <c r="F319" s="6" t="inlineStr">
        <is>
          <t>children deferred</t>
        </is>
      </c>
      <c r="G319" s="6" t="inlineStr">
        <is>
          <t>batch 13a (lead, deferrals)</t>
        </is>
      </c>
      <c r="H319" s="6" t="inlineStr">
        <is>
          <t>Claude</t>
        </is>
      </c>
    </row>
    <row r="320" ht="15.5" customHeight="1">
      <c r="A320" s="6" t="inlineStr">
        <is>
          <t>2026-10-20</t>
        </is>
      </c>
      <c r="B320" s="6" t="inlineStr">
        <is>
          <t>(all)</t>
        </is>
      </c>
      <c r="C320" s="6" t="inlineStr">
        <is>
          <t>Order</t>
        </is>
      </c>
      <c r="D320" s="6" t="inlineStr">
        <is>
          <t>recomputed</t>
        </is>
      </c>
      <c r="E320" s="6" t="inlineStr">
        <is>
          <t>1..252</t>
        </is>
      </c>
      <c r="F320" s="6" t="inlineStr">
        <is>
          <t>Derived rank recomputed after batch 13a</t>
        </is>
      </c>
      <c r="G320" s="6" t="inlineStr">
        <is>
          <t>batch 13a</t>
        </is>
      </c>
      <c r="H320" s="6" t="inlineStr">
        <is>
          <t>Claude</t>
        </is>
      </c>
    </row>
    <row r="321" ht="28" customHeight="1">
      <c r="A321" s="6" t="inlineStr">
        <is>
          <t>2026-10-20</t>
        </is>
      </c>
      <c r="B321" s="6" t="inlineStr">
        <is>
          <t>C-E02/UNREADLEADS</t>
        </is>
      </c>
      <c r="C321" s="6" t="inlineStr">
        <is>
          <t>Current status</t>
        </is>
      </c>
      <c r="D321" s="6" t="inlineStr">
        <is>
          <t>OPEN</t>
        </is>
      </c>
      <c r="E321" s="6" t="inlineStr">
        <is>
          <t>DEFERRED</t>
        </is>
      </c>
      <c r="F321" s="6" t="inlineStr">
        <is>
          <t>survey read; remainder deferred</t>
        </is>
      </c>
      <c r="G321" s="6" t="inlineStr">
        <is>
          <t>batch 13b (T-20261020-108)</t>
        </is>
      </c>
      <c r="H321" s="6" t="inlineStr">
        <is>
          <t>Claude</t>
        </is>
      </c>
    </row>
    <row r="322" ht="65.5" customHeight="1">
      <c r="A322" s="6" t="inlineStr">
        <is>
          <t>2026-10-20</t>
        </is>
      </c>
      <c r="B322" s="6" t="inlineStr">
        <is>
          <t>N-6</t>
        </is>
      </c>
      <c r="C322" s="6" t="inlineStr">
        <is>
          <t>Known / basis</t>
        </is>
      </c>
      <c r="D322" s="6" t="inlineStr">
        <is>
          <t>(previous text)</t>
        </is>
      </c>
      <c r="E322" s="6" t="inlineStr">
        <is>
          <t>Not answered in the sample; related evidence: Apple (bundled categories, single runs), MemToolAgent (fewer than 40 tools), skills directory cost effec</t>
        </is>
      </c>
      <c r="F322" s="6" t="inlineStr">
        <is>
          <t>survey read; still not located</t>
        </is>
      </c>
      <c r="G322" s="6" t="inlineStr">
        <is>
          <t>batch 13b (T-20261020-108)</t>
        </is>
      </c>
      <c r="H322" s="6" t="inlineStr">
        <is>
          <t>Claude</t>
        </is>
      </c>
    </row>
    <row r="323" ht="15.5" customHeight="1">
      <c r="A323" s="6" t="inlineStr">
        <is>
          <t>2026-10-20</t>
        </is>
      </c>
      <c r="B323" s="6" t="inlineStr">
        <is>
          <t>(all)</t>
        </is>
      </c>
      <c r="C323" s="6" t="inlineStr">
        <is>
          <t>Order</t>
        </is>
      </c>
      <c r="D323" s="6" t="inlineStr">
        <is>
          <t>recomputed</t>
        </is>
      </c>
      <c r="E323" s="6" t="inlineStr">
        <is>
          <t>1..252</t>
        </is>
      </c>
      <c r="F323" s="6" t="inlineStr">
        <is>
          <t>Derived rank recomputed after batch 13b</t>
        </is>
      </c>
      <c r="G323" s="6" t="inlineStr">
        <is>
          <t>batch 13b</t>
        </is>
      </c>
      <c r="H323" s="6" t="inlineStr">
        <is>
          <t>Claude</t>
        </is>
      </c>
    </row>
    <row r="324" ht="15.5" customHeight="1">
      <c r="A324" s="6" t="inlineStr">
        <is>
          <t>2026-10-20</t>
        </is>
      </c>
      <c r="B324" s="6" t="inlineStr">
        <is>
          <t>AS-01</t>
        </is>
      </c>
      <c r="C324" s="6" t="inlineStr">
        <is>
          <t>Current status</t>
        </is>
      </c>
      <c r="D324" s="6" t="inlineStr">
        <is>
          <t>PARTLY ANSWERED</t>
        </is>
      </c>
      <c r="E324" s="6" t="inlineStr">
        <is>
          <t>CLOSED - BY EVIDENCE</t>
        </is>
      </c>
      <c r="F324" s="6" t="inlineStr">
        <is>
          <t>closed on evidence</t>
        </is>
      </c>
      <c r="G324" s="6" t="inlineStr">
        <is>
          <t>batch 14 (T-20261020-109)</t>
        </is>
      </c>
      <c r="H324" s="6" t="inlineStr">
        <is>
          <t>Claude</t>
        </is>
      </c>
    </row>
    <row r="325" ht="15.5" customHeight="1">
      <c r="A325" s="6" t="inlineStr">
        <is>
          <t>2026-10-20</t>
        </is>
      </c>
      <c r="B325" s="6" t="inlineStr">
        <is>
          <t>AS-03</t>
        </is>
      </c>
      <c r="C325" s="6" t="inlineStr">
        <is>
          <t>Current status</t>
        </is>
      </c>
      <c r="D325" s="6" t="inlineStr">
        <is>
          <t>PARTLY ANSWERED</t>
        </is>
      </c>
      <c r="E325" s="6" t="inlineStr">
        <is>
          <t>CLOSED - BY EVIDENCE</t>
        </is>
      </c>
      <c r="F325" s="6" t="inlineStr">
        <is>
          <t>closed on evidence</t>
        </is>
      </c>
      <c r="G325" s="6" t="inlineStr">
        <is>
          <t>batch 14 (T-20261020-109)</t>
        </is>
      </c>
      <c r="H325" s="6" t="inlineStr">
        <is>
          <t>Claude</t>
        </is>
      </c>
    </row>
    <row r="326" ht="15.5" customHeight="1">
      <c r="A326" s="6" t="inlineStr">
        <is>
          <t>2026-10-20</t>
        </is>
      </c>
      <c r="B326" s="6" t="inlineStr">
        <is>
          <t>C-S08/VOCAB</t>
        </is>
      </c>
      <c r="C326" s="6" t="inlineStr">
        <is>
          <t>Current status</t>
        </is>
      </c>
      <c r="D326" s="6" t="inlineStr">
        <is>
          <t>PARTLY ANSWERED</t>
        </is>
      </c>
      <c r="E326" s="6" t="inlineStr">
        <is>
          <t>CLOSED - BY EVIDENCE</t>
        </is>
      </c>
      <c r="F326" s="6" t="inlineStr">
        <is>
          <t>closed on evidence</t>
        </is>
      </c>
      <c r="G326" s="6" t="inlineStr">
        <is>
          <t>batch 14 (T-20261020-109)</t>
        </is>
      </c>
      <c r="H326" s="6" t="inlineStr">
        <is>
          <t>Claude</t>
        </is>
      </c>
    </row>
    <row r="327" ht="15.5" customHeight="1">
      <c r="A327" s="6" t="inlineStr">
        <is>
          <t>2026-10-20</t>
        </is>
      </c>
      <c r="B327" s="6" t="inlineStr">
        <is>
          <t>C-R03/RV7UNCHK</t>
        </is>
      </c>
      <c r="C327" s="6" t="inlineStr">
        <is>
          <t>Current status</t>
        </is>
      </c>
      <c r="D327" s="6" t="inlineStr">
        <is>
          <t>PARTLY ANSWERED</t>
        </is>
      </c>
      <c r="E327" s="6" t="inlineStr">
        <is>
          <t>CLOSED - BY EVIDENCE</t>
        </is>
      </c>
      <c r="F327" s="6" t="inlineStr">
        <is>
          <t>closed on evidence</t>
        </is>
      </c>
      <c r="G327" s="6" t="inlineStr">
        <is>
          <t>batch 14 (T-20261020-109)</t>
        </is>
      </c>
      <c r="H327" s="6" t="inlineStr">
        <is>
          <t>Claude</t>
        </is>
      </c>
    </row>
    <row r="328" ht="15.5" customHeight="1">
      <c r="A328" s="6" t="inlineStr">
        <is>
          <t>2026-10-20</t>
        </is>
      </c>
      <c r="B328" s="6" t="inlineStr">
        <is>
          <t>C-R03/ROUND45</t>
        </is>
      </c>
      <c r="C328" s="6" t="inlineStr">
        <is>
          <t>Current status</t>
        </is>
      </c>
      <c r="D328" s="6" t="inlineStr">
        <is>
          <t>PARTLY ANSWERED</t>
        </is>
      </c>
      <c r="E328" s="6" t="inlineStr">
        <is>
          <t>CLOSED - BY EVIDENCE</t>
        </is>
      </c>
      <c r="F328" s="6" t="inlineStr">
        <is>
          <t>closed on evidence</t>
        </is>
      </c>
      <c r="G328" s="6" t="inlineStr">
        <is>
          <t>batch 14 (T-20261020-109)</t>
        </is>
      </c>
      <c r="H328" s="6" t="inlineStr">
        <is>
          <t>Claude</t>
        </is>
      </c>
    </row>
    <row r="329" ht="65.5" customHeight="1">
      <c r="A329" s="6" t="inlineStr">
        <is>
          <t>2026-10-20</t>
        </is>
      </c>
      <c r="B329" s="6" t="inlineStr">
        <is>
          <t>C-R03/ROUND45-W</t>
        </is>
      </c>
      <c r="C329" s="6" t="inlineStr">
        <is>
          <t>Known / basis</t>
        </is>
      </c>
      <c r="D329" s="6" t="inlineStr">
        <is>
          <t>(previous text)</t>
        </is>
      </c>
      <c r="E329" s="6" t="inlineStr">
        <is>
          <t>Reported by one reviewer, partly re-checked by the lead. Not edited (earlier package). Batch 11 (2026-10-20): drafted in design/package-v4/06-correcti</t>
        </is>
      </c>
      <c r="F329" s="6" t="inlineStr">
        <is>
          <t>more corrections drafted</t>
        </is>
      </c>
      <c r="G329" s="6" t="inlineStr">
        <is>
          <t>batch 14 (T-20261020-109)</t>
        </is>
      </c>
      <c r="H329" s="6" t="inlineStr">
        <is>
          <t>Claude</t>
        </is>
      </c>
    </row>
    <row r="330" ht="65.5" customHeight="1">
      <c r="A330" s="6" t="inlineStr">
        <is>
          <t>2026-10-20</t>
        </is>
      </c>
      <c r="B330" s="6" t="inlineStr">
        <is>
          <t>N-17/WORDING</t>
        </is>
      </c>
      <c r="C330" s="6" t="inlineStr">
        <is>
          <t>Known / basis</t>
        </is>
      </c>
      <c r="D330" s="6" t="inlineStr">
        <is>
          <t>(previous text)</t>
        </is>
      </c>
      <c r="E330" s="6" t="inlineStr">
        <is>
          <t xml:space="preserve">Wording checked in the current files by the lead (05 line 1 and line 40 confirmed; counts reconciled in N-19: they are earlier cumulative snapshots). </t>
        </is>
      </c>
      <c r="F330" s="6" t="inlineStr">
        <is>
          <t>more corrections drafted</t>
        </is>
      </c>
      <c r="G330" s="6" t="inlineStr">
        <is>
          <t>batch 14 (T-20261020-109)</t>
        </is>
      </c>
      <c r="H330" s="6" t="inlineStr">
        <is>
          <t>Claude</t>
        </is>
      </c>
    </row>
    <row r="331" ht="15.5" customHeight="1">
      <c r="A331" s="6" t="inlineStr">
        <is>
          <t>2026-10-20</t>
        </is>
      </c>
      <c r="B331" s="6" t="inlineStr">
        <is>
          <t>C-E03</t>
        </is>
      </c>
      <c r="C331" s="6" t="inlineStr">
        <is>
          <t>Current status</t>
        </is>
      </c>
      <c r="D331" s="6" t="inlineStr">
        <is>
          <t>OPEN</t>
        </is>
      </c>
      <c r="E331" s="6" t="inlineStr">
        <is>
          <t>PARTLY ANSWERED</t>
        </is>
      </c>
      <c r="F331" s="6" t="inlineStr">
        <is>
          <t>maps written; pointer sentence drafted</t>
        </is>
      </c>
      <c r="G331" s="6" t="inlineStr">
        <is>
          <t>batch 14 (T-20261020-109)</t>
        </is>
      </c>
      <c r="H331" s="6" t="inlineStr">
        <is>
          <t>Claude</t>
        </is>
      </c>
    </row>
    <row r="332" ht="65.5" customHeight="1">
      <c r="A332" s="6" t="inlineStr">
        <is>
          <t>2026-10-20</t>
        </is>
      </c>
      <c r="B332" s="6" t="inlineStr">
        <is>
          <t>C-E03/E40</t>
        </is>
      </c>
      <c r="C332" s="6" t="inlineStr">
        <is>
          <t>Known / basis</t>
        </is>
      </c>
      <c r="D332" s="6" t="inlineStr">
        <is>
          <t>(previous text)</t>
        </is>
      </c>
      <c r="E332" s="6" t="inlineStr">
        <is>
          <t>The governing version report (evidence/governing/audit-s4h-20261015/B1-source-version-report.md) lists the differences between stored versions (EXT-01</t>
        </is>
      </c>
      <c r="F332" s="6" t="inlineStr">
        <is>
          <t>version sensitivity checked against the live documents</t>
        </is>
      </c>
      <c r="G332" s="6" t="inlineStr">
        <is>
          <t>batch 14 (T-20261020-109)</t>
        </is>
      </c>
      <c r="H332" s="6" t="inlineStr">
        <is>
          <t>Claude</t>
        </is>
      </c>
    </row>
    <row r="333" ht="65.5" customHeight="1">
      <c r="A333" s="6" t="inlineStr">
        <is>
          <t>2026-10-20</t>
        </is>
      </c>
      <c r="B333" s="6" t="inlineStr">
        <is>
          <t>N-19</t>
        </is>
      </c>
      <c r="C333" s="6" t="inlineStr">
        <is>
          <t>Known / basis</t>
        </is>
      </c>
      <c r="D333" s="6" t="inlineStr">
        <is>
          <t>(previous text)</t>
        </is>
      </c>
      <c r="E333" s="6" t="inlineStr">
        <is>
          <t>Pinned files (CLAUDE.md, SAFEGUARDS) need your review before edits. Batch 6: the counts reconcile as cumulative snapshots at different times: 8 search</t>
        </is>
      </c>
      <c r="F333" s="6" t="inlineStr">
        <is>
          <t>counts settled</t>
        </is>
      </c>
      <c r="G333" s="6" t="inlineStr">
        <is>
          <t>batch 14 (T-20261020-109)</t>
        </is>
      </c>
      <c r="H333" s="6" t="inlineStr">
        <is>
          <t>Claude</t>
        </is>
      </c>
    </row>
    <row r="334" ht="15.5" customHeight="1">
      <c r="A334" s="6" t="inlineStr">
        <is>
          <t>2026-10-20</t>
        </is>
      </c>
      <c r="B334" s="6" t="inlineStr">
        <is>
          <t>C-E01/E08</t>
        </is>
      </c>
      <c r="C334" s="6" t="inlineStr">
        <is>
          <t>Current status</t>
        </is>
      </c>
      <c r="D334" s="6" t="inlineStr">
        <is>
          <t>PARTLY ANSWERED</t>
        </is>
      </c>
      <c r="E334" s="6" t="inlineStr">
        <is>
          <t>DEFERRED</t>
        </is>
      </c>
      <c r="F334" s="6" t="inlineStr">
        <is>
          <t>non-pivotal or carried by another row</t>
        </is>
      </c>
      <c r="G334" s="6" t="inlineStr">
        <is>
          <t>batch 14 (T-20261020-109)</t>
        </is>
      </c>
      <c r="H334" s="6" t="inlineStr">
        <is>
          <t>Claude</t>
        </is>
      </c>
    </row>
    <row r="335" ht="15.5" customHeight="1">
      <c r="A335" s="6" t="inlineStr">
        <is>
          <t>2026-10-20</t>
        </is>
      </c>
      <c r="B335" s="6" t="inlineStr">
        <is>
          <t>C-R03/STUB</t>
        </is>
      </c>
      <c r="C335" s="6" t="inlineStr">
        <is>
          <t>Current status</t>
        </is>
      </c>
      <c r="D335" s="6" t="inlineStr">
        <is>
          <t>PARTLY ANSWERED</t>
        </is>
      </c>
      <c r="E335" s="6" t="inlineStr">
        <is>
          <t>DEFERRED</t>
        </is>
      </c>
      <c r="F335" s="6" t="inlineStr">
        <is>
          <t>non-pivotal or carried by another row</t>
        </is>
      </c>
      <c r="G335" s="6" t="inlineStr">
        <is>
          <t>batch 14 (T-20261020-109)</t>
        </is>
      </c>
      <c r="H335" s="6" t="inlineStr">
        <is>
          <t>Claude</t>
        </is>
      </c>
    </row>
    <row r="336" ht="15.5" customHeight="1">
      <c r="A336" s="6" t="inlineStr">
        <is>
          <t>2026-10-20</t>
        </is>
      </c>
      <c r="B336" s="6" t="inlineStr">
        <is>
          <t>C-R03/C27</t>
        </is>
      </c>
      <c r="C336" s="6" t="inlineStr">
        <is>
          <t>Current status</t>
        </is>
      </c>
      <c r="D336" s="6" t="inlineStr">
        <is>
          <t>OPEN</t>
        </is>
      </c>
      <c r="E336" s="6" t="inlineStr">
        <is>
          <t>DEFERRED</t>
        </is>
      </c>
      <c r="F336" s="6" t="inlineStr">
        <is>
          <t>non-pivotal or carried by another row</t>
        </is>
      </c>
      <c r="G336" s="6" t="inlineStr">
        <is>
          <t>batch 14 (T-20261020-109)</t>
        </is>
      </c>
      <c r="H336" s="6" t="inlineStr">
        <is>
          <t>Claude</t>
        </is>
      </c>
    </row>
    <row r="337" ht="15.5" customHeight="1">
      <c r="A337" s="6" t="inlineStr">
        <is>
          <t>2026-10-20</t>
        </is>
      </c>
      <c r="B337" s="6" t="inlineStr">
        <is>
          <t>C-S19/S40</t>
        </is>
      </c>
      <c r="C337" s="6" t="inlineStr">
        <is>
          <t>Next action</t>
        </is>
      </c>
      <c r="D337" s="6" t="inlineStr"/>
      <c r="E337" s="6" t="inlineStr">
        <is>
          <t>ask drafted, human sends</t>
        </is>
      </c>
      <c r="F337" s="6" t="inlineStr">
        <is>
          <t>design/ledger/notes/AUTHOR-ASKS-DRAFT-20261020.md</t>
        </is>
      </c>
      <c r="G337" s="6" t="inlineStr">
        <is>
          <t>batch 14 (T-20261020-109)</t>
        </is>
      </c>
      <c r="H337" s="6" t="inlineStr">
        <is>
          <t>Claude</t>
        </is>
      </c>
    </row>
    <row r="338" ht="15.5" customHeight="1">
      <c r="A338" s="6" t="inlineStr">
        <is>
          <t>2026-10-20</t>
        </is>
      </c>
      <c r="B338" s="6" t="inlineStr">
        <is>
          <t>C-S19/S41</t>
        </is>
      </c>
      <c r="C338" s="6" t="inlineStr">
        <is>
          <t>Next action</t>
        </is>
      </c>
      <c r="D338" s="6" t="inlineStr"/>
      <c r="E338" s="6" t="inlineStr">
        <is>
          <t>ask drafted, human sends</t>
        </is>
      </c>
      <c r="F338" s="6" t="inlineStr">
        <is>
          <t>design/ledger/notes/AUTHOR-ASKS-DRAFT-20261020.md</t>
        </is>
      </c>
      <c r="G338" s="6" t="inlineStr">
        <is>
          <t>batch 14 (T-20261020-109)</t>
        </is>
      </c>
      <c r="H338" s="6" t="inlineStr">
        <is>
          <t>Claude</t>
        </is>
      </c>
    </row>
    <row r="339" ht="15.5" customHeight="1">
      <c r="A339" s="6" t="inlineStr">
        <is>
          <t>2026-10-20</t>
        </is>
      </c>
      <c r="B339" s="6" t="inlineStr">
        <is>
          <t>C-S19/S42</t>
        </is>
      </c>
      <c r="C339" s="6" t="inlineStr">
        <is>
          <t>Next action</t>
        </is>
      </c>
      <c r="D339" s="6" t="inlineStr"/>
      <c r="E339" s="6" t="inlineStr">
        <is>
          <t>ask drafted, human sends</t>
        </is>
      </c>
      <c r="F339" s="6" t="inlineStr">
        <is>
          <t>design/ledger/notes/AUTHOR-ASKS-DRAFT-20261020.md</t>
        </is>
      </c>
      <c r="G339" s="6" t="inlineStr">
        <is>
          <t>batch 14 (T-20261020-109)</t>
        </is>
      </c>
      <c r="H339" s="6" t="inlineStr">
        <is>
          <t>Claude</t>
        </is>
      </c>
    </row>
    <row r="340" ht="15.5" customHeight="1">
      <c r="A340" s="6" t="inlineStr">
        <is>
          <t>2026-10-20</t>
        </is>
      </c>
      <c r="B340" s="6" t="inlineStr">
        <is>
          <t>C-S19/S43</t>
        </is>
      </c>
      <c r="C340" s="6" t="inlineStr">
        <is>
          <t>Next action</t>
        </is>
      </c>
      <c r="D340" s="6" t="inlineStr"/>
      <c r="E340" s="6" t="inlineStr">
        <is>
          <t>ask drafted, human sends</t>
        </is>
      </c>
      <c r="F340" s="6" t="inlineStr">
        <is>
          <t>design/ledger/notes/AUTHOR-ASKS-DRAFT-20261020.md</t>
        </is>
      </c>
      <c r="G340" s="6" t="inlineStr">
        <is>
          <t>batch 14 (T-20261020-109)</t>
        </is>
      </c>
      <c r="H340" s="6" t="inlineStr">
        <is>
          <t>Claude</t>
        </is>
      </c>
    </row>
    <row r="341" ht="15.5" customHeight="1">
      <c r="A341" s="6" t="inlineStr">
        <is>
          <t>2026-10-20</t>
        </is>
      </c>
      <c r="B341" s="6" t="inlineStr">
        <is>
          <t>C-E03/O7-27</t>
        </is>
      </c>
      <c r="C341" s="6" t="inlineStr">
        <is>
          <t>Next action</t>
        </is>
      </c>
      <c r="D341" s="6" t="inlineStr"/>
      <c r="E341" s="6" t="inlineStr">
        <is>
          <t>ask drafted, human sends</t>
        </is>
      </c>
      <c r="F341" s="6" t="inlineStr">
        <is>
          <t>design/ledger/notes/AUTHOR-ASKS-DRAFT-20261020.md</t>
        </is>
      </c>
      <c r="G341" s="6" t="inlineStr">
        <is>
          <t>batch 14 (T-20261020-109)</t>
        </is>
      </c>
      <c r="H341" s="6" t="inlineStr">
        <is>
          <t>Claude</t>
        </is>
      </c>
    </row>
    <row r="342" ht="15.5" customHeight="1">
      <c r="A342" s="6" t="inlineStr">
        <is>
          <t>2026-10-20</t>
        </is>
      </c>
      <c r="B342" s="6" t="inlineStr">
        <is>
          <t>C-E01/E02</t>
        </is>
      </c>
      <c r="C342" s="6" t="inlineStr">
        <is>
          <t>Next action</t>
        </is>
      </c>
      <c r="D342" s="6" t="inlineStr"/>
      <c r="E342" s="6" t="inlineStr">
        <is>
          <t>ask drafted, human sends</t>
        </is>
      </c>
      <c r="F342" s="6" t="inlineStr">
        <is>
          <t>design/ledger/notes/AUTHOR-ASKS-DRAFT-20261020.md</t>
        </is>
      </c>
      <c r="G342" s="6" t="inlineStr">
        <is>
          <t>batch 14 (T-20261020-109)</t>
        </is>
      </c>
      <c r="H342" s="6" t="inlineStr">
        <is>
          <t>Claude</t>
        </is>
      </c>
    </row>
    <row r="343" ht="15.5" customHeight="1">
      <c r="A343" s="6" t="inlineStr">
        <is>
          <t>2026-10-20</t>
        </is>
      </c>
      <c r="B343" s="6" t="inlineStr">
        <is>
          <t>C-S05</t>
        </is>
      </c>
      <c r="C343" s="6" t="inlineStr">
        <is>
          <t>Next action</t>
        </is>
      </c>
      <c r="D343" s="6" t="inlineStr"/>
      <c r="E343" s="6" t="inlineStr">
        <is>
          <t>ask drafted, human sends</t>
        </is>
      </c>
      <c r="F343" s="6" t="inlineStr">
        <is>
          <t>design/ledger/notes/AUTHOR-ASKS-DRAFT-20261020.md</t>
        </is>
      </c>
      <c r="G343" s="6" t="inlineStr">
        <is>
          <t>batch 14 (T-20261020-109)</t>
        </is>
      </c>
      <c r="H343" s="6" t="inlineStr">
        <is>
          <t>Claude</t>
        </is>
      </c>
    </row>
    <row r="344" ht="28" customHeight="1">
      <c r="A344" s="6" t="inlineStr">
        <is>
          <t>2026-10-20</t>
        </is>
      </c>
      <c r="B344" s="6" t="inlineStr">
        <is>
          <t>C-X09</t>
        </is>
      </c>
      <c r="C344" s="6" t="inlineStr">
        <is>
          <t>Known</t>
        </is>
      </c>
      <c r="D344" s="6" t="inlineStr">
        <is>
          <t>(previous text)</t>
        </is>
      </c>
      <c r="E344" s="6" t="inlineStr">
        <is>
          <t>pivotal reads, maps, asks drafted</t>
        </is>
      </c>
      <c r="F344" s="6" t="inlineStr">
        <is>
          <t>batches 3, 8, 9, 14</t>
        </is>
      </c>
      <c r="G344" s="6" t="inlineStr">
        <is>
          <t>batch 14 (T-20261020-109)</t>
        </is>
      </c>
      <c r="H344" s="6" t="inlineStr">
        <is>
          <t>Claude</t>
        </is>
      </c>
    </row>
    <row r="345" ht="40.5" customHeight="1">
      <c r="A345" s="6" t="inlineStr">
        <is>
          <t>2026-10-20</t>
        </is>
      </c>
      <c r="B345" s="6" t="inlineStr">
        <is>
          <t>AS-01</t>
        </is>
      </c>
      <c r="C345" s="6" t="inlineStr">
        <is>
          <t>Moved to Archive</t>
        </is>
      </c>
      <c r="D345" s="6" t="inlineStr">
        <is>
          <t>Ledger</t>
        </is>
      </c>
      <c r="E345" s="6" t="inlineStr">
        <is>
          <t>Archive (CLOSED - BY EVIDENCE)</t>
        </is>
      </c>
      <c r="F345" s="6" t="inlineStr">
        <is>
          <t>Closed 2026-10-20 as a literature check done: the sources are mixed by encoder class and metric; the supervisor's statement narrows to strong instruction-following encoders; nothing tested in our setting.</t>
        </is>
      </c>
      <c r="G345" s="6" t="inlineStr">
        <is>
          <t>batch 14 (T-20261020-109)</t>
        </is>
      </c>
      <c r="H345" s="6" t="inlineStr">
        <is>
          <t>Claude</t>
        </is>
      </c>
    </row>
    <row r="346" ht="40.5" customHeight="1">
      <c r="A346" s="6" t="inlineStr">
        <is>
          <t>2026-10-20</t>
        </is>
      </c>
      <c r="B346" s="6" t="inlineStr">
        <is>
          <t>AS-03</t>
        </is>
      </c>
      <c r="C346" s="6" t="inlineStr">
        <is>
          <t>Moved to Archive</t>
        </is>
      </c>
      <c r="D346" s="6" t="inlineStr">
        <is>
          <t>Ledger</t>
        </is>
      </c>
      <c r="E346" s="6" t="inlineStr">
        <is>
          <t>Archive (CLOSED - BY EVIDENCE)</t>
        </is>
      </c>
      <c r="F346" s="6" t="inlineStr">
        <is>
          <t>Closed 2026-10-20 as a literature check done: keyword retrieval is neither useless nor competitive with the strongest encoders on the stored metrics; our setting untested.</t>
        </is>
      </c>
      <c r="G346" s="6" t="inlineStr">
        <is>
          <t>batch 14 (T-20261020-109)</t>
        </is>
      </c>
      <c r="H346" s="6" t="inlineStr">
        <is>
          <t>Claude</t>
        </is>
      </c>
    </row>
    <row r="347" ht="28" customHeight="1">
      <c r="A347" s="6" t="inlineStr">
        <is>
          <t>2026-10-20</t>
        </is>
      </c>
      <c r="B347" s="6" t="inlineStr">
        <is>
          <t>C-S08/VOCAB</t>
        </is>
      </c>
      <c r="C347" s="6" t="inlineStr">
        <is>
          <t>Moved to Archive</t>
        </is>
      </c>
      <c r="D347" s="6" t="inlineStr">
        <is>
          <t>Ledger</t>
        </is>
      </c>
      <c r="E347" s="6" t="inlineStr">
        <is>
          <t>Archive (CLOSED - BY EVIDENCE)</t>
        </is>
      </c>
      <c r="F347" s="6" t="inlineStr">
        <is>
          <t>Closed 2026-10-20: a bounded different-vocabulary pass was run with logged queries; saturation is stated as not claimed.</t>
        </is>
      </c>
      <c r="G347" s="6" t="inlineStr">
        <is>
          <t>batch 14 (T-20261020-109)</t>
        </is>
      </c>
      <c r="H347" s="6" t="inlineStr">
        <is>
          <t>Claude</t>
        </is>
      </c>
    </row>
    <row r="348" ht="28" customHeight="1">
      <c r="A348" s="6" t="inlineStr">
        <is>
          <t>2026-10-20</t>
        </is>
      </c>
      <c r="B348" s="6" t="inlineStr">
        <is>
          <t>C-R03/ROUND45</t>
        </is>
      </c>
      <c r="C348" s="6" t="inlineStr">
        <is>
          <t>Moved to Archive</t>
        </is>
      </c>
      <c r="D348" s="6" t="inlineStr">
        <is>
          <t>Ledger</t>
        </is>
      </c>
      <c r="E348" s="6" t="inlineStr">
        <is>
          <t>Archive (CLOSED - BY EVIDENCE)</t>
        </is>
      </c>
      <c r="F348" s="6" t="inlineStr">
        <is>
          <t>Closed 2026-10-20: fresh reviewers checked rounds 4-5; defects are tracked in C-R03/ROUND45-W and drafted in the successor note.</t>
        </is>
      </c>
      <c r="G348" s="6" t="inlineStr">
        <is>
          <t>batch 14 (T-20261020-109)</t>
        </is>
      </c>
      <c r="H348" s="6" t="inlineStr">
        <is>
          <t>Claude</t>
        </is>
      </c>
    </row>
    <row r="349" ht="28" customHeight="1">
      <c r="A349" s="6" t="inlineStr">
        <is>
          <t>2026-10-20</t>
        </is>
      </c>
      <c r="B349" s="6" t="inlineStr">
        <is>
          <t>C-R03/RV7UNCHK</t>
        </is>
      </c>
      <c r="C349" s="6" t="inlineStr">
        <is>
          <t>Moved to Archive</t>
        </is>
      </c>
      <c r="D349" s="6" t="inlineStr">
        <is>
          <t>Ledger</t>
        </is>
      </c>
      <c r="E349" s="6" t="inlineStr">
        <is>
          <t>Archive (CLOSED - BY EVIDENCE)</t>
        </is>
      </c>
      <c r="F349" s="6" t="inlineStr">
        <is>
          <t>Closed 2026-10-20: each item re-read in the stored literature texts or labelled unchecked.</t>
        </is>
      </c>
      <c r="G349" s="6" t="inlineStr">
        <is>
          <t>batch 14 (T-20261020-109)</t>
        </is>
      </c>
      <c r="H349" s="6" t="inlineStr">
        <is>
          <t>Claude</t>
        </is>
      </c>
    </row>
    <row r="350" ht="15.5" customHeight="1">
      <c r="A350" s="6" t="inlineStr">
        <is>
          <t>2026-10-20</t>
        </is>
      </c>
      <c r="B350" s="6" t="inlineStr">
        <is>
          <t>(all)</t>
        </is>
      </c>
      <c r="C350" s="6" t="inlineStr">
        <is>
          <t>Order</t>
        </is>
      </c>
      <c r="D350" s="6" t="inlineStr">
        <is>
          <t>recomputed</t>
        </is>
      </c>
      <c r="E350" s="6" t="inlineStr">
        <is>
          <t>1..252</t>
        </is>
      </c>
      <c r="F350" s="6" t="inlineStr">
        <is>
          <t>Derived rank recomputed after batch 14</t>
        </is>
      </c>
      <c r="G350" s="6" t="inlineStr">
        <is>
          <t>batch 14</t>
        </is>
      </c>
      <c r="H350" s="6" t="inlineStr">
        <is>
          <t>Claude</t>
        </is>
      </c>
    </row>
    <row r="352">
      <c r="A352" s="22" t="inlineStr">
        <is>
          <t>Append-only: never edit or delete a past row; add a new row for every change of status, ownership, priority, ID or merge.</t>
        </is>
      </c>
    </row>
  </sheetData>
  <autoFilter ref="A1:H350"/>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AS-09, C-E02/UNREADLEADS</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C-R01/FIG2-POINTS, C-R01/R1TRIG, C-R01/RENDER, C-R01/V4-03-STALE, C-R03, C-R03/C20, C-R03/C21, C-R03/C22, C-R03/C23, C-R03/C24, C-R03/C25, C-R03/C26, C-R03/C27, C-R03/ROUND45-W,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2026-10-20T12:44:07Z</dcterms:modified>
</cp:coreProperties>
</file>